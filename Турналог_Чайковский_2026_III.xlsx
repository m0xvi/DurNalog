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&amp;2" sheetId="1" state="visible" r:id="rId1"/>
    <sheet name="нет корпуса" sheetId="2" state="visible" r:id="rId2"/>
    <sheet name="1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yyyy-mm-dd h:mm:ss"/>
    <numFmt numFmtId="166" formatCode="DD.MM.YYYY HH:MM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2" customWidth="1" min="4" max="4"/>
    <col width="10" customWidth="1" min="5" max="5"/>
    <col width="32" customWidth="1" min="6" max="6"/>
    <col width="20" customWidth="1" min="7" max="7"/>
    <col width="17" customWidth="1" min="8" max="8"/>
    <col width="8" customWidth="1" min="9" max="9"/>
    <col width="11" customWidth="1" min="10" max="10"/>
    <col width="12" customWidth="1" min="11" max="11"/>
    <col width="11" customWidth="1" min="12" max="12"/>
    <col width="17" customWidth="1" min="13" max="13"/>
    <col width="25" customWidth="1" min="14" max="14"/>
    <col width="30" customWidth="1" min="15" max="15"/>
    <col width="10" customWidth="1" min="16" max="16"/>
    <col width="8" customWidth="1" min="17" max="17"/>
    <col width="45" customWidth="1" min="18" max="18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Заезд</t>
        </is>
      </c>
      <c r="I1" s="1" t="inlineStr">
        <is>
          <t>Ночей</t>
        </is>
      </c>
      <c r="J1" s="1" t="inlineStr">
        <is>
          <t>Сут.ставка</t>
        </is>
      </c>
      <c r="K1" s="1" t="inlineStr">
        <is>
          <t>Метод</t>
        </is>
      </c>
      <c r="L1" s="1" t="inlineStr">
        <is>
          <t>Налог</t>
        </is>
      </c>
      <c r="M1" s="1" t="inlineStr">
        <is>
          <t>Выезд</t>
        </is>
      </c>
      <c r="N1" s="1" t="inlineStr">
        <is>
          <t>Источник</t>
        </is>
      </c>
      <c r="O1" s="1" t="inlineStr">
        <is>
          <t>Категория номера</t>
        </is>
      </c>
      <c r="P1" s="1" t="inlineStr">
        <is>
          <t>№ комнаты</t>
        </is>
      </c>
      <c r="Q1" s="1" t="inlineStr">
        <is>
          <t>корпус</t>
        </is>
      </c>
      <c r="R1" s="1" t="inlineStr">
        <is>
          <t>Примечание</t>
        </is>
      </c>
      <c r="S1" s="1" t="inlineStr">
        <is>
          <t>Тариф</t>
        </is>
      </c>
      <c r="T1" s="1" t="inlineStr">
        <is>
          <t>Допуслуги</t>
        </is>
      </c>
      <c r="U1" s="1" t="inlineStr">
        <is>
          <t>Итог брони</t>
        </is>
      </c>
    </row>
    <row r="2">
      <c r="A2" t="inlineStr">
        <is>
          <t>20260701-8186-446674393</t>
        </is>
      </c>
      <c r="B2" t="n">
        <v>1</v>
      </c>
      <c r="C2" s="2" t="inlineStr">
        <is>
          <t>55 САВОЧКИН</t>
        </is>
      </c>
      <c r="D2" s="3" t="n">
        <v>10900</v>
      </c>
      <c r="E2" s="4" t="n">
        <v>0</v>
      </c>
      <c r="F2" t="inlineStr">
        <is>
          <t>Прямые бронирования (стойка) [Чайковский]</t>
        </is>
      </c>
      <c r="G2" s="3">
        <f>ROUND(D2/(100-E2)*100,2)</f>
        <v/>
      </c>
      <c r="H2" s="5" t="n">
        <v>46204.58333333334</v>
      </c>
      <c r="I2" t="n">
        <v>1</v>
      </c>
      <c r="J2" s="3">
        <f>G2/I2</f>
        <v/>
      </c>
      <c r="K2">
        <f>IF(J2&gt;=5100,"ставка","мин.ставка")</f>
        <v/>
      </c>
      <c r="L2" s="3">
        <f>ROUND(IF(K2="мин.ставка",I2*100,G2/102*2),2)</f>
        <v/>
      </c>
      <c r="M2" s="5" t="n">
        <v>46205.5</v>
      </c>
      <c r="N2" t="inlineStr">
        <is>
          <t>TravelLine ресепшн</t>
        </is>
      </c>
      <c r="O2" s="2" t="inlineStr">
        <is>
          <t>УЛУЧШЕННЫЙ ДВУХМЕСТНЫЙ НОМЕР</t>
        </is>
      </c>
      <c r="P2" s="6" t="n"/>
      <c r="R2" t="inlineStr"/>
      <c r="S2" t="inlineStr">
        <is>
          <t>Основной тариф без завтрака</t>
        </is>
      </c>
      <c r="T2" t="n">
        <v>0</v>
      </c>
      <c r="U2" t="n">
        <v>10900</v>
      </c>
    </row>
    <row r="3">
      <c r="A3" t="inlineStr">
        <is>
          <t>20260720-8186-450480368</t>
        </is>
      </c>
      <c r="B3" t="n">
        <v>1</v>
      </c>
      <c r="C3" s="2" t="inlineStr">
        <is>
          <t>ADAM GASTAN</t>
        </is>
      </c>
      <c r="D3" s="3" t="n">
        <v>26800</v>
      </c>
      <c r="E3" s="4" t="n">
        <v>0</v>
      </c>
      <c r="F3" t="inlineStr">
        <is>
          <t>Прямые бронирования (стойка) [Чайковский]</t>
        </is>
      </c>
      <c r="G3" s="3">
        <f>ROUND(D3/(100-E3)*100,2)</f>
        <v/>
      </c>
      <c r="H3" s="5" t="n">
        <v>46223.58333333334</v>
      </c>
      <c r="I3" t="n">
        <v>2</v>
      </c>
      <c r="J3" s="3">
        <f>G3/I3</f>
        <v/>
      </c>
      <c r="K3">
        <f>IF(J3&gt;=5100,"ставка","мин.ставка")</f>
        <v/>
      </c>
      <c r="L3" s="3">
        <f>ROUND(IF(K3="мин.ставка",I3*100,G3/102*2),2)</f>
        <v/>
      </c>
      <c r="M3" s="5" t="n">
        <v>46225.5</v>
      </c>
      <c r="N3" t="inlineStr">
        <is>
          <t>TravelLine ресепшн</t>
        </is>
      </c>
      <c r="O3" s="2" t="inlineStr">
        <is>
          <t>УЛУЧШЕННЫЙ ДВУХМЕСТНЫЙ НОМЕР</t>
        </is>
      </c>
      <c r="P3" s="6" t="n"/>
      <c r="R3" t="inlineStr"/>
      <c r="S3" t="inlineStr">
        <is>
          <t>Тариф с завтраком</t>
        </is>
      </c>
      <c r="T3" t="n">
        <v>0</v>
      </c>
      <c r="U3" t="n">
        <v>26800</v>
      </c>
    </row>
    <row r="4">
      <c r="A4" t="inlineStr">
        <is>
          <t>20260825-8186-461137645</t>
        </is>
      </c>
      <c r="B4" t="n">
        <v>1</v>
      </c>
      <c r="C4" s="2" t="inlineStr">
        <is>
          <t>ALEKSEJS VAZENINS</t>
        </is>
      </c>
      <c r="D4" s="3" t="n">
        <v>13860</v>
      </c>
      <c r="E4" s="4" t="n">
        <v>0</v>
      </c>
      <c r="F4" t="inlineStr">
        <is>
          <t>Прямые бронирования (стойка) [Чайковский]</t>
        </is>
      </c>
      <c r="G4" s="3">
        <f>ROUND(D4/(100-E4)*100,2)</f>
        <v/>
      </c>
      <c r="H4" s="5" t="n">
        <v>46259.58333333334</v>
      </c>
      <c r="I4" t="n">
        <v>1</v>
      </c>
      <c r="J4" s="3">
        <f>G4/I4</f>
        <v/>
      </c>
      <c r="K4">
        <f>IF(J4&gt;=5100,"ставка","мин.ставка")</f>
        <v/>
      </c>
      <c r="L4" s="3">
        <f>ROUND(IF(K4="мин.ставка",I4*100,G4/102*2),2)</f>
        <v/>
      </c>
      <c r="M4" s="5" t="n">
        <v>46260.5</v>
      </c>
      <c r="N4" t="inlineStr">
        <is>
          <t>TravelLine ресепшн</t>
        </is>
      </c>
      <c r="O4" s="2" t="inlineStr">
        <is>
          <t>УЛУЧШЕННЫЙ ДВУХМЕСТНЫЙ НОМЕР</t>
        </is>
      </c>
      <c r="P4" s="6" t="n"/>
      <c r="R4" t="inlineStr"/>
      <c r="S4" t="inlineStr">
        <is>
          <t>Тариф с завтраком</t>
        </is>
      </c>
      <c r="T4" t="n">
        <v>0</v>
      </c>
      <c r="U4" t="n">
        <v>13860</v>
      </c>
    </row>
    <row r="5">
      <c r="A5" t="inlineStr">
        <is>
          <t>20260807-8186-433561161</t>
        </is>
      </c>
      <c r="B5" t="n">
        <v>1</v>
      </c>
      <c r="C5" s="2" t="inlineStr">
        <is>
          <t>ALEXANDER SCHNEIDER, Кристина Винтер</t>
        </is>
      </c>
      <c r="D5" s="3" t="n">
        <v>7920</v>
      </c>
      <c r="E5" s="4" t="n">
        <v>18</v>
      </c>
      <c r="F5" t="inlineStr">
        <is>
          <t>Яндекс.Путешествия [Чайковский]</t>
        </is>
      </c>
      <c r="G5" s="3">
        <f>ROUND(D5/(100-E5)*100,2)</f>
        <v/>
      </c>
      <c r="H5" s="5" t="n">
        <v>46241.58333333334</v>
      </c>
      <c r="I5" t="n">
        <v>1</v>
      </c>
      <c r="J5" s="3">
        <f>G5/I5</f>
        <v/>
      </c>
      <c r="K5">
        <f>IF(J5&gt;=5100,"ставка","мин.ставка")</f>
        <v/>
      </c>
      <c r="L5" s="3">
        <f>ROUND(IF(K5="мин.ставка",I5*100,G5/102*2),2)</f>
        <v/>
      </c>
      <c r="M5" s="5" t="n">
        <v>46242.5</v>
      </c>
      <c r="N5" t="inlineStr">
        <is>
          <t>TravelLine YAX</t>
        </is>
      </c>
      <c r="O5" s="2" t="inlineStr">
        <is>
          <t>СТАНДАРТНЫЙ ДВУХМЕСТНЫЙ НОМЕР (МАНСАРДА)</t>
        </is>
      </c>
      <c r="P5" s="6" t="n"/>
      <c r="R5" t="inlineStr"/>
      <c r="S5" t="inlineStr">
        <is>
          <t>Тариф с завтраком</t>
        </is>
      </c>
      <c r="T5" t="n">
        <v>0</v>
      </c>
      <c r="U5" t="n">
        <v>7920</v>
      </c>
    </row>
    <row r="6">
      <c r="A6" t="inlineStr">
        <is>
          <t>20260717-8186-393996392</t>
        </is>
      </c>
      <c r="B6" t="n">
        <v>1</v>
      </c>
      <c r="C6" s="2" t="inlineStr">
        <is>
          <t>Anastasiya Chumanova, Михаил Сагаев</t>
        </is>
      </c>
      <c r="D6" s="3" t="n">
        <v>15130</v>
      </c>
      <c r="E6" s="4" t="n">
        <v>15</v>
      </c>
      <c r="F6" t="inlineStr">
        <is>
          <t>ООО "БРОНИРОВАНИЕ ГОСТИНИЦ" (OSTROVOK) [Чайковский]</t>
        </is>
      </c>
      <c r="G6" s="3">
        <f>ROUND(D6/(100-E6)*100,2)</f>
        <v/>
      </c>
      <c r="H6" s="5" t="n">
        <v>46220.58333333334</v>
      </c>
      <c r="I6" t="n">
        <v>1</v>
      </c>
      <c r="J6" s="3">
        <f>G6/I6</f>
        <v/>
      </c>
      <c r="K6">
        <f>IF(J6&gt;=5100,"ставка","мин.ставка")</f>
        <v/>
      </c>
      <c r="L6" s="3">
        <f>ROUND(IF(K6="мин.ставка",I6*100,G6/102*2),2)</f>
        <v/>
      </c>
      <c r="M6" s="5" t="n">
        <v>46221.5</v>
      </c>
      <c r="N6" t="inlineStr">
        <is>
          <t>TravelLine OTK</t>
        </is>
      </c>
      <c r="O6" s="2" t="inlineStr">
        <is>
          <t>ЛЮКС</t>
        </is>
      </c>
      <c r="P6" s="6" t="n"/>
      <c r="R6" t="inlineStr"/>
      <c r="S6" t="inlineStr">
        <is>
          <t>Тариф с завтраком</t>
        </is>
      </c>
      <c r="T6" t="n">
        <v>0</v>
      </c>
      <c r="U6" t="n">
        <v>15130</v>
      </c>
    </row>
    <row r="7">
      <c r="A7" t="inlineStr">
        <is>
          <t>20260708-8186-448665817</t>
        </is>
      </c>
      <c r="B7" t="n">
        <v>1</v>
      </c>
      <c r="C7" s="2" t="inlineStr">
        <is>
          <t>Anastassiya Dobrovolskaya</t>
        </is>
      </c>
      <c r="D7" s="3" t="n">
        <v>7866</v>
      </c>
      <c r="E7" s="4" t="n">
        <v>18</v>
      </c>
      <c r="F7" t="inlineStr">
        <is>
          <t>Яндекс.Путешествия [Чайковский]</t>
        </is>
      </c>
      <c r="G7" s="3">
        <f>ROUND(D7/(100-E7)*100,2)</f>
        <v/>
      </c>
      <c r="H7" s="5" t="n">
        <v>46211.58333333334</v>
      </c>
      <c r="I7" t="n">
        <v>1</v>
      </c>
      <c r="J7" s="3">
        <f>G7/I7</f>
        <v/>
      </c>
      <c r="K7">
        <f>IF(J7&gt;=5100,"ставка","мин.ставка")</f>
        <v/>
      </c>
      <c r="L7" s="3">
        <f>ROUND(IF(K7="мин.ставка",I7*100,G7/102*2),2)</f>
        <v/>
      </c>
      <c r="M7" s="5" t="n">
        <v>46212.5</v>
      </c>
      <c r="N7" t="inlineStr">
        <is>
          <t>TravelLine YAX</t>
        </is>
      </c>
      <c r="O7" s="2" t="inlineStr">
        <is>
          <t>СТАНДАРТНЫЙ ДВУХМЕСТНЫЙ НОМЕР</t>
        </is>
      </c>
      <c r="P7" s="6" t="n"/>
      <c r="R7" t="inlineStr"/>
      <c r="S7" t="inlineStr">
        <is>
          <t>Тариф с завтраком</t>
        </is>
      </c>
      <c r="T7" t="n">
        <v>0</v>
      </c>
      <c r="U7" t="n">
        <v>7866</v>
      </c>
    </row>
    <row r="8">
      <c r="A8" t="inlineStr">
        <is>
          <t>20260712-8186-449535323</t>
        </is>
      </c>
      <c r="B8" t="n">
        <v>1</v>
      </c>
      <c r="C8" s="2" t="inlineStr">
        <is>
          <t>ANDREAS POPP</t>
        </is>
      </c>
      <c r="D8" s="3" t="n">
        <v>6557</v>
      </c>
      <c r="E8" s="4" t="n">
        <v>0</v>
      </c>
      <c r="F8" t="inlineStr">
        <is>
          <t>Прямые бронирования (стойка) [Чайковский]</t>
        </is>
      </c>
      <c r="G8" s="3">
        <f>ROUND(D8/(100-E8)*100,2)</f>
        <v/>
      </c>
      <c r="H8" s="5" t="n">
        <v>46215.58333333334</v>
      </c>
      <c r="I8" t="n">
        <v>1</v>
      </c>
      <c r="J8" s="3">
        <f>G8/I8</f>
        <v/>
      </c>
      <c r="K8">
        <f>IF(J8&gt;=5100,"ставка","мин.ставка")</f>
        <v/>
      </c>
      <c r="L8" s="3">
        <f>ROUND(IF(K8="мин.ставка",I8*100,G8/102*2),2)</f>
        <v/>
      </c>
      <c r="M8" s="5" t="n">
        <v>46216.5</v>
      </c>
      <c r="N8" t="inlineStr">
        <is>
          <t>TravelLine CMB</t>
        </is>
      </c>
      <c r="O8" s="2" t="inlineStr">
        <is>
          <t>СТАНДАРТНЫЙ ДВУХМЕСТНЫЙ НОМЕР (МАНСАРДА)</t>
        </is>
      </c>
      <c r="P8" s="6" t="n"/>
      <c r="R8" t="inlineStr"/>
      <c r="S8" t="inlineStr">
        <is>
          <t>Тариф с завтраком</t>
        </is>
      </c>
      <c r="T8" t="n">
        <v>0</v>
      </c>
      <c r="U8" t="n">
        <v>6557</v>
      </c>
    </row>
    <row r="9">
      <c r="A9" t="inlineStr">
        <is>
          <t>20260724-8186-452456263</t>
        </is>
      </c>
      <c r="B9" t="n">
        <v>1</v>
      </c>
      <c r="C9" s="2" t="inlineStr">
        <is>
          <t>Andrei Lukashenko</t>
        </is>
      </c>
      <c r="D9" s="3" t="n">
        <v>24310</v>
      </c>
      <c r="E9" s="4" t="n">
        <v>15</v>
      </c>
      <c r="F9" t="inlineStr">
        <is>
          <t>ООО "БРОНИРОВАНИЕ ГОСТИНИЦ" (OSTROVOK) [Чайковский]</t>
        </is>
      </c>
      <c r="G9" s="3">
        <f>ROUND(D9/(100-E9)*100,2)</f>
        <v/>
      </c>
      <c r="H9" s="5" t="n">
        <v>46227.58333333334</v>
      </c>
      <c r="I9" t="n">
        <v>2</v>
      </c>
      <c r="J9" s="3">
        <f>G9/I9</f>
        <v/>
      </c>
      <c r="K9">
        <f>IF(J9&gt;=5100,"ставка","мин.ставка")</f>
        <v/>
      </c>
      <c r="L9" s="3">
        <f>ROUND(IF(K9="мин.ставка",I9*100,G9/102*2),2)</f>
        <v/>
      </c>
      <c r="M9" s="5" t="n">
        <v>46229.5</v>
      </c>
      <c r="N9" t="inlineStr">
        <is>
          <t>TravelLine OTK</t>
        </is>
      </c>
      <c r="O9" s="2" t="inlineStr">
        <is>
          <t>ЛЮКС ВТОРОЙ КОРПУС</t>
        </is>
      </c>
      <c r="P9" s="6" t="n"/>
      <c r="R9" t="inlineStr"/>
      <c r="S9" t="inlineStr">
        <is>
          <t>Основной тариф без завтрака</t>
        </is>
      </c>
      <c r="T9" t="n">
        <v>0</v>
      </c>
      <c r="U9" t="n">
        <v>24310</v>
      </c>
    </row>
    <row r="10">
      <c r="A10" t="inlineStr">
        <is>
          <t>20260823-8186-458773575</t>
        </is>
      </c>
      <c r="B10" t="n">
        <v>1</v>
      </c>
      <c r="C10" s="2" t="inlineStr">
        <is>
          <t>ANDREJS ANOSKO, LUCIJA ANOSKO</t>
        </is>
      </c>
      <c r="D10" s="3" t="n">
        <v>39600</v>
      </c>
      <c r="E10" s="4" t="n">
        <v>20</v>
      </c>
      <c r="F10" t="inlineStr">
        <is>
          <t>ООО "КОМПАНИЯ БРОНЕВИК" [Чайковский]</t>
        </is>
      </c>
      <c r="G10" s="3">
        <f>ROUND(D10/(100-E10)*100,2)</f>
        <v/>
      </c>
      <c r="H10" s="5" t="n">
        <v>46257.58333333334</v>
      </c>
      <c r="I10" t="n">
        <v>3</v>
      </c>
      <c r="J10" s="3">
        <f>G10/I10</f>
        <v/>
      </c>
      <c r="K10">
        <f>IF(J10&gt;=5100,"ставка","мин.ставка")</f>
        <v/>
      </c>
      <c r="L10" s="3">
        <f>ROUND(IF(K10="мин.ставка",I10*100,G10/102*2),2)</f>
        <v/>
      </c>
      <c r="M10" s="5" t="n">
        <v>46260.5</v>
      </c>
      <c r="N10" t="inlineStr">
        <is>
          <t>TravelLine BR2</t>
        </is>
      </c>
      <c r="O10" s="2" t="inlineStr">
        <is>
          <t>ПОЛУЛЮКС</t>
        </is>
      </c>
      <c r="P10" s="6" t="n"/>
      <c r="R10" t="inlineStr"/>
      <c r="S10" t="inlineStr">
        <is>
          <t>Тариф с завтраком</t>
        </is>
      </c>
      <c r="T10" t="n">
        <v>0</v>
      </c>
      <c r="U10" t="n">
        <v>39600</v>
      </c>
    </row>
    <row r="11">
      <c r="A11" t="inlineStr">
        <is>
          <t>20260702-8186-441737998</t>
        </is>
      </c>
      <c r="B11" t="n">
        <v>1</v>
      </c>
      <c r="C11" s="2" t="inlineStr">
        <is>
          <t>ANDREJS VOLKOVS, Мария Волкова</t>
        </is>
      </c>
      <c r="D11" s="3" t="n">
        <v>22695</v>
      </c>
      <c r="E11" s="4" t="n">
        <v>15</v>
      </c>
      <c r="F11" t="inlineStr">
        <is>
          <t>ООО Тинькофф Путешествия [Чайковский]</t>
        </is>
      </c>
      <c r="G11" s="3">
        <f>ROUND(D11/(100-E11)*100,2)</f>
        <v/>
      </c>
      <c r="H11" s="5" t="n">
        <v>46205.58333333334</v>
      </c>
      <c r="I11" t="n">
        <v>2</v>
      </c>
      <c r="J11" s="3">
        <f>G11/I11</f>
        <v/>
      </c>
      <c r="K11">
        <f>IF(J11&gt;=5100,"ставка","мин.ставка")</f>
        <v/>
      </c>
      <c r="L11" s="3">
        <f>ROUND(IF(K11="мин.ставка",I11*100,G11/102*2),2)</f>
        <v/>
      </c>
      <c r="M11" s="5" t="n">
        <v>46207.5</v>
      </c>
      <c r="N11" t="inlineStr">
        <is>
          <t>TravelLine TNK</t>
        </is>
      </c>
      <c r="O11" s="2" t="inlineStr">
        <is>
          <t>СТАНДАРТНЫЙ ДВУХМЕСТНЫЙ НОМЕР</t>
        </is>
      </c>
      <c r="P11" s="6" t="n"/>
      <c r="R11" t="inlineStr"/>
      <c r="S11" t="inlineStr">
        <is>
          <t>Тариф с завтраком</t>
        </is>
      </c>
      <c r="T11" t="n">
        <v>0</v>
      </c>
      <c r="U11" t="n">
        <v>22695</v>
      </c>
    </row>
    <row r="12">
      <c r="A12" t="inlineStr">
        <is>
          <t>20260924-8186-466763458</t>
        </is>
      </c>
      <c r="B12" t="n">
        <v>1</v>
      </c>
      <c r="C12" s="2" t="inlineStr">
        <is>
          <t>Annerose HILDA DORA Bannach</t>
        </is>
      </c>
      <c r="D12" s="3" t="n">
        <v>87112.5</v>
      </c>
      <c r="E12" s="4" t="n">
        <v>4</v>
      </c>
      <c r="F12" t="inlineStr">
        <is>
          <t>TravelLine Booking Engine [Чайковский]</t>
        </is>
      </c>
      <c r="G12" s="3">
        <f>ROUND(D12/(100-E12)*100,2)</f>
        <v/>
      </c>
      <c r="H12" s="5" t="n">
        <v>46289.58333333334</v>
      </c>
      <c r="I12" t="n">
        <v>7</v>
      </c>
      <c r="J12" s="3">
        <f>G12/I12</f>
        <v/>
      </c>
      <c r="K12">
        <f>IF(J12&gt;=5100,"ставка","мин.ставка")</f>
        <v/>
      </c>
      <c r="L12" s="3">
        <f>ROUND(IF(K12="мин.ставка",I12*100,G12/102*2),2)</f>
        <v/>
      </c>
      <c r="M12" s="5" t="n">
        <v>46296.5</v>
      </c>
      <c r="N12" t="inlineStr">
        <is>
          <t>TravelLine сайт</t>
        </is>
      </c>
      <c r="O12" s="2" t="inlineStr">
        <is>
          <t>ЛЮКС ВТОРОЙ КОРПУС</t>
        </is>
      </c>
      <c r="P12" s="6" t="n"/>
      <c r="R12" t="inlineStr"/>
      <c r="S12" t="inlineStr">
        <is>
          <t>Основной тариф без завтрака</t>
        </is>
      </c>
      <c r="T12" t="n">
        <v>0</v>
      </c>
      <c r="U12" t="n">
        <v>87112.5</v>
      </c>
    </row>
    <row r="13">
      <c r="A13" t="inlineStr">
        <is>
          <t>20260727-8186-452690380</t>
        </is>
      </c>
      <c r="B13" t="n">
        <v>1</v>
      </c>
      <c r="C13" s="2" t="inlineStr">
        <is>
          <t>ARKADIUSZ PLEWA</t>
        </is>
      </c>
      <c r="D13" s="3" t="n">
        <v>7700</v>
      </c>
      <c r="E13" s="4" t="n">
        <v>0</v>
      </c>
      <c r="F13" t="inlineStr">
        <is>
          <t>Прямые бронирования (стойка) [Чайковский]</t>
        </is>
      </c>
      <c r="G13" s="3">
        <f>ROUND(D13/(100-E13)*100,2)</f>
        <v/>
      </c>
      <c r="H13" s="5" t="n">
        <v>46230.58333333334</v>
      </c>
      <c r="I13" t="n">
        <v>1</v>
      </c>
      <c r="J13" s="3">
        <f>G13/I13</f>
        <v/>
      </c>
      <c r="K13">
        <f>IF(J13&gt;=5100,"ставка","мин.ставка")</f>
        <v/>
      </c>
      <c r="L13" s="3">
        <f>ROUND(IF(K13="мин.ставка",I13*100,G13/102*2),2)</f>
        <v/>
      </c>
      <c r="M13" s="5" t="n">
        <v>46231.5</v>
      </c>
      <c r="N13" t="inlineStr">
        <is>
          <t>TravelLine ресепшн</t>
        </is>
      </c>
      <c r="O13" s="2" t="inlineStr">
        <is>
          <t>СТАНДАРТНЫЙ ОДНОМЕСТНЫЙ НОМЕР</t>
        </is>
      </c>
      <c r="P13" s="6" t="n"/>
      <c r="R13" t="inlineStr"/>
      <c r="S13" t="inlineStr">
        <is>
          <t>Тариф с завтраком</t>
        </is>
      </c>
      <c r="T13" t="n">
        <v>0</v>
      </c>
      <c r="U13" t="n">
        <v>7700</v>
      </c>
    </row>
    <row r="14">
      <c r="A14" t="inlineStr">
        <is>
          <t>20260720-8186-451844710</t>
        </is>
      </c>
      <c r="B14" t="n">
        <v>1</v>
      </c>
      <c r="C14" s="2" t="inlineStr">
        <is>
          <t>ARTUR SWIESZEK</t>
        </is>
      </c>
      <c r="D14" s="3" t="n">
        <v>7900</v>
      </c>
      <c r="E14" s="4" t="n">
        <v>0</v>
      </c>
      <c r="F14" t="inlineStr">
        <is>
          <t>Прямые бронирования (стойка) [Чайковский]</t>
        </is>
      </c>
      <c r="G14" s="3">
        <f>ROUND(D14/(100-E14)*100,2)</f>
        <v/>
      </c>
      <c r="H14" s="5" t="n">
        <v>46223.58333333334</v>
      </c>
      <c r="I14" t="n">
        <v>1</v>
      </c>
      <c r="J14" s="3">
        <f>G14/I14</f>
        <v/>
      </c>
      <c r="K14">
        <f>IF(J14&gt;=5100,"ставка","мин.ставка")</f>
        <v/>
      </c>
      <c r="L14" s="3">
        <f>ROUND(IF(K14="мин.ставка",I14*100,G14/102*2),2)</f>
        <v/>
      </c>
      <c r="M14" s="5" t="n">
        <v>46224.5</v>
      </c>
      <c r="N14" t="inlineStr">
        <is>
          <t>TravelLine ресепшн</t>
        </is>
      </c>
      <c r="O14" s="2" t="inlineStr">
        <is>
          <t>СТАНДАРТНЫЙ ДВУХМЕСТНЫЙ НОМЕР</t>
        </is>
      </c>
      <c r="P14" s="6" t="n"/>
      <c r="R14" t="inlineStr"/>
      <c r="S14" t="inlineStr">
        <is>
          <t>Тариф с завтраком</t>
        </is>
      </c>
      <c r="T14" t="n">
        <v>0</v>
      </c>
      <c r="U14" t="n">
        <v>7900</v>
      </c>
    </row>
    <row r="15">
      <c r="A15" t="inlineStr">
        <is>
          <t>20260817-8186-453479249</t>
        </is>
      </c>
      <c r="B15" t="n">
        <v>1</v>
      </c>
      <c r="C15" s="2" t="inlineStr">
        <is>
          <t>ARTUR WLODARCZYK</t>
        </is>
      </c>
      <c r="D15" s="3" t="n">
        <v>11350</v>
      </c>
      <c r="E15" s="4" t="n">
        <v>4</v>
      </c>
      <c r="F15" t="inlineStr">
        <is>
          <t>TravelLine Booking Engine [Чайковский]</t>
        </is>
      </c>
      <c r="G15" s="3">
        <f>ROUND(D15/(100-E15)*100,2)</f>
        <v/>
      </c>
      <c r="H15" s="5" t="n">
        <v>46251.58333333334</v>
      </c>
      <c r="I15" t="n">
        <v>1</v>
      </c>
      <c r="J15" s="3">
        <f>G15/I15</f>
        <v/>
      </c>
      <c r="K15">
        <f>IF(J15&gt;=5100,"ставка","мин.ставка")</f>
        <v/>
      </c>
      <c r="L15" s="3">
        <f>ROUND(IF(K15="мин.ставка",I15*100,G15/102*2),2)</f>
        <v/>
      </c>
      <c r="M15" s="5" t="n">
        <v>46252.5</v>
      </c>
      <c r="N15" t="inlineStr">
        <is>
          <t>TravelLine сайт</t>
        </is>
      </c>
      <c r="O15" s="2" t="inlineStr">
        <is>
          <t>СТАНДАРТНЫЙ ДВУХМЕСТНЫЙ НОМЕР</t>
        </is>
      </c>
      <c r="P15" s="6" t="n"/>
      <c r="R15" t="inlineStr"/>
      <c r="S15" t="inlineStr">
        <is>
          <t>Тариф с завтраком</t>
        </is>
      </c>
      <c r="T15" t="n">
        <v>0</v>
      </c>
      <c r="U15" t="n">
        <v>11350</v>
      </c>
    </row>
    <row r="16">
      <c r="A16" t="inlineStr">
        <is>
          <t>20260715-8186-450135316</t>
        </is>
      </c>
      <c r="B16" t="n">
        <v>1</v>
      </c>
      <c r="C16" s="2" t="inlineStr">
        <is>
          <t>BARIS OTYAKMAZ</t>
        </is>
      </c>
      <c r="D16" s="3" t="n">
        <v>29000</v>
      </c>
      <c r="E16" s="4" t="n">
        <v>0</v>
      </c>
      <c r="F16" t="inlineStr">
        <is>
          <t>Прямые бронирования (стойка) [Чайковский]</t>
        </is>
      </c>
      <c r="G16" s="3">
        <f>ROUND(D16/(100-E16)*100,2)</f>
        <v/>
      </c>
      <c r="H16" s="5" t="n">
        <v>46218.58333333334</v>
      </c>
      <c r="I16" t="n">
        <v>2</v>
      </c>
      <c r="J16" s="3">
        <f>G16/I16</f>
        <v/>
      </c>
      <c r="K16">
        <f>IF(J16&gt;=5100,"ставка","мин.ставка")</f>
        <v/>
      </c>
      <c r="L16" s="3">
        <f>ROUND(IF(K16="мин.ставка",I16*100,G16/102*2),2)</f>
        <v/>
      </c>
      <c r="M16" s="5" t="n">
        <v>46220.5</v>
      </c>
      <c r="N16" t="inlineStr">
        <is>
          <t>TravelLine ресепшн</t>
        </is>
      </c>
      <c r="O16" s="2" t="inlineStr">
        <is>
          <t>ПОЛУЛЮКС</t>
        </is>
      </c>
      <c r="P16" s="6" t="n"/>
      <c r="R16" t="inlineStr"/>
      <c r="S16" t="inlineStr">
        <is>
          <t>Тариф с завтраком</t>
        </is>
      </c>
      <c r="T16" t="n">
        <v>0</v>
      </c>
      <c r="U16" t="n">
        <v>29000</v>
      </c>
    </row>
    <row r="17">
      <c r="A17" t="inlineStr">
        <is>
          <t>20260813-8186-458193673</t>
        </is>
      </c>
      <c r="B17" t="n">
        <v>1</v>
      </c>
      <c r="C17" s="2" t="inlineStr">
        <is>
          <t>Dmitrij Serov</t>
        </is>
      </c>
      <c r="D17" s="3" t="n">
        <v>9534</v>
      </c>
      <c r="E17" s="4" t="n">
        <v>16</v>
      </c>
      <c r="F17" t="inlineStr">
        <is>
          <t>ООО "БРОНИРОВАНИЕ ГОСТИНИЦ" (OSTROVOK) [Чайковский]</t>
        </is>
      </c>
      <c r="G17" s="3">
        <f>ROUND(D17/(100-E17)*100,2)</f>
        <v/>
      </c>
      <c r="H17" s="5" t="n">
        <v>46247.58333333334</v>
      </c>
      <c r="I17" t="n">
        <v>1</v>
      </c>
      <c r="J17" s="3">
        <f>G17/I17</f>
        <v/>
      </c>
      <c r="K17">
        <f>IF(J17&gt;=5100,"ставка","мин.ставка")</f>
        <v/>
      </c>
      <c r="L17" s="3">
        <f>ROUND(IF(K17="мин.ставка",I17*100,G17/102*2),2)</f>
        <v/>
      </c>
      <c r="M17" s="5" t="n">
        <v>46248.5</v>
      </c>
      <c r="N17" t="inlineStr">
        <is>
          <t>TravelLine OTK</t>
        </is>
      </c>
      <c r="O17" s="2" t="inlineStr">
        <is>
          <t>СТАНДАРТНЫЙ ДВУХМЕСТНЫЙ НОМЕР</t>
        </is>
      </c>
      <c r="P17" s="6" t="n"/>
      <c r="R17" t="inlineStr"/>
      <c r="S17" t="inlineStr">
        <is>
          <t>Тариф с завтраком</t>
        </is>
      </c>
      <c r="T17" t="n">
        <v>0</v>
      </c>
      <c r="U17" t="n">
        <v>9534</v>
      </c>
    </row>
    <row r="18">
      <c r="A18" t="inlineStr">
        <is>
          <t>20260929-8186-467430618</t>
        </is>
      </c>
      <c r="B18" t="n">
        <v>1</v>
      </c>
      <c r="C18" s="2" t="inlineStr">
        <is>
          <t>Giovanni Peressoni</t>
        </is>
      </c>
      <c r="D18" s="3" t="n">
        <v>9080</v>
      </c>
      <c r="E18" s="4" t="n">
        <v>18</v>
      </c>
      <c r="F18" t="inlineStr">
        <is>
          <t>Яндекс.Путешествия [Чайковский]</t>
        </is>
      </c>
      <c r="G18" s="3">
        <f>ROUND(D18/(100-E18)*100,2)</f>
        <v/>
      </c>
      <c r="H18" s="5" t="n">
        <v>46294.58333333334</v>
      </c>
      <c r="I18" t="n">
        <v>1</v>
      </c>
      <c r="J18" s="3">
        <f>G18/I18</f>
        <v/>
      </c>
      <c r="K18">
        <f>IF(J18&gt;=5100,"ставка","мин.ставка")</f>
        <v/>
      </c>
      <c r="L18" s="3">
        <f>ROUND(IF(K18="мин.ставка",I18*100,G18/102*2),2)</f>
        <v/>
      </c>
      <c r="M18" s="5" t="n">
        <v>46295.5</v>
      </c>
      <c r="N18" t="inlineStr">
        <is>
          <t>TravelLine YAX</t>
        </is>
      </c>
      <c r="O18" s="2" t="inlineStr">
        <is>
          <t>СТАНДАРТНЫЙ ДВУХМЕСТНЫЙ НОМЕР</t>
        </is>
      </c>
      <c r="P18" s="6" t="n"/>
      <c r="R18" t="inlineStr"/>
      <c r="S18" t="inlineStr">
        <is>
          <t>Тариф с завтраком</t>
        </is>
      </c>
      <c r="T18" t="n">
        <v>0</v>
      </c>
      <c r="U18" t="n">
        <v>9080</v>
      </c>
    </row>
    <row r="19">
      <c r="A19" t="inlineStr">
        <is>
          <t>20260706-8186-447611282</t>
        </is>
      </c>
      <c r="B19" t="n">
        <v>1</v>
      </c>
      <c r="C19" s="2" t="inlineStr">
        <is>
          <t>GREGOIRE PIERRE ALAIN FOREST</t>
        </is>
      </c>
      <c r="D19" s="3" t="n">
        <v>23035</v>
      </c>
      <c r="E19" s="4" t="n">
        <v>15</v>
      </c>
      <c r="F19" t="inlineStr">
        <is>
          <t>ООО "БРОНИРОВАНИЕ ГОСТИНИЦ" (OSTROVOK) [Чайковский]</t>
        </is>
      </c>
      <c r="G19" s="3">
        <f>ROUND(D19/(100-E19)*100,2)</f>
        <v/>
      </c>
      <c r="H19" s="5" t="n">
        <v>46209.58333333334</v>
      </c>
      <c r="I19" t="n">
        <v>2</v>
      </c>
      <c r="J19" s="3">
        <f>G19/I19</f>
        <v/>
      </c>
      <c r="K19">
        <f>IF(J19&gt;=5100,"ставка","мин.ставка")</f>
        <v/>
      </c>
      <c r="L19" s="3">
        <f>ROUND(IF(K19="мин.ставка",I19*100,G19/102*2),2)</f>
        <v/>
      </c>
      <c r="M19" s="5" t="n">
        <v>46211.5</v>
      </c>
      <c r="N19" t="inlineStr">
        <is>
          <t>TravelLine OTK</t>
        </is>
      </c>
      <c r="O19" s="2" t="inlineStr">
        <is>
          <t>ПОЛУЛЮКС</t>
        </is>
      </c>
      <c r="P19" s="6" t="n"/>
      <c r="R19" t="inlineStr"/>
      <c r="S19" t="inlineStr">
        <is>
          <t>Тариф с завтраком</t>
        </is>
      </c>
      <c r="T19" t="n">
        <v>0</v>
      </c>
      <c r="U19" t="n">
        <v>23035</v>
      </c>
    </row>
    <row r="20">
      <c r="A20" t="inlineStr">
        <is>
          <t>20260906-8186-464012359</t>
        </is>
      </c>
      <c r="B20" t="n">
        <v>1</v>
      </c>
      <c r="C20" s="2" t="inlineStr">
        <is>
          <t>Hao Wang</t>
        </is>
      </c>
      <c r="D20" s="3" t="n">
        <v>6545</v>
      </c>
      <c r="E20" s="4" t="n">
        <v>15</v>
      </c>
      <c r="F20" t="inlineStr">
        <is>
          <t>Trip.com Group [Чайковский]</t>
        </is>
      </c>
      <c r="G20" s="3">
        <f>ROUND(D20/(100-E20)*100,2)</f>
        <v/>
      </c>
      <c r="H20" s="5" t="n">
        <v>46271.58333333334</v>
      </c>
      <c r="I20" t="n">
        <v>1</v>
      </c>
      <c r="J20" s="3">
        <f>G20/I20</f>
        <v/>
      </c>
      <c r="K20">
        <f>IF(J20&gt;=5100,"ставка","мин.ставка")</f>
        <v/>
      </c>
      <c r="L20" s="3">
        <f>ROUND(IF(K20="мин.ставка",I20*100,G20/102*2),2)</f>
        <v/>
      </c>
      <c r="M20" s="5" t="n">
        <v>46272.5</v>
      </c>
      <c r="N20" t="inlineStr">
        <is>
          <t>TravelLine CTP</t>
        </is>
      </c>
      <c r="O20" s="2" t="inlineStr">
        <is>
          <t>СТАНДАРТНЫЙ ОДНОМЕСТНЫЙ НОМЕР</t>
        </is>
      </c>
      <c r="P20" s="6" t="n"/>
      <c r="R20" t="inlineStr"/>
      <c r="S20" t="inlineStr">
        <is>
          <t>Тариф с завтраком</t>
        </is>
      </c>
      <c r="T20" t="n">
        <v>0</v>
      </c>
      <c r="U20" t="n">
        <v>6545</v>
      </c>
    </row>
    <row r="21">
      <c r="A21" t="inlineStr">
        <is>
          <t>20260904-8186-462864579</t>
        </is>
      </c>
      <c r="B21" t="n">
        <v>1</v>
      </c>
      <c r="C21" s="2" t="inlineStr">
        <is>
          <t>IRENE PREDIGER, EUGEN PREDIGER</t>
        </is>
      </c>
      <c r="D21" s="3" t="n">
        <v>30800</v>
      </c>
      <c r="E21" s="4" t="n">
        <v>0</v>
      </c>
      <c r="F21" t="inlineStr">
        <is>
          <t>Прямые бронирования (стойка) [Чайковский]</t>
        </is>
      </c>
      <c r="G21" s="3">
        <f>ROUND(D21/(100-E21)*100,2)</f>
        <v/>
      </c>
      <c r="H21" s="5" t="n">
        <v>46269.58333333334</v>
      </c>
      <c r="I21" t="n">
        <v>2</v>
      </c>
      <c r="J21" s="3">
        <f>G21/I21</f>
        <v/>
      </c>
      <c r="K21">
        <f>IF(J21&gt;=5100,"ставка","мин.ставка")</f>
        <v/>
      </c>
      <c r="L21" s="3">
        <f>ROUND(IF(K21="мин.ставка",I21*100,G21/102*2),2)</f>
        <v/>
      </c>
      <c r="M21" s="5" t="n">
        <v>46271.5</v>
      </c>
      <c r="N21" t="inlineStr">
        <is>
          <t>TravelLine ресепшн</t>
        </is>
      </c>
      <c r="O21" s="2" t="inlineStr">
        <is>
          <t>УЛУЧШЕННЫЙ ДВУХМЕСТНЫЙ НОМЕР</t>
        </is>
      </c>
      <c r="P21" s="6" t="n"/>
      <c r="R21" t="inlineStr"/>
      <c r="S21" t="inlineStr">
        <is>
          <t>Тариф с завтраком</t>
        </is>
      </c>
      <c r="T21" t="n">
        <v>0</v>
      </c>
      <c r="U21" t="n">
        <v>30800</v>
      </c>
    </row>
    <row r="22">
      <c r="A22" t="inlineStr">
        <is>
          <t>20260922-8186-467631558</t>
        </is>
      </c>
      <c r="B22" t="n">
        <v>1</v>
      </c>
      <c r="C22" s="2" t="inlineStr">
        <is>
          <t>IRYNA KOZLOVA</t>
        </is>
      </c>
      <c r="D22" s="3" t="n">
        <v>10215</v>
      </c>
      <c r="E22" s="4" t="n">
        <v>0</v>
      </c>
      <c r="F22" t="inlineStr">
        <is>
          <t>Прямые бронирования (стойка) [Чайковский]</t>
        </is>
      </c>
      <c r="G22" s="3">
        <f>ROUND(D22/(100-E22)*100,2)</f>
        <v/>
      </c>
      <c r="H22" s="5" t="n">
        <v>46287.58333333334</v>
      </c>
      <c r="I22" t="n">
        <v>1</v>
      </c>
      <c r="J22" s="3">
        <f>G22/I22</f>
        <v/>
      </c>
      <c r="K22">
        <f>IF(J22&gt;=5100,"ставка","мин.ставка")</f>
        <v/>
      </c>
      <c r="L22" s="3">
        <f>ROUND(IF(K22="мин.ставка",I22*100,G22/102*2),2)</f>
        <v/>
      </c>
      <c r="M22" s="5" t="n">
        <v>46288.5</v>
      </c>
      <c r="N22" t="inlineStr">
        <is>
          <t>TravelLine ресепшн</t>
        </is>
      </c>
      <c r="O22" s="2" t="inlineStr">
        <is>
          <t>СТАНДАРТНЫЙ ДВУХМЕСТНЫЙ НОМЕР</t>
        </is>
      </c>
      <c r="P22" s="6" t="n"/>
      <c r="R22" t="inlineStr"/>
      <c r="S22" t="inlineStr">
        <is>
          <t>Тариф с завтраком</t>
        </is>
      </c>
      <c r="T22" t="n">
        <v>0</v>
      </c>
      <c r="U22" t="n">
        <v>10215</v>
      </c>
    </row>
    <row r="23">
      <c r="A23" t="inlineStr">
        <is>
          <t>20260917-8186-463133098</t>
        </is>
      </c>
      <c r="B23" t="n">
        <v>1</v>
      </c>
      <c r="C23" s="2" t="inlineStr">
        <is>
          <t>IRYNA KOZLOVA, MARYIA PECHKUROVA</t>
        </is>
      </c>
      <c r="D23" s="3" t="n">
        <v>47670</v>
      </c>
      <c r="E23" s="4" t="n">
        <v>16</v>
      </c>
      <c r="F23" t="inlineStr">
        <is>
          <t>ООО "БРОНИРОВАНИЕ ГОСТИНИЦ" (OSTROVOK) [Чайковский]</t>
        </is>
      </c>
      <c r="G23" s="3">
        <f>ROUND(D23/(100-E23)*100,2)</f>
        <v/>
      </c>
      <c r="H23" s="5" t="n">
        <v>46282.58333333334</v>
      </c>
      <c r="I23" t="n">
        <v>5</v>
      </c>
      <c r="J23" s="3">
        <f>G23/I23</f>
        <v/>
      </c>
      <c r="K23">
        <f>IF(J23&gt;=5100,"ставка","мин.ставка")</f>
        <v/>
      </c>
      <c r="L23" s="3">
        <f>ROUND(IF(K23="мин.ставка",I23*100,G23/102*2),2)</f>
        <v/>
      </c>
      <c r="M23" s="5" t="n">
        <v>46287.5</v>
      </c>
      <c r="N23" t="inlineStr">
        <is>
          <t>TravelLine OTK</t>
        </is>
      </c>
      <c r="O23" s="2" t="inlineStr">
        <is>
          <t>СТАНДАРТНЫЙ ДВУХМЕСТНЫЙ НОМЕР</t>
        </is>
      </c>
      <c r="P23" s="6" t="n"/>
      <c r="R23" t="inlineStr"/>
      <c r="S23" t="inlineStr">
        <is>
          <t>Тариф с завтраком</t>
        </is>
      </c>
      <c r="T23" t="n">
        <v>8000</v>
      </c>
      <c r="U23" t="n">
        <v>55670</v>
      </c>
    </row>
    <row r="24">
      <c r="A24" t="inlineStr">
        <is>
          <t>20260905-8186-463904028</t>
        </is>
      </c>
      <c r="B24" t="n">
        <v>1</v>
      </c>
      <c r="C24" s="2" t="inlineStr">
        <is>
          <t>JACOBUS SCHONEVELD, WIKANDA SCHONEVELD</t>
        </is>
      </c>
      <c r="D24" s="3" t="n">
        <v>32040</v>
      </c>
      <c r="E24" s="4" t="n">
        <v>0</v>
      </c>
      <c r="F24" t="inlineStr">
        <is>
          <t>Прямые бронирования (стойка) [Чайковский]</t>
        </is>
      </c>
      <c r="G24" s="3">
        <f>ROUND(D24/(100-E24)*100,2)</f>
        <v/>
      </c>
      <c r="H24" s="5" t="n">
        <v>46270.58333333334</v>
      </c>
      <c r="I24" t="n">
        <v>2</v>
      </c>
      <c r="J24" s="3">
        <f>G24/I24</f>
        <v/>
      </c>
      <c r="K24">
        <f>IF(J24&gt;=5100,"ставка","мин.ставка")</f>
        <v/>
      </c>
      <c r="L24" s="3">
        <f>ROUND(IF(K24="мин.ставка",I24*100,G24/102*2),2)</f>
        <v/>
      </c>
      <c r="M24" s="5" t="n">
        <v>46272.5</v>
      </c>
      <c r="N24" t="inlineStr">
        <is>
          <t>TravelLine ресепшн</t>
        </is>
      </c>
      <c r="O24" s="2" t="inlineStr">
        <is>
          <t>ЛЮКС ВТОРОЙ КОРПУС</t>
        </is>
      </c>
      <c r="P24" s="6" t="n"/>
      <c r="R24" t="inlineStr"/>
      <c r="S24" t="inlineStr">
        <is>
          <t>Тариф с завтраком</t>
        </is>
      </c>
      <c r="T24" t="n">
        <v>0</v>
      </c>
      <c r="U24" t="n">
        <v>32040</v>
      </c>
    </row>
    <row r="25">
      <c r="A25" t="inlineStr">
        <is>
          <t>20260706-8186-438572019</t>
        </is>
      </c>
      <c r="B25" t="n">
        <v>1</v>
      </c>
      <c r="C25" s="2" t="inlineStr">
        <is>
          <t>KANTEERA CHAINUAL, Евгений Ханнанов</t>
        </is>
      </c>
      <c r="D25" s="3" t="n">
        <v>30322.6</v>
      </c>
      <c r="E25" s="4" t="n">
        <v>4</v>
      </c>
      <c r="F25" t="inlineStr">
        <is>
          <t>TravelLine Booking Engine [Чайковский]</t>
        </is>
      </c>
      <c r="G25" s="3">
        <f>ROUND(D25/(100-E25)*100,2)</f>
        <v/>
      </c>
      <c r="H25" s="5" t="n">
        <v>46209.58333333334</v>
      </c>
      <c r="I25" t="n">
        <v>2</v>
      </c>
      <c r="J25" s="3">
        <f>G25/I25</f>
        <v/>
      </c>
      <c r="K25">
        <f>IF(J25&gt;=5100,"ставка","мин.ставка")</f>
        <v/>
      </c>
      <c r="L25" s="3">
        <f>ROUND(IF(K25="мин.ставка",I25*100,G25/102*2),2)</f>
        <v/>
      </c>
      <c r="M25" s="5" t="n">
        <v>46211.5</v>
      </c>
      <c r="N25" t="inlineStr">
        <is>
          <t>TravelLine сайт</t>
        </is>
      </c>
      <c r="O25" s="2" t="inlineStr">
        <is>
          <t>УЛУЧШЕННЫЙ ДВУХМЕСТНЫЙ НОМЕР</t>
        </is>
      </c>
      <c r="P25" s="6" t="n"/>
      <c r="R25" t="inlineStr"/>
      <c r="S25" t="inlineStr">
        <is>
          <t>Тариф с завтраком</t>
        </is>
      </c>
      <c r="T25" t="n">
        <v>0</v>
      </c>
      <c r="U25" t="n">
        <v>30322.6</v>
      </c>
    </row>
    <row r="26">
      <c r="A26" t="inlineStr">
        <is>
          <t>20260731-8186-454688935</t>
        </is>
      </c>
      <c r="B26" t="n">
        <v>1</v>
      </c>
      <c r="C26" s="2" t="inlineStr">
        <is>
          <t>Kayoko Meguro, Jun Meguro</t>
        </is>
      </c>
      <c r="D26" s="3" t="n">
        <v>43350</v>
      </c>
      <c r="E26" s="4" t="n">
        <v>0</v>
      </c>
      <c r="F26" t="inlineStr">
        <is>
          <t>Прямые бронирования (стойка) [Чайковский]</t>
        </is>
      </c>
      <c r="G26" s="3">
        <f>ROUND(D26/(100-E26)*100,2)</f>
        <v/>
      </c>
      <c r="H26" s="5" t="n">
        <v>46234.58333333334</v>
      </c>
      <c r="I26" t="n">
        <v>3</v>
      </c>
      <c r="J26" s="3">
        <f>G26/I26</f>
        <v/>
      </c>
      <c r="K26">
        <f>IF(J26&gt;=5100,"ставка","мин.ставка")</f>
        <v/>
      </c>
      <c r="L26" s="3">
        <f>ROUND(IF(K26="мин.ставка",I26*100,G26/102*2),2)</f>
        <v/>
      </c>
      <c r="M26" s="5" t="n">
        <v>46237.5</v>
      </c>
      <c r="N26" t="inlineStr">
        <is>
          <t>TravelLine ресепшн</t>
        </is>
      </c>
      <c r="O26" s="2" t="inlineStr">
        <is>
          <t>СЕМЕЙНЫЙ НОМЕР КАТЕГОРИИ "СТАНДАРТ" ВТОРОЙ КОРПУС</t>
        </is>
      </c>
      <c r="P26" s="6" t="n"/>
      <c r="R26" t="inlineStr"/>
      <c r="S26" t="inlineStr">
        <is>
          <t>Тариф с завтраком</t>
        </is>
      </c>
      <c r="T26" t="n">
        <v>0</v>
      </c>
      <c r="U26" t="n">
        <v>43350</v>
      </c>
    </row>
    <row r="27">
      <c r="A27" t="inlineStr">
        <is>
          <t>20260904-8186-462864511</t>
        </is>
      </c>
      <c r="B27" t="n">
        <v>1</v>
      </c>
      <c r="C27" s="2" t="inlineStr">
        <is>
          <t>LARISSA PAVLENKO, ANDREJ SCHULEPOW</t>
        </is>
      </c>
      <c r="D27" s="3" t="n">
        <v>26700</v>
      </c>
      <c r="E27" s="4" t="n">
        <v>0</v>
      </c>
      <c r="F27" t="inlineStr">
        <is>
          <t>Прямые бронирования (стойка) [Чайковский]</t>
        </is>
      </c>
      <c r="G27" s="3">
        <f>ROUND(D27/(100-E27)*100,2)</f>
        <v/>
      </c>
      <c r="H27" s="5" t="n">
        <v>46269.58333333334</v>
      </c>
      <c r="I27" t="n">
        <v>2</v>
      </c>
      <c r="J27" s="3">
        <f>G27/I27</f>
        <v/>
      </c>
      <c r="K27">
        <f>IF(J27&gt;=5100,"ставка","мин.ставка")</f>
        <v/>
      </c>
      <c r="L27" s="3">
        <f>ROUND(IF(K27="мин.ставка",I27*100,G27/102*2),2)</f>
        <v/>
      </c>
      <c r="M27" s="5" t="n">
        <v>46271.5</v>
      </c>
      <c r="N27" t="inlineStr">
        <is>
          <t>TravelLine ресепшн</t>
        </is>
      </c>
      <c r="O27" s="2" t="inlineStr">
        <is>
          <t>СТАНДАРТНЫЙ ДВУХМЕСТНЫЙ НОМЕР</t>
        </is>
      </c>
      <c r="P27" s="6" t="n"/>
      <c r="R27" t="inlineStr"/>
      <c r="S27" t="inlineStr">
        <is>
          <t>Тариф с завтраком</t>
        </is>
      </c>
      <c r="T27" t="n">
        <v>0</v>
      </c>
      <c r="U27" t="n">
        <v>26700</v>
      </c>
    </row>
    <row r="28">
      <c r="A28" t="inlineStr">
        <is>
          <t>20260708-8186-448570692</t>
        </is>
      </c>
      <c r="B28" t="n">
        <v>1</v>
      </c>
      <c r="C28" s="2" t="inlineStr">
        <is>
          <t>Lian Li</t>
        </is>
      </c>
      <c r="D28" s="3" t="n">
        <v>28560</v>
      </c>
      <c r="E28" s="4" t="n">
        <v>18</v>
      </c>
      <c r="F28" t="inlineStr">
        <is>
          <t>Яндекс.Путешествия [Чайковский]</t>
        </is>
      </c>
      <c r="G28" s="3">
        <f>ROUND(D28/(100-E28)*100,2)</f>
        <v/>
      </c>
      <c r="H28" s="5" t="n">
        <v>46211.58333333334</v>
      </c>
      <c r="I28" t="n">
        <v>3</v>
      </c>
      <c r="J28" s="3">
        <f>G28/I28</f>
        <v/>
      </c>
      <c r="K28">
        <f>IF(J28&gt;=5100,"ставка","мин.ставка")</f>
        <v/>
      </c>
      <c r="L28" s="3">
        <f>ROUND(IF(K28="мин.ставка",I28*100,G28/102*2),2)</f>
        <v/>
      </c>
      <c r="M28" s="5" t="n">
        <v>46214.5</v>
      </c>
      <c r="N28" t="inlineStr">
        <is>
          <t>TravelLine YAX</t>
        </is>
      </c>
      <c r="O28" s="2" t="inlineStr">
        <is>
          <t>УЛУЧШЕННЫЙ ДВУХМЕСТНЫЙ НОМЕР</t>
        </is>
      </c>
      <c r="P28" s="6" t="n"/>
      <c r="R28" t="inlineStr"/>
      <c r="S28" t="inlineStr">
        <is>
          <t>Основной тариф без завтрака</t>
        </is>
      </c>
      <c r="T28" t="n">
        <v>0</v>
      </c>
      <c r="U28" t="n">
        <v>28560</v>
      </c>
    </row>
    <row r="29">
      <c r="A29" t="inlineStr">
        <is>
          <t>20260727-8186-453517212</t>
        </is>
      </c>
      <c r="B29" t="n">
        <v>1</v>
      </c>
      <c r="C29" s="2" t="inlineStr">
        <is>
          <t>LIYA VINOGRADOVA</t>
        </is>
      </c>
      <c r="D29" s="3" t="n">
        <v>8900</v>
      </c>
      <c r="E29" s="4" t="n">
        <v>0</v>
      </c>
      <c r="F29" t="inlineStr">
        <is>
          <t>Прямые бронирования (стойка) [Чайковский]</t>
        </is>
      </c>
      <c r="G29" s="3">
        <f>ROUND(D29/(100-E29)*100,2)</f>
        <v/>
      </c>
      <c r="H29" s="5" t="n">
        <v>46230.58333333334</v>
      </c>
      <c r="I29" t="n">
        <v>1</v>
      </c>
      <c r="J29" s="3">
        <f>G29/I29</f>
        <v/>
      </c>
      <c r="K29">
        <f>IF(J29&gt;=5100,"ставка","мин.ставка")</f>
        <v/>
      </c>
      <c r="L29" s="3">
        <f>ROUND(IF(K29="мин.ставка",I29*100,G29/102*2),2)</f>
        <v/>
      </c>
      <c r="M29" s="5" t="n">
        <v>46231.5</v>
      </c>
      <c r="N29" t="inlineStr">
        <is>
          <t>TravelLine ресепшн</t>
        </is>
      </c>
      <c r="O29" s="2" t="inlineStr">
        <is>
          <t>СТАНДАРТНЫЙ ДВУХМЕСТНЫЙ НОМЕР</t>
        </is>
      </c>
      <c r="P29" s="6" t="n"/>
      <c r="R29" t="inlineStr"/>
      <c r="S29" t="inlineStr">
        <is>
          <t>Тариф с завтраком</t>
        </is>
      </c>
      <c r="T29" t="n">
        <v>0</v>
      </c>
      <c r="U29" t="n">
        <v>8900</v>
      </c>
    </row>
    <row r="30">
      <c r="A30" t="inlineStr">
        <is>
          <t>20260726-8186-453460339</t>
        </is>
      </c>
      <c r="B30" t="n">
        <v>1</v>
      </c>
      <c r="C30" s="2" t="inlineStr">
        <is>
          <t>LIYA VINOGRADOVA</t>
        </is>
      </c>
      <c r="D30" s="3" t="n">
        <v>8900</v>
      </c>
      <c r="E30" s="4" t="n">
        <v>0</v>
      </c>
      <c r="F30" t="inlineStr">
        <is>
          <t>Прямые бронирования (стойка) [Чайковский]</t>
        </is>
      </c>
      <c r="G30" s="3">
        <f>ROUND(D30/(100-E30)*100,2)</f>
        <v/>
      </c>
      <c r="H30" s="5" t="n">
        <v>46229.58333333334</v>
      </c>
      <c r="I30" t="n">
        <v>1</v>
      </c>
      <c r="J30" s="3">
        <f>G30/I30</f>
        <v/>
      </c>
      <c r="K30">
        <f>IF(J30&gt;=5100,"ставка","мин.ставка")</f>
        <v/>
      </c>
      <c r="L30" s="3">
        <f>ROUND(IF(K30="мин.ставка",I30*100,G30/102*2),2)</f>
        <v/>
      </c>
      <c r="M30" s="5" t="n">
        <v>46230.5</v>
      </c>
      <c r="N30" t="inlineStr">
        <is>
          <t>TravelLine ресепшн</t>
        </is>
      </c>
      <c r="O30" s="2" t="inlineStr">
        <is>
          <t>СТАНДАРТНЫЙ ДВУХМЕСТНЫЙ НОМЕР</t>
        </is>
      </c>
      <c r="P30" s="6" t="n"/>
      <c r="R30" t="inlineStr"/>
      <c r="S30" t="inlineStr">
        <is>
          <t>Тариф с завтраком</t>
        </is>
      </c>
      <c r="T30" t="n">
        <v>0</v>
      </c>
      <c r="U30" t="n">
        <v>8900</v>
      </c>
    </row>
    <row r="31">
      <c r="A31" t="inlineStr">
        <is>
          <t>20260715-8186-415978195</t>
        </is>
      </c>
      <c r="B31" t="n">
        <v>1</v>
      </c>
      <c r="C31" s="2" t="inlineStr">
        <is>
          <t>Manfred Kemmer, Алла Мальгина</t>
        </is>
      </c>
      <c r="D31" s="3" t="n">
        <v>45390</v>
      </c>
      <c r="E31" s="4" t="n">
        <v>15</v>
      </c>
      <c r="F31" t="inlineStr">
        <is>
          <t>ООО "БРОНИРОВАНИЕ ГОСТИНИЦ" (OSTROVOK) [Чайковский]</t>
        </is>
      </c>
      <c r="G31" s="3">
        <f>ROUND(D31/(100-E31)*100,2)</f>
        <v/>
      </c>
      <c r="H31" s="5" t="n">
        <v>46218.58333333334</v>
      </c>
      <c r="I31" t="n">
        <v>4</v>
      </c>
      <c r="J31" s="3">
        <f>G31/I31</f>
        <v/>
      </c>
      <c r="K31">
        <f>IF(J31&gt;=5100,"ставка","мин.ставка")</f>
        <v/>
      </c>
      <c r="L31" s="3">
        <f>ROUND(IF(K31="мин.ставка",I31*100,G31/102*2),2)</f>
        <v/>
      </c>
      <c r="M31" s="5" t="n">
        <v>46222.5</v>
      </c>
      <c r="N31" t="inlineStr">
        <is>
          <t>TravelLine OTK</t>
        </is>
      </c>
      <c r="O31" s="2" t="inlineStr">
        <is>
          <t>СТАНДАРТНЫЙ ДВУХМЕСТНЫЙ НОМЕР</t>
        </is>
      </c>
      <c r="P31" s="6" t="n"/>
      <c r="R31" t="inlineStr"/>
      <c r="S31" t="inlineStr">
        <is>
          <t>Тариф с завтраком</t>
        </is>
      </c>
      <c r="T31" t="n">
        <v>0</v>
      </c>
      <c r="U31" t="n">
        <v>45390</v>
      </c>
    </row>
    <row r="32">
      <c r="A32" t="inlineStr">
        <is>
          <t>20260712-8186-449646004</t>
        </is>
      </c>
      <c r="B32" t="n">
        <v>1</v>
      </c>
      <c r="C32" s="2" t="inlineStr">
        <is>
          <t>ozon сухоруков штраф</t>
        </is>
      </c>
      <c r="D32" s="3" t="n">
        <v>11371</v>
      </c>
      <c r="E32" s="4" t="n">
        <v>0</v>
      </c>
      <c r="F32" t="inlineStr">
        <is>
          <t>Прямые бронирования (стойка) [Чайковский]</t>
        </is>
      </c>
      <c r="G32" s="3">
        <f>ROUND(D32/(100-E32)*100,2)</f>
        <v/>
      </c>
      <c r="H32" s="5" t="n">
        <v>46215.58333333334</v>
      </c>
      <c r="I32" t="n">
        <v>1</v>
      </c>
      <c r="J32" s="3">
        <f>G32/I32</f>
        <v/>
      </c>
      <c r="K32">
        <f>IF(J32&gt;=5100,"ставка","мин.ставка")</f>
        <v/>
      </c>
      <c r="L32" s="3">
        <f>ROUND(IF(K32="мин.ставка",I32*100,G32/102*2),2)</f>
        <v/>
      </c>
      <c r="M32" s="5" t="n">
        <v>46216.5</v>
      </c>
      <c r="N32" t="inlineStr">
        <is>
          <t>TravelLine ресепшн</t>
        </is>
      </c>
      <c r="O32" s="2" t="inlineStr">
        <is>
          <t>СЕМЕЙНЫЙ НОМЕР КАТЕГОРИИ "СТАНДАРТ" ВТОРОЙ КОРПУС</t>
        </is>
      </c>
      <c r="P32" s="6" t="n"/>
      <c r="R32" t="inlineStr"/>
      <c r="S32" t="inlineStr">
        <is>
          <t>Тариф с завтраком</t>
        </is>
      </c>
      <c r="T32" t="n">
        <v>0</v>
      </c>
      <c r="U32" t="n">
        <v>11371</v>
      </c>
    </row>
    <row r="33">
      <c r="A33" t="inlineStr">
        <is>
          <t>20260908-8186-463674253</t>
        </is>
      </c>
      <c r="B33" t="n">
        <v>1</v>
      </c>
      <c r="C33" s="2" t="inlineStr">
        <is>
          <t>Piotr ANATOL Wilk</t>
        </is>
      </c>
      <c r="D33" s="3" t="n">
        <v>15800</v>
      </c>
      <c r="E33" s="4" t="n">
        <v>0</v>
      </c>
      <c r="F33" t="inlineStr">
        <is>
          <t>Прямые бронирования (стойка) [Чайковский]</t>
        </is>
      </c>
      <c r="G33" s="3">
        <f>ROUND(D33/(100-E33)*100,2)</f>
        <v/>
      </c>
      <c r="H33" s="5" t="n">
        <v>46273.58333333334</v>
      </c>
      <c r="I33" t="n">
        <v>2</v>
      </c>
      <c r="J33" s="3">
        <f>G33/I33</f>
        <v/>
      </c>
      <c r="K33">
        <f>IF(J33&gt;=5100,"ставка","мин.ставка")</f>
        <v/>
      </c>
      <c r="L33" s="3">
        <f>ROUND(IF(K33="мин.ставка",I33*100,G33/102*2),2)</f>
        <v/>
      </c>
      <c r="M33" s="5" t="n">
        <v>46275.5</v>
      </c>
      <c r="N33" t="inlineStr">
        <is>
          <t>TravelLine ресепшн</t>
        </is>
      </c>
      <c r="O33" s="2" t="inlineStr">
        <is>
          <t>СТАНДАРТНЫЙ ДВУХМЕСТНЫЙ НОМЕР (МАНСАРДА)</t>
        </is>
      </c>
      <c r="P33" s="6" t="n"/>
      <c r="R33" t="inlineStr"/>
      <c r="S33" t="inlineStr">
        <is>
          <t>Тариф с завтраком</t>
        </is>
      </c>
      <c r="T33" t="n">
        <v>0</v>
      </c>
      <c r="U33" t="n">
        <v>15800</v>
      </c>
    </row>
    <row r="34">
      <c r="A34" t="inlineStr">
        <is>
          <t>20260716-8186-450486693</t>
        </is>
      </c>
      <c r="B34" t="n">
        <v>1</v>
      </c>
      <c r="C34" s="2" t="inlineStr">
        <is>
          <t>SERGEI SALTYKOV</t>
        </is>
      </c>
      <c r="D34" s="3" t="n">
        <v>9080</v>
      </c>
      <c r="E34" s="4" t="n">
        <v>20</v>
      </c>
      <c r="F34" t="inlineStr">
        <is>
          <t>ООО "ХБ-ПРО" [Чайковский]</t>
        </is>
      </c>
      <c r="G34" s="3">
        <f>ROUND(D34/(100-E34)*100,2)</f>
        <v/>
      </c>
      <c r="H34" s="5" t="n">
        <v>46219.58333333334</v>
      </c>
      <c r="I34" t="n">
        <v>1</v>
      </c>
      <c r="J34" s="3">
        <f>G34/I34</f>
        <v/>
      </c>
      <c r="K34">
        <f>IF(J34&gt;=5100,"ставка","мин.ставка")</f>
        <v/>
      </c>
      <c r="L34" s="3">
        <f>ROUND(IF(K34="мин.ставка",I34*100,G34/102*2),2)</f>
        <v/>
      </c>
      <c r="M34" s="5" t="n">
        <v>46220.5</v>
      </c>
      <c r="N34" t="inlineStr">
        <is>
          <t>TravelLine UTS</t>
        </is>
      </c>
      <c r="O34" s="2" t="inlineStr">
        <is>
          <t>СТАНДАРТНЫЙ ДВУХМЕСТНЫЙ НОМЕР</t>
        </is>
      </c>
      <c r="P34" s="6" t="n"/>
      <c r="R34" t="inlineStr"/>
      <c r="S34" t="inlineStr">
        <is>
          <t>Тариф с завтраком</t>
        </is>
      </c>
      <c r="T34" t="n">
        <v>0</v>
      </c>
      <c r="U34" t="n">
        <v>9080</v>
      </c>
    </row>
    <row r="35">
      <c r="A35" t="inlineStr">
        <is>
          <t>20260823-8186-408908207</t>
        </is>
      </c>
      <c r="B35" t="n">
        <v>1</v>
      </c>
      <c r="C35" s="2" t="inlineStr">
        <is>
          <t>SIARHEI HRECHKA</t>
        </is>
      </c>
      <c r="D35" s="3" t="n">
        <v>7110</v>
      </c>
      <c r="E35" s="4" t="n">
        <v>0</v>
      </c>
      <c r="F35" t="inlineStr">
        <is>
          <t>Прямые бронирования (стойка) [Чайковский]</t>
        </is>
      </c>
      <c r="G35" s="3">
        <f>ROUND(D35/(100-E35)*100,2)</f>
        <v/>
      </c>
      <c r="H35" s="5" t="n">
        <v>46257.58333333334</v>
      </c>
      <c r="I35" t="n">
        <v>1</v>
      </c>
      <c r="J35" s="3">
        <f>G35/I35</f>
        <v/>
      </c>
      <c r="K35">
        <f>IF(J35&gt;=5100,"ставка","мин.ставка")</f>
        <v/>
      </c>
      <c r="L35" s="3">
        <f>ROUND(IF(K35="мин.ставка",I35*100,G35/102*2),2)</f>
        <v/>
      </c>
      <c r="M35" s="5" t="n">
        <v>46258.58333333334</v>
      </c>
      <c r="N35" t="inlineStr">
        <is>
          <t>TravelLine ресепшн</t>
        </is>
      </c>
      <c r="O35" s="2" t="inlineStr">
        <is>
          <t>СТАНДАРТНЫЙ ДВУХМЕСТНЫЙ НОМЕР (МАНСАРДА)</t>
        </is>
      </c>
      <c r="P35" s="6" t="n"/>
      <c r="R35" t="inlineStr"/>
      <c r="S35" t="inlineStr">
        <is>
          <t>Тариф с завтраком</t>
        </is>
      </c>
      <c r="T35" t="n">
        <v>0</v>
      </c>
      <c r="U35" t="n">
        <v>28440</v>
      </c>
    </row>
    <row r="36">
      <c r="A36" t="inlineStr">
        <is>
          <t>20260823-8186-408908207</t>
        </is>
      </c>
      <c r="B36" t="n">
        <v>1</v>
      </c>
      <c r="C36" s="2" t="inlineStr">
        <is>
          <t>SIARHEI HRECHKA</t>
        </is>
      </c>
      <c r="D36" s="3" t="n">
        <v>21330</v>
      </c>
      <c r="E36" s="4" t="n">
        <v>0</v>
      </c>
      <c r="F36" t="inlineStr">
        <is>
          <t>Прямые бронирования (стойка) [Чайковский]</t>
        </is>
      </c>
      <c r="G36" s="3">
        <f>ROUND(D36/(100-E36)*100,2)</f>
        <v/>
      </c>
      <c r="H36" s="5" t="n">
        <v>46258.58333333334</v>
      </c>
      <c r="I36" t="n">
        <v>3</v>
      </c>
      <c r="J36" s="3">
        <f>G36/I36</f>
        <v/>
      </c>
      <c r="K36">
        <f>IF(J36&gt;=5100,"ставка","мин.ставка")</f>
        <v/>
      </c>
      <c r="L36" s="3">
        <f>ROUND(IF(K36="мин.ставка",I36*100,G36/102*2),2)</f>
        <v/>
      </c>
      <c r="M36" s="5" t="n">
        <v>46261.5</v>
      </c>
      <c r="N36" t="inlineStr">
        <is>
          <t>TravelLine ресепшн</t>
        </is>
      </c>
      <c r="O36" s="2" t="inlineStr">
        <is>
          <t>УЛУЧШЕННЫЙ ДВУХМЕСТНЫЙ НОМЕР</t>
        </is>
      </c>
      <c r="P36" s="6" t="n"/>
      <c r="R36" t="inlineStr"/>
      <c r="S36" t="inlineStr">
        <is>
          <t>Тариф с завтраком</t>
        </is>
      </c>
      <c r="T36" t="n">
        <v>0</v>
      </c>
      <c r="U36" t="n">
        <v>28440</v>
      </c>
    </row>
    <row r="37">
      <c r="A37" t="inlineStr">
        <is>
          <t>20260720-8186-450480260</t>
        </is>
      </c>
      <c r="B37" t="n">
        <v>1</v>
      </c>
      <c r="C37" s="2" t="inlineStr">
        <is>
          <t>TELMAN MUSAYEV</t>
        </is>
      </c>
      <c r="D37" s="3" t="n">
        <v>22700</v>
      </c>
      <c r="E37" s="4" t="n">
        <v>0</v>
      </c>
      <c r="F37" t="inlineStr">
        <is>
          <t>Прямые бронирования (стойка) [Чайковский]</t>
        </is>
      </c>
      <c r="G37" s="3">
        <f>ROUND(D37/(100-E37)*100,2)</f>
        <v/>
      </c>
      <c r="H37" s="5" t="n">
        <v>46223.58333333334</v>
      </c>
      <c r="I37" t="n">
        <v>2</v>
      </c>
      <c r="J37" s="3">
        <f>G37/I37</f>
        <v/>
      </c>
      <c r="K37">
        <f>IF(J37&gt;=5100,"ставка","мин.ставка")</f>
        <v/>
      </c>
      <c r="L37" s="3">
        <f>ROUND(IF(K37="мин.ставка",I37*100,G37/102*2),2)</f>
        <v/>
      </c>
      <c r="M37" s="5" t="n">
        <v>46225.5</v>
      </c>
      <c r="N37" t="inlineStr">
        <is>
          <t>TravelLine ресепшн</t>
        </is>
      </c>
      <c r="O37" s="2" t="inlineStr">
        <is>
          <t>СТАНДАРТНЫЙ ДВУХМЕСТНЫЙ НОМЕР</t>
        </is>
      </c>
      <c r="P37" s="6" t="n"/>
      <c r="R37" t="inlineStr"/>
      <c r="S37" t="inlineStr">
        <is>
          <t>Тариф с завтраком</t>
        </is>
      </c>
      <c r="T37" t="n">
        <v>0</v>
      </c>
      <c r="U37" t="n">
        <v>22700</v>
      </c>
    </row>
    <row r="38">
      <c r="A38" t="inlineStr">
        <is>
          <t>20260920-8186-464587353</t>
        </is>
      </c>
      <c r="B38" t="n">
        <v>1</v>
      </c>
      <c r="C38" s="2" t="inlineStr">
        <is>
          <t>TOMASZ MIKOS</t>
        </is>
      </c>
      <c r="D38" s="3" t="n">
        <v>12325</v>
      </c>
      <c r="E38" s="4" t="n">
        <v>15</v>
      </c>
      <c r="F38" t="inlineStr">
        <is>
          <t>ООО «СБО» (Ростелеком) [Чайковский]</t>
        </is>
      </c>
      <c r="G38" s="3">
        <f>ROUND(D38/(100-E38)*100,2)</f>
        <v/>
      </c>
      <c r="H38" s="5" t="n">
        <v>46285.58333333334</v>
      </c>
      <c r="I38" t="n">
        <v>1</v>
      </c>
      <c r="J38" s="3">
        <f>G38/I38</f>
        <v/>
      </c>
      <c r="K38">
        <f>IF(J38&gt;=5100,"ставка","мин.ставка")</f>
        <v/>
      </c>
      <c r="L38" s="3">
        <f>ROUND(IF(K38="мин.ставка",I38*100,G38/102*2),2)</f>
        <v/>
      </c>
      <c r="M38" s="5" t="n">
        <v>46286.5</v>
      </c>
      <c r="N38" t="inlineStr">
        <is>
          <t>TravelLine RTT</t>
        </is>
      </c>
      <c r="O38" s="2" t="inlineStr">
        <is>
          <t>ПОЛУЛЮКС</t>
        </is>
      </c>
      <c r="P38" s="6" t="n"/>
      <c r="R38" t="inlineStr"/>
      <c r="S38" t="inlineStr">
        <is>
          <t>Тариф с завтраком</t>
        </is>
      </c>
      <c r="T38" t="n">
        <v>0</v>
      </c>
      <c r="U38" t="n">
        <v>12325</v>
      </c>
    </row>
    <row r="39">
      <c r="A39" t="inlineStr">
        <is>
          <t>20260806-8186-448675183</t>
        </is>
      </c>
      <c r="B39" t="n">
        <v>1</v>
      </c>
      <c r="C39" s="2" t="inlineStr">
        <is>
          <t>TOMASZ PIOTR TROJAK</t>
        </is>
      </c>
      <c r="D39" s="3" t="n">
        <v>6160</v>
      </c>
      <c r="E39" s="4" t="n">
        <v>20</v>
      </c>
      <c r="F39" t="inlineStr">
        <is>
          <t>ООО "ХБ-ПРО" [Чайковский]</t>
        </is>
      </c>
      <c r="G39" s="3">
        <f>ROUND(D39/(100-E39)*100,2)</f>
        <v/>
      </c>
      <c r="H39" s="5" t="n">
        <v>46240.58333333334</v>
      </c>
      <c r="I39" t="n">
        <v>1</v>
      </c>
      <c r="J39" s="3">
        <f>G39/I39</f>
        <v/>
      </c>
      <c r="K39">
        <f>IF(J39&gt;=5100,"ставка","мин.ставка")</f>
        <v/>
      </c>
      <c r="L39" s="3">
        <f>ROUND(IF(K39="мин.ставка",I39*100,G39/102*2),2)</f>
        <v/>
      </c>
      <c r="M39" s="5" t="n">
        <v>46241.5</v>
      </c>
      <c r="N39" t="inlineStr">
        <is>
          <t>TravelLine UTS</t>
        </is>
      </c>
      <c r="O39" s="2" t="inlineStr">
        <is>
          <t>СТАНДАРТНЫЙ ОДНОМЕСТНЫЙ НОМЕР</t>
        </is>
      </c>
      <c r="P39" s="6" t="n"/>
      <c r="R39" t="inlineStr"/>
      <c r="S39" t="inlineStr">
        <is>
          <t>Тариф с завтраком</t>
        </is>
      </c>
      <c r="T39" t="n">
        <v>0</v>
      </c>
      <c r="U39" t="n">
        <v>6160</v>
      </c>
    </row>
    <row r="40">
      <c r="A40" t="inlineStr">
        <is>
          <t>20260704-8186-447653921</t>
        </is>
      </c>
      <c r="B40" t="n">
        <v>1</v>
      </c>
      <c r="C40" s="2" t="inlineStr">
        <is>
          <t>VADIM JOSAN, MARIANA JOSAN</t>
        </is>
      </c>
      <c r="D40" s="3" t="n">
        <v>10900</v>
      </c>
      <c r="E40" s="4" t="n">
        <v>0</v>
      </c>
      <c r="F40" t="inlineStr">
        <is>
          <t>Прямые бронирования (стойка) [Чайковский]</t>
        </is>
      </c>
      <c r="G40" s="3">
        <f>ROUND(D40/(100-E40)*100,2)</f>
        <v/>
      </c>
      <c r="H40" s="5" t="n">
        <v>46207.58333333334</v>
      </c>
      <c r="I40" t="n">
        <v>1</v>
      </c>
      <c r="J40" s="3">
        <f>G40/I40</f>
        <v/>
      </c>
      <c r="K40">
        <f>IF(J40&gt;=5100,"ставка","мин.ставка")</f>
        <v/>
      </c>
      <c r="L40" s="3">
        <f>ROUND(IF(K40="мин.ставка",I40*100,G40/102*2),2)</f>
        <v/>
      </c>
      <c r="M40" s="5" t="n">
        <v>46208.5</v>
      </c>
      <c r="N40" t="inlineStr">
        <is>
          <t>TravelLine ресепшн</t>
        </is>
      </c>
      <c r="O40" s="2" t="inlineStr">
        <is>
          <t>СЕМЕЙНЫЙ НОМЕР КАТЕГОРИИ "СТАНДАРТ" ВТОРОЙ КОРПУС</t>
        </is>
      </c>
      <c r="P40" s="6" t="n"/>
      <c r="R40" t="inlineStr"/>
      <c r="S40" t="inlineStr">
        <is>
          <t>Тариф с завтраком</t>
        </is>
      </c>
      <c r="T40" t="n">
        <v>5600</v>
      </c>
      <c r="U40" t="n">
        <v>16500</v>
      </c>
    </row>
    <row r="41">
      <c r="A41" t="inlineStr">
        <is>
          <t>20260906-8186-449903524</t>
        </is>
      </c>
      <c r="B41" t="n">
        <v>1</v>
      </c>
      <c r="C41" s="2" t="inlineStr">
        <is>
          <t>YUrij Borisenko, Nataliya Burtseva</t>
        </is>
      </c>
      <c r="D41" s="3" t="n">
        <v>22695</v>
      </c>
      <c r="E41" s="4" t="n">
        <v>16</v>
      </c>
      <c r="F41" t="inlineStr">
        <is>
          <t>ООО "БРОНИРОВАНИЕ ГОСТИНИЦ" (OSTROVOK) [Чайковский]</t>
        </is>
      </c>
      <c r="G41" s="3">
        <f>ROUND(D41/(100-E41)*100,2)</f>
        <v/>
      </c>
      <c r="H41" s="5" t="n">
        <v>46271.58333333334</v>
      </c>
      <c r="I41" t="n">
        <v>2</v>
      </c>
      <c r="J41" s="3">
        <f>G41/I41</f>
        <v/>
      </c>
      <c r="K41">
        <f>IF(J41&gt;=5100,"ставка","мин.ставка")</f>
        <v/>
      </c>
      <c r="L41" s="3">
        <f>ROUND(IF(K41="мин.ставка",I41*100,G41/102*2),2)</f>
        <v/>
      </c>
      <c r="M41" s="5" t="n">
        <v>46273.5</v>
      </c>
      <c r="N41" t="inlineStr">
        <is>
          <t>TravelLine OTK</t>
        </is>
      </c>
      <c r="O41" s="2" t="inlineStr">
        <is>
          <t>СТАНДАРТНЫЙ ДВУХМЕСТНЫЙ НОМЕР</t>
        </is>
      </c>
      <c r="P41" s="6" t="n"/>
      <c r="R41" t="inlineStr"/>
      <c r="S41" t="inlineStr">
        <is>
          <t>Тариф с завтраком</t>
        </is>
      </c>
      <c r="T41" t="n">
        <v>0</v>
      </c>
      <c r="U41" t="n">
        <v>22695</v>
      </c>
    </row>
    <row r="42">
      <c r="A42" t="inlineStr">
        <is>
          <t>20260703-8186-446990671</t>
        </is>
      </c>
      <c r="B42" t="n">
        <v>1</v>
      </c>
      <c r="C42" s="2" t="inlineStr">
        <is>
          <t>а Аня от ольги Агеевой</t>
        </is>
      </c>
      <c r="D42" s="3" t="n">
        <v>7000</v>
      </c>
      <c r="E42" s="4" t="n">
        <v>0</v>
      </c>
      <c r="F42" t="inlineStr">
        <is>
          <t>Прямые бронирования (стойка) [Чайковский]</t>
        </is>
      </c>
      <c r="G42" s="3">
        <f>ROUND(D42/(100-E42)*100,2)</f>
        <v/>
      </c>
      <c r="H42" s="5" t="n">
        <v>46206.58333333334</v>
      </c>
      <c r="I42" t="n">
        <v>1</v>
      </c>
      <c r="J42" s="3">
        <f>G42/I42</f>
        <v/>
      </c>
      <c r="K42">
        <f>IF(J42&gt;=5100,"ставка","мин.ставка")</f>
        <v/>
      </c>
      <c r="L42" s="3">
        <f>ROUND(IF(K42="мин.ставка",I42*100,G42/102*2),2)</f>
        <v/>
      </c>
      <c r="M42" s="5" t="n">
        <v>46207.5</v>
      </c>
      <c r="N42" t="inlineStr">
        <is>
          <t>TravelLine ресепшн</t>
        </is>
      </c>
      <c r="O42" s="2" t="inlineStr">
        <is>
          <t>ЛЮКС ВТОРОЙ КОРПУС</t>
        </is>
      </c>
      <c r="P42" s="6" t="n"/>
      <c r="R42" t="inlineStr"/>
      <c r="S42" t="inlineStr">
        <is>
          <t>Тариф с завтраком</t>
        </is>
      </c>
      <c r="T42" t="n">
        <v>0</v>
      </c>
      <c r="U42" t="n">
        <v>7000</v>
      </c>
    </row>
    <row r="43">
      <c r="A43" t="inlineStr">
        <is>
          <t>20260701-8186-429047315</t>
        </is>
      </c>
      <c r="B43" t="n">
        <v>1</v>
      </c>
      <c r="C43" s="2" t="inlineStr">
        <is>
          <t>Аделя Каримова</t>
        </is>
      </c>
      <c r="D43" s="3" t="n">
        <v>13149.75</v>
      </c>
      <c r="E43" s="4" t="n">
        <v>4</v>
      </c>
      <c r="F43" t="inlineStr">
        <is>
          <t>TravelLine Booking Engine [Чайковский]</t>
        </is>
      </c>
      <c r="G43" s="3">
        <f>ROUND(D43/(100-E43)*100,2)</f>
        <v/>
      </c>
      <c r="H43" s="5" t="n">
        <v>46204.58333333334</v>
      </c>
      <c r="I43" t="n">
        <v>1</v>
      </c>
      <c r="J43" s="3">
        <f>G43/I43</f>
        <v/>
      </c>
      <c r="K43">
        <f>IF(J43&gt;=5100,"ставка","мин.ставка")</f>
        <v/>
      </c>
      <c r="L43" s="3">
        <f>ROUND(IF(K43="мин.ставка",I43*100,G43/102*2),2)</f>
        <v/>
      </c>
      <c r="M43" s="5" t="n">
        <v>46205.5</v>
      </c>
      <c r="N43" t="inlineStr">
        <is>
          <t>TravelLine сайт</t>
        </is>
      </c>
      <c r="O43" s="2" t="inlineStr">
        <is>
          <t>СТАНДАРТНЫЙ ДВУХМЕСТНЫЙ НОМЕР</t>
        </is>
      </c>
      <c r="P43" s="6" t="n"/>
      <c r="R43" t="inlineStr"/>
      <c r="S43" t="inlineStr">
        <is>
          <t>Тариф с завтраком</t>
        </is>
      </c>
      <c r="T43" t="n">
        <v>0</v>
      </c>
      <c r="U43" t="n">
        <v>13149.75</v>
      </c>
    </row>
    <row r="44">
      <c r="A44" t="inlineStr">
        <is>
          <t>20260919-8186-463926515</t>
        </is>
      </c>
      <c r="B44" t="n">
        <v>1</v>
      </c>
      <c r="C44" s="2" t="inlineStr">
        <is>
          <t>Аида Щетинина, Валерия Сурич</t>
        </is>
      </c>
      <c r="D44" s="3" t="n">
        <v>39849.75</v>
      </c>
      <c r="E44" s="4" t="n">
        <v>4</v>
      </c>
      <c r="F44" t="inlineStr">
        <is>
          <t>TravelLine Booking Engine [Чайковский]</t>
        </is>
      </c>
      <c r="G44" s="3">
        <f>ROUND(D44/(100-E44)*100,2)</f>
        <v/>
      </c>
      <c r="H44" s="5" t="n">
        <v>46284.58333333334</v>
      </c>
      <c r="I44" t="n">
        <v>3</v>
      </c>
      <c r="J44" s="3">
        <f>G44/I44</f>
        <v/>
      </c>
      <c r="K44">
        <f>IF(J44&gt;=5100,"ставка","мин.ставка")</f>
        <v/>
      </c>
      <c r="L44" s="3">
        <f>ROUND(IF(K44="мин.ставка",I44*100,G44/102*2),2)</f>
        <v/>
      </c>
      <c r="M44" s="5" t="n">
        <v>46287.5</v>
      </c>
      <c r="N44" t="inlineStr">
        <is>
          <t>TravelLine сайт</t>
        </is>
      </c>
      <c r="O44" s="2" t="inlineStr">
        <is>
          <t>СТАНДАРТНЫЙ ДВУХМЕСТНЫЙ НОМЕР</t>
        </is>
      </c>
      <c r="P44" s="6" t="n"/>
      <c r="R44" t="inlineStr"/>
      <c r="S44" t="inlineStr">
        <is>
          <t>Тариф с завтраком</t>
        </is>
      </c>
      <c r="T44" t="n">
        <v>0</v>
      </c>
      <c r="U44" t="n">
        <v>39849.75</v>
      </c>
    </row>
    <row r="45">
      <c r="A45" t="inlineStr">
        <is>
          <t>20260805-8186-449311826</t>
        </is>
      </c>
      <c r="B45" t="n">
        <v>1</v>
      </c>
      <c r="C45" s="2" t="inlineStr">
        <is>
          <t>Александр Березин, ВАЛЕНТИНА БЕРЕЗИНА</t>
        </is>
      </c>
      <c r="D45" s="3" t="n">
        <v>26499.75</v>
      </c>
      <c r="E45" s="4" t="n">
        <v>4</v>
      </c>
      <c r="F45" t="inlineStr">
        <is>
          <t>TravelLine Booking Engine [Чайковский]</t>
        </is>
      </c>
      <c r="G45" s="3">
        <f>ROUND(D45/(100-E45)*100,2)</f>
        <v/>
      </c>
      <c r="H45" s="5" t="n">
        <v>46239.58333333334</v>
      </c>
      <c r="I45" t="n">
        <v>2</v>
      </c>
      <c r="J45" s="3">
        <f>G45/I45</f>
        <v/>
      </c>
      <c r="K45">
        <f>IF(J45&gt;=5100,"ставка","мин.ставка")</f>
        <v/>
      </c>
      <c r="L45" s="3">
        <f>ROUND(IF(K45="мин.ставка",I45*100,G45/102*2),2)</f>
        <v/>
      </c>
      <c r="M45" s="5" t="n">
        <v>46241.5</v>
      </c>
      <c r="N45" t="inlineStr">
        <is>
          <t>TravelLine сайт</t>
        </is>
      </c>
      <c r="O45" s="2" t="inlineStr">
        <is>
          <t>СТАНДАРТНЫЙ ДВУХМЕСТНЫЙ НОМЕР</t>
        </is>
      </c>
      <c r="P45" s="6" t="n"/>
      <c r="R45" t="inlineStr"/>
      <c r="S45" t="inlineStr">
        <is>
          <t>Тариф с завтраком</t>
        </is>
      </c>
      <c r="T45" t="n">
        <v>0</v>
      </c>
      <c r="U45" t="n">
        <v>26499.75</v>
      </c>
    </row>
    <row r="46">
      <c r="A46" t="inlineStr">
        <is>
          <t>20260919-8186-458495849</t>
        </is>
      </c>
      <c r="B46" t="n">
        <v>1</v>
      </c>
      <c r="C46" s="2" t="inlineStr">
        <is>
          <t>Александр Большаков, ТАТЬЯНА БОЛЬШАКОВА</t>
        </is>
      </c>
      <c r="D46" s="3" t="n">
        <v>48060</v>
      </c>
      <c r="E46" s="4" t="n">
        <v>0</v>
      </c>
      <c r="F46" t="inlineStr">
        <is>
          <t>Прямые бронирования (стойка) [Чайковский]</t>
        </is>
      </c>
      <c r="G46" s="3">
        <f>ROUND(D46/(100-E46)*100,2)</f>
        <v/>
      </c>
      <c r="H46" s="5" t="n">
        <v>46284.58333333334</v>
      </c>
      <c r="I46" t="n">
        <v>3</v>
      </c>
      <c r="J46" s="3">
        <f>G46/I46</f>
        <v/>
      </c>
      <c r="K46">
        <f>IF(J46&gt;=5100,"ставка","мин.ставка")</f>
        <v/>
      </c>
      <c r="L46" s="3">
        <f>ROUND(IF(K46="мин.ставка",I46*100,G46/102*2),2)</f>
        <v/>
      </c>
      <c r="M46" s="5" t="n">
        <v>46287.5</v>
      </c>
      <c r="N46" t="inlineStr">
        <is>
          <t>TravelLine ресепшн</t>
        </is>
      </c>
      <c r="O46" s="2" t="inlineStr">
        <is>
          <t>ЛЮКС ВТОРОЙ КОРПУС</t>
        </is>
      </c>
      <c r="P46" s="6" t="n"/>
      <c r="R46" t="inlineStr"/>
      <c r="S46" t="inlineStr">
        <is>
          <t>Тариф с завтраком</t>
        </is>
      </c>
      <c r="T46" t="n">
        <v>0</v>
      </c>
      <c r="U46" t="n">
        <v>48060</v>
      </c>
    </row>
    <row r="47">
      <c r="A47" t="inlineStr">
        <is>
          <t>20260709-8186-430393656</t>
        </is>
      </c>
      <c r="B47" t="n">
        <v>1</v>
      </c>
      <c r="C47" s="2" t="inlineStr">
        <is>
          <t>Александр Бугарев, Татьяна Бугарева</t>
        </is>
      </c>
      <c r="D47" s="3" t="n">
        <v>63910</v>
      </c>
      <c r="E47" s="4" t="n">
        <v>17</v>
      </c>
      <c r="F47" t="inlineStr">
        <is>
          <t>ООО «Интернет Трэвел» (OZON) [Чайковский]</t>
        </is>
      </c>
      <c r="G47" s="3">
        <f>ROUND(D47/(100-E47)*100,2)</f>
        <v/>
      </c>
      <c r="H47" s="5" t="n">
        <v>46212.58333333334</v>
      </c>
      <c r="I47" t="n">
        <v>5</v>
      </c>
      <c r="J47" s="3">
        <f>G47/I47</f>
        <v/>
      </c>
      <c r="K47">
        <f>IF(J47&gt;=5100,"ставка","мин.ставка")</f>
        <v/>
      </c>
      <c r="L47" s="3">
        <f>ROUND(IF(K47="мин.ставка",I47*100,G47/102*2),2)</f>
        <v/>
      </c>
      <c r="M47" s="5" t="n">
        <v>46217.5</v>
      </c>
      <c r="N47" t="inlineStr">
        <is>
          <t>TravelLine OZ2</t>
        </is>
      </c>
      <c r="O47" s="2" t="inlineStr">
        <is>
          <t>УЛУЧШЕННЫЙ ДВУХМЕСТНЫЙ НОМЕР</t>
        </is>
      </c>
      <c r="P47" s="6" t="n"/>
      <c r="R47" t="inlineStr"/>
      <c r="S47" t="inlineStr">
        <is>
          <t>Тариф с завтраком</t>
        </is>
      </c>
      <c r="T47" t="n">
        <v>0</v>
      </c>
      <c r="U47" t="n">
        <v>63910</v>
      </c>
    </row>
    <row r="48">
      <c r="A48" t="inlineStr">
        <is>
          <t>20260903-8186-463463667</t>
        </is>
      </c>
      <c r="B48" t="n">
        <v>1</v>
      </c>
      <c r="C48" s="2" t="inlineStr">
        <is>
          <t>Александр Бухвалов</t>
        </is>
      </c>
      <c r="D48" s="3" t="n">
        <v>11390</v>
      </c>
      <c r="E48" s="4" t="n">
        <v>0</v>
      </c>
      <c r="F48" t="inlineStr">
        <is>
          <t>Прямые бронирования (стойка) [Чайковский]</t>
        </is>
      </c>
      <c r="G48" s="3">
        <f>ROUND(D48/(100-E48)*100,2)</f>
        <v/>
      </c>
      <c r="H48" s="5" t="n">
        <v>46268.58333333334</v>
      </c>
      <c r="I48" t="n">
        <v>1</v>
      </c>
      <c r="J48" s="3">
        <f>G48/I48</f>
        <v/>
      </c>
      <c r="K48">
        <f>IF(J48&gt;=5100,"ставка","мин.ставка")</f>
        <v/>
      </c>
      <c r="L48" s="3">
        <f>ROUND(IF(K48="мин.ставка",I48*100,G48/102*2),2)</f>
        <v/>
      </c>
      <c r="M48" s="5" t="n">
        <v>46269.5</v>
      </c>
      <c r="N48" t="inlineStr">
        <is>
          <t>TravelLine ресепшн</t>
        </is>
      </c>
      <c r="O48" s="2" t="inlineStr">
        <is>
          <t>УЛУЧШЕННЫЙ ДВУХМЕСТНЫЙ НОМЕР</t>
        </is>
      </c>
      <c r="P48" s="6" t="n"/>
      <c r="R48" t="inlineStr"/>
      <c r="S48" t="inlineStr">
        <is>
          <t>Тариф с завтраком</t>
        </is>
      </c>
      <c r="T48" t="n">
        <v>0</v>
      </c>
      <c r="U48" t="n">
        <v>11390</v>
      </c>
    </row>
    <row r="49">
      <c r="A49" t="inlineStr">
        <is>
          <t>20260806-8186-429215981</t>
        </is>
      </c>
      <c r="B49" t="n">
        <v>1</v>
      </c>
      <c r="C49" s="2" t="inlineStr">
        <is>
          <t>Александр Веретенников, ГАЛИНА ОЖМЕГОВА</t>
        </is>
      </c>
      <c r="D49" s="3" t="n">
        <v>49280</v>
      </c>
      <c r="E49" s="4" t="n">
        <v>18</v>
      </c>
      <c r="F49" t="inlineStr">
        <is>
          <t>Яндекс.Путешествия [Чайковский]</t>
        </is>
      </c>
      <c r="G49" s="3">
        <f>ROUND(D49/(100-E49)*100,2)</f>
        <v/>
      </c>
      <c r="H49" s="5" t="n">
        <v>46240.58333333334</v>
      </c>
      <c r="I49" t="n">
        <v>4</v>
      </c>
      <c r="J49" s="3">
        <f>G49/I49</f>
        <v/>
      </c>
      <c r="K49">
        <f>IF(J49&gt;=5100,"ставка","мин.ставка")</f>
        <v/>
      </c>
      <c r="L49" s="3">
        <f>ROUND(IF(K49="мин.ставка",I49*100,G49/102*2),2)</f>
        <v/>
      </c>
      <c r="M49" s="5" t="n">
        <v>46244.5</v>
      </c>
      <c r="N49" t="inlineStr">
        <is>
          <t>TravelLine YAX</t>
        </is>
      </c>
      <c r="O49" s="2" t="inlineStr">
        <is>
          <t>УЛУЧШЕННЫЙ ДВУХМЕСТНЫЙ НОМЕР</t>
        </is>
      </c>
      <c r="P49" s="6" t="n"/>
      <c r="R49" t="inlineStr"/>
      <c r="S49" t="inlineStr">
        <is>
          <t>Тариф с завтраком</t>
        </is>
      </c>
      <c r="T49" t="n">
        <v>0</v>
      </c>
      <c r="U49" t="n">
        <v>49280</v>
      </c>
    </row>
    <row r="50">
      <c r="A50" t="inlineStr">
        <is>
          <t>20260818-8186-443503370</t>
        </is>
      </c>
      <c r="B50" t="n">
        <v>1</v>
      </c>
      <c r="C50" s="2" t="inlineStr">
        <is>
          <t>АЛЕКСАНДР ВЕРЯСОВ, ЕЛИЗАВЕТА ФЕДОТОВА</t>
        </is>
      </c>
      <c r="D50" s="3" t="n">
        <v>64080</v>
      </c>
      <c r="E50" s="4" t="n">
        <v>20</v>
      </c>
      <c r="F50" t="inlineStr">
        <is>
          <t>ООО "ХБ-ПРО" [Чайковский]</t>
        </is>
      </c>
      <c r="G50" s="3">
        <f>ROUND(D50/(100-E50)*100,2)</f>
        <v/>
      </c>
      <c r="H50" s="5" t="n">
        <v>46252.58333333334</v>
      </c>
      <c r="I50" t="n">
        <v>6</v>
      </c>
      <c r="J50" s="3">
        <f>G50/I50</f>
        <v/>
      </c>
      <c r="K50">
        <f>IF(J50&gt;=5100,"ставка","мин.ставка")</f>
        <v/>
      </c>
      <c r="L50" s="3">
        <f>ROUND(IF(K50="мин.ставка",I50*100,G50/102*2),2)</f>
        <v/>
      </c>
      <c r="M50" s="5" t="n">
        <v>46258.5</v>
      </c>
      <c r="N50" t="inlineStr">
        <is>
          <t>TravelLine UTS</t>
        </is>
      </c>
      <c r="O50" s="2" t="inlineStr">
        <is>
          <t>СТАНДАРТНЫЙ ДВУХМЕСТНЫЙ НОМЕР</t>
        </is>
      </c>
      <c r="P50" s="6" t="n"/>
      <c r="R50" t="inlineStr"/>
      <c r="S50" t="inlineStr">
        <is>
          <t>Тариф с завтраком</t>
        </is>
      </c>
      <c r="T50" t="n">
        <v>0</v>
      </c>
      <c r="U50" t="n">
        <v>64080</v>
      </c>
    </row>
    <row r="51">
      <c r="A51" t="inlineStr">
        <is>
          <t>20260703-8186-447191732</t>
        </is>
      </c>
      <c r="B51" t="n">
        <v>1</v>
      </c>
      <c r="C51" s="2" t="inlineStr">
        <is>
          <t>Александр Вилинчук, Татьяна Вилинчук</t>
        </is>
      </c>
      <c r="D51" s="3" t="n">
        <v>26286.15</v>
      </c>
      <c r="E51" s="4" t="n">
        <v>4</v>
      </c>
      <c r="F51" t="inlineStr">
        <is>
          <t>TravelLine Booking Engine [Чайковский]</t>
        </is>
      </c>
      <c r="G51" s="3">
        <f>ROUND(D51/(100-E51)*100,2)</f>
        <v/>
      </c>
      <c r="H51" s="5" t="n">
        <v>46206.58333333334</v>
      </c>
      <c r="I51" t="n">
        <v>2</v>
      </c>
      <c r="J51" s="3">
        <f>G51/I51</f>
        <v/>
      </c>
      <c r="K51">
        <f>IF(J51&gt;=5100,"ставка","мин.ставка")</f>
        <v/>
      </c>
      <c r="L51" s="3">
        <f>ROUND(IF(K51="мин.ставка",I51*100,G51/102*2),2)</f>
        <v/>
      </c>
      <c r="M51" s="5" t="n">
        <v>46208.5</v>
      </c>
      <c r="N51" t="inlineStr">
        <is>
          <t>TravelLine сайт</t>
        </is>
      </c>
      <c r="O51" s="2" t="inlineStr">
        <is>
          <t>СТАНДАРТНЫЙ ДВУХМЕСТНЫЙ НОМЕР</t>
        </is>
      </c>
      <c r="P51" s="6" t="n"/>
      <c r="R51" t="inlineStr"/>
      <c r="S51" t="inlineStr">
        <is>
          <t>Тариф с завтраком</t>
        </is>
      </c>
      <c r="T51" t="n">
        <v>0</v>
      </c>
      <c r="U51" t="n">
        <v>26286.15</v>
      </c>
    </row>
    <row r="52">
      <c r="A52" t="inlineStr">
        <is>
          <t>20260728-8186-453732694</t>
        </is>
      </c>
      <c r="B52" t="n">
        <v>1</v>
      </c>
      <c r="C52" s="2" t="inlineStr">
        <is>
          <t>АЛЕКСАНДР ВОЛЕГОВ, ЮЛИЯ ВОЛЕГОВА</t>
        </is>
      </c>
      <c r="D52" s="3" t="n">
        <v>9265</v>
      </c>
      <c r="E52" s="4" t="n">
        <v>15</v>
      </c>
      <c r="F52" t="inlineStr">
        <is>
          <t>ООО "БРОНИРОВАНИЕ ГОСТИНИЦ" (OSTROVOK) [Чайковский]</t>
        </is>
      </c>
      <c r="G52" s="3">
        <f>ROUND(D52/(100-E52)*100,2)</f>
        <v/>
      </c>
      <c r="H52" s="5" t="n">
        <v>46231.58333333334</v>
      </c>
      <c r="I52" t="n">
        <v>1</v>
      </c>
      <c r="J52" s="3">
        <f>G52/I52</f>
        <v/>
      </c>
      <c r="K52">
        <f>IF(J52&gt;=5100,"ставка","мин.ставка")</f>
        <v/>
      </c>
      <c r="L52" s="3">
        <f>ROUND(IF(K52="мин.ставка",I52*100,G52/102*2),2)</f>
        <v/>
      </c>
      <c r="M52" s="5" t="n">
        <v>46232.5</v>
      </c>
      <c r="N52" t="inlineStr">
        <is>
          <t>TravelLine OTK</t>
        </is>
      </c>
      <c r="O52" s="2" t="inlineStr">
        <is>
          <t>СТАНДАРТНЫЙ ДВУХМЕСТНЫЙ НОМЕР</t>
        </is>
      </c>
      <c r="P52" s="6" t="n"/>
      <c r="R52" t="inlineStr"/>
      <c r="S52" t="inlineStr">
        <is>
          <t>Тариф с завтраком</t>
        </is>
      </c>
      <c r="T52" t="n">
        <v>0</v>
      </c>
      <c r="U52" t="n">
        <v>9265</v>
      </c>
    </row>
    <row r="53">
      <c r="A53" t="inlineStr">
        <is>
          <t>20260714-8186-450056814</t>
        </is>
      </c>
      <c r="B53" t="n">
        <v>1</v>
      </c>
      <c r="C53" s="2" t="inlineStr">
        <is>
          <t>Александр Ганин, Ольга Ганина</t>
        </is>
      </c>
      <c r="D53" s="3" t="n">
        <v>11347.5</v>
      </c>
      <c r="E53" s="4" t="n">
        <v>15</v>
      </c>
      <c r="F53" t="inlineStr">
        <is>
          <t>ООО "БРОНИРОВАНИЕ ГОСТИНИЦ" (OSTROVOK) [Чайковский]</t>
        </is>
      </c>
      <c r="G53" s="3">
        <f>ROUND(D53/(100-E53)*100,2)</f>
        <v/>
      </c>
      <c r="H53" s="5" t="n">
        <v>46217.58333333334</v>
      </c>
      <c r="I53" t="n">
        <v>1</v>
      </c>
      <c r="J53" s="3">
        <f>G53/I53</f>
        <v/>
      </c>
      <c r="K53">
        <f>IF(J53&gt;=5100,"ставка","мин.ставка")</f>
        <v/>
      </c>
      <c r="L53" s="3">
        <f>ROUND(IF(K53="мин.ставка",I53*100,G53/102*2),2)</f>
        <v/>
      </c>
      <c r="M53" s="5" t="n">
        <v>46218.5</v>
      </c>
      <c r="N53" t="inlineStr">
        <is>
          <t>TravelLine OTK</t>
        </is>
      </c>
      <c r="O53" s="2" t="inlineStr">
        <is>
          <t>СТАНДАРТНЫЙ ДВУХМЕСТНЫЙ НОМЕР</t>
        </is>
      </c>
      <c r="P53" s="6" t="n"/>
      <c r="R53" t="inlineStr"/>
      <c r="S53" t="inlineStr">
        <is>
          <t>Тариф с завтраком</t>
        </is>
      </c>
      <c r="T53" t="n">
        <v>0</v>
      </c>
      <c r="U53" t="n">
        <v>11347.5</v>
      </c>
    </row>
    <row r="54">
      <c r="A54" t="inlineStr">
        <is>
          <t>20260930-8186-467154926</t>
        </is>
      </c>
      <c r="B54" t="n">
        <v>1</v>
      </c>
      <c r="C54" s="2" t="inlineStr">
        <is>
          <t>АЛЕКСАНДР ДЕДКОВ</t>
        </is>
      </c>
      <c r="D54" s="3" t="n">
        <v>17800</v>
      </c>
      <c r="E54" s="4" t="n">
        <v>0</v>
      </c>
      <c r="F54" t="inlineStr">
        <is>
          <t>Прямые бронирования (стойка) [Чайковский]</t>
        </is>
      </c>
      <c r="G54" s="3">
        <f>ROUND(D54/(100-E54)*100,2)</f>
        <v/>
      </c>
      <c r="H54" s="5" t="n">
        <v>46295.58333333334</v>
      </c>
      <c r="I54" t="n">
        <v>2</v>
      </c>
      <c r="J54" s="3">
        <f>G54/I54</f>
        <v/>
      </c>
      <c r="K54">
        <f>IF(J54&gt;=5100,"ставка","мин.ставка")</f>
        <v/>
      </c>
      <c r="L54" s="3">
        <f>ROUND(IF(K54="мин.ставка",I54*100,G54/102*2),2)</f>
        <v/>
      </c>
      <c r="M54" s="5" t="n">
        <v>46297.5</v>
      </c>
      <c r="N54" t="inlineStr">
        <is>
          <t>TravelLine ресепшн</t>
        </is>
      </c>
      <c r="O54" s="2" t="inlineStr">
        <is>
          <t>СТАНДАРТНЫЙ ДВУХМЕСТНЫЙ НОМЕР</t>
        </is>
      </c>
      <c r="P54" s="6" t="n"/>
      <c r="R54" t="inlineStr"/>
      <c r="S54" t="inlineStr">
        <is>
          <t>Тариф с завтраком</t>
        </is>
      </c>
      <c r="T54" t="n">
        <v>0</v>
      </c>
      <c r="U54" t="n">
        <v>17800</v>
      </c>
    </row>
    <row r="55">
      <c r="A55" t="inlineStr">
        <is>
          <t>20260811-8186-456346255</t>
        </is>
      </c>
      <c r="B55" t="n">
        <v>1</v>
      </c>
      <c r="C55" s="2" t="inlineStr">
        <is>
          <t>аЛЕКСАНДР Дмитрук</t>
        </is>
      </c>
      <c r="D55" s="3" t="n">
        <v>9307</v>
      </c>
      <c r="E55" s="4" t="n">
        <v>18</v>
      </c>
      <c r="F55" t="inlineStr">
        <is>
          <t>ООО "Эй энд Эй" [Чайковский]</t>
        </is>
      </c>
      <c r="G55" s="3">
        <f>ROUND(D55/(100-E55)*100,2)</f>
        <v/>
      </c>
      <c r="H55" s="5" t="n">
        <v>46245.58333333334</v>
      </c>
      <c r="I55" t="n">
        <v>1</v>
      </c>
      <c r="J55" s="3">
        <f>G55/I55</f>
        <v/>
      </c>
      <c r="K55">
        <f>IF(J55&gt;=5100,"ставка","мин.ставка")</f>
        <v/>
      </c>
      <c r="L55" s="3">
        <f>ROUND(IF(K55="мин.ставка",I55*100,G55/102*2),2)</f>
        <v/>
      </c>
      <c r="M55" s="5" t="n">
        <v>46246.5</v>
      </c>
      <c r="N55" t="inlineStr">
        <is>
          <t>TravelLine ANA</t>
        </is>
      </c>
      <c r="O55" s="2" t="inlineStr">
        <is>
          <t>СТАНДАРТНЫЙ ДВУХМЕСТНЫЙ НОМЕР</t>
        </is>
      </c>
      <c r="P55" s="6" t="n"/>
      <c r="R55" t="inlineStr"/>
      <c r="S55" t="inlineStr">
        <is>
          <t>Тариф с завтраком</t>
        </is>
      </c>
      <c r="T55" t="n">
        <v>0</v>
      </c>
      <c r="U55" t="n">
        <v>9307</v>
      </c>
    </row>
    <row r="56">
      <c r="A56" t="inlineStr">
        <is>
          <t>20260714-8186-448626753</t>
        </is>
      </c>
      <c r="B56" t="n">
        <v>1</v>
      </c>
      <c r="C56" s="2" t="inlineStr">
        <is>
          <t>Александр Долганов</t>
        </is>
      </c>
      <c r="D56" s="3" t="n">
        <v>6320</v>
      </c>
      <c r="E56" s="4" t="n">
        <v>18</v>
      </c>
      <c r="F56" t="inlineStr">
        <is>
          <t>Яндекс.Путешествия [Чайковский]</t>
        </is>
      </c>
      <c r="G56" s="3">
        <f>ROUND(D56/(100-E56)*100,2)</f>
        <v/>
      </c>
      <c r="H56" s="5" t="n">
        <v>46217.58333333334</v>
      </c>
      <c r="I56" t="n">
        <v>1</v>
      </c>
      <c r="J56" s="3">
        <f>G56/I56</f>
        <v/>
      </c>
      <c r="K56">
        <f>IF(J56&gt;=5100,"ставка","мин.ставка")</f>
        <v/>
      </c>
      <c r="L56" s="3">
        <f>ROUND(IF(K56="мин.ставка",I56*100,G56/102*2),2)</f>
        <v/>
      </c>
      <c r="M56" s="5" t="n">
        <v>46218.5</v>
      </c>
      <c r="N56" t="inlineStr">
        <is>
          <t>TravelLine YAX</t>
        </is>
      </c>
      <c r="O56" s="2" t="inlineStr">
        <is>
          <t>СТАНДАРТНЫЙ ДВУХМЕСТНЫЙ НОМЕР (МАНСАРДА)</t>
        </is>
      </c>
      <c r="P56" s="6" t="n"/>
      <c r="R56" t="inlineStr"/>
      <c r="S56" t="inlineStr">
        <is>
          <t>Тариф с завтраком</t>
        </is>
      </c>
      <c r="T56" t="n">
        <v>0</v>
      </c>
      <c r="U56" t="n">
        <v>6320</v>
      </c>
    </row>
    <row r="57">
      <c r="A57" t="inlineStr">
        <is>
          <t>20260729-8186-454154680</t>
        </is>
      </c>
      <c r="B57" t="n">
        <v>1</v>
      </c>
      <c r="C57" s="2" t="inlineStr">
        <is>
          <t>АЛЕКСАНДР ДОЛГОВ</t>
        </is>
      </c>
      <c r="D57" s="3" t="n">
        <v>23760</v>
      </c>
      <c r="E57" s="4" t="n">
        <v>18</v>
      </c>
      <c r="F57" t="inlineStr">
        <is>
          <t>Яндекс.Путешествия [Чайковский]</t>
        </is>
      </c>
      <c r="G57" s="3">
        <f>ROUND(D57/(100-E57)*100,2)</f>
        <v/>
      </c>
      <c r="H57" s="5" t="n">
        <v>46232.58333333334</v>
      </c>
      <c r="I57" t="n">
        <v>3</v>
      </c>
      <c r="J57" s="3">
        <f>G57/I57</f>
        <v/>
      </c>
      <c r="K57">
        <f>IF(J57&gt;=5100,"ставка","мин.ставка")</f>
        <v/>
      </c>
      <c r="L57" s="3">
        <f>ROUND(IF(K57="мин.ставка",I57*100,G57/102*2),2)</f>
        <v/>
      </c>
      <c r="M57" s="5" t="n">
        <v>46235.5</v>
      </c>
      <c r="N57" t="inlineStr">
        <is>
          <t>TravelLine YAX</t>
        </is>
      </c>
      <c r="O57" s="2" t="inlineStr">
        <is>
          <t>СТАНДАРТНЫЙ ДВУХМЕСТНЫЙ НОМЕР (МАНСАРДА)</t>
        </is>
      </c>
      <c r="P57" s="6" t="n"/>
      <c r="R57" t="inlineStr"/>
      <c r="S57" t="inlineStr">
        <is>
          <t>Тариф с завтраком</t>
        </is>
      </c>
      <c r="T57" t="n">
        <v>0</v>
      </c>
      <c r="U57" t="n">
        <v>23760</v>
      </c>
    </row>
    <row r="58">
      <c r="A58" t="inlineStr">
        <is>
          <t>20260924-8186-454705739</t>
        </is>
      </c>
      <c r="B58" t="n">
        <v>1</v>
      </c>
      <c r="C58" s="2" t="inlineStr">
        <is>
          <t>Александр Казанников, Ирина Петроченко</t>
        </is>
      </c>
      <c r="D58" s="3" t="n">
        <v>24640</v>
      </c>
      <c r="E58" s="4" t="n">
        <v>18</v>
      </c>
      <c r="F58" t="inlineStr">
        <is>
          <t>Яндекс.Путешествия [Чайковский]</t>
        </is>
      </c>
      <c r="G58" s="3">
        <f>ROUND(D58/(100-E58)*100,2)</f>
        <v/>
      </c>
      <c r="H58" s="5" t="n">
        <v>46289.58333333334</v>
      </c>
      <c r="I58" t="n">
        <v>2</v>
      </c>
      <c r="J58" s="3">
        <f>G58/I58</f>
        <v/>
      </c>
      <c r="K58">
        <f>IF(J58&gt;=5100,"ставка","мин.ставка")</f>
        <v/>
      </c>
      <c r="L58" s="3">
        <f>ROUND(IF(K58="мин.ставка",I58*100,G58/102*2),2)</f>
        <v/>
      </c>
      <c r="M58" s="5" t="n">
        <v>46291.5</v>
      </c>
      <c r="N58" t="inlineStr">
        <is>
          <t>TravelLine YAX</t>
        </is>
      </c>
      <c r="O58" s="2" t="inlineStr">
        <is>
          <t>УЛУЧШЕННЫЙ ДВУХМЕСТНЫЙ НОМЕР</t>
        </is>
      </c>
      <c r="P58" s="6" t="n"/>
      <c r="R58" t="inlineStr"/>
      <c r="S58" t="inlineStr">
        <is>
          <t>Тариф с завтраком</t>
        </is>
      </c>
      <c r="T58" t="n">
        <v>0</v>
      </c>
      <c r="U58" t="n">
        <v>24640</v>
      </c>
    </row>
    <row r="59">
      <c r="A59" t="inlineStr">
        <is>
          <t>20260716-8186-421435887</t>
        </is>
      </c>
      <c r="B59" t="n">
        <v>1</v>
      </c>
      <c r="C59" s="2" t="inlineStr">
        <is>
          <t>Александр Клименков, ОЛЬГА ГАВРИЛЕНКО</t>
        </is>
      </c>
      <c r="D59" s="3" t="n">
        <v>49193.1</v>
      </c>
      <c r="E59" s="4" t="n">
        <v>4</v>
      </c>
      <c r="F59" t="inlineStr">
        <is>
          <t>TravelLine Booking Engine [Чайковский]</t>
        </is>
      </c>
      <c r="G59" s="3">
        <f>ROUND(D59/(100-E59)*100,2)</f>
        <v/>
      </c>
      <c r="H59" s="5" t="n">
        <v>46219.58333333334</v>
      </c>
      <c r="I59" t="n">
        <v>5</v>
      </c>
      <c r="J59" s="3">
        <f>G59/I59</f>
        <v/>
      </c>
      <c r="K59">
        <f>IF(J59&gt;=5100,"ставка","мин.ставка")</f>
        <v/>
      </c>
      <c r="L59" s="3">
        <f>ROUND(IF(K59="мин.ставка",I59*100,G59/102*2),2)</f>
        <v/>
      </c>
      <c r="M59" s="5" t="n">
        <v>46224.5</v>
      </c>
      <c r="N59" t="inlineStr">
        <is>
          <t>TravelLine сайт</t>
        </is>
      </c>
      <c r="O59" s="2" t="inlineStr">
        <is>
          <t>СТАНДАРТНЫЙ ДВУХМЕСТНЫЙ НОМЕР (МАНСАРДА)</t>
        </is>
      </c>
      <c r="P59" s="6" t="n"/>
      <c r="R59" t="inlineStr"/>
      <c r="S59" t="inlineStr">
        <is>
          <t>Тариф с завтраком</t>
        </is>
      </c>
      <c r="T59" t="n">
        <v>0</v>
      </c>
      <c r="U59" t="n">
        <v>49193.1</v>
      </c>
    </row>
    <row r="60">
      <c r="A60" t="inlineStr">
        <is>
          <t>20260812-8186-451471645</t>
        </is>
      </c>
      <c r="B60" t="n">
        <v>1</v>
      </c>
      <c r="C60" s="2" t="inlineStr">
        <is>
          <t>Александр Кочетов, Ирина Емельянова</t>
        </is>
      </c>
      <c r="D60" s="3" t="n">
        <v>9751.5</v>
      </c>
      <c r="E60" s="4" t="n">
        <v>4</v>
      </c>
      <c r="F60" t="inlineStr">
        <is>
          <t>TravelLine Booking Engine [Чайковский]</t>
        </is>
      </c>
      <c r="G60" s="3">
        <f>ROUND(D60/(100-E60)*100,2)</f>
        <v/>
      </c>
      <c r="H60" s="5" t="n">
        <v>46246.58333333334</v>
      </c>
      <c r="I60" t="n">
        <v>1</v>
      </c>
      <c r="J60" s="3">
        <f>G60/I60</f>
        <v/>
      </c>
      <c r="K60">
        <f>IF(J60&gt;=5100,"ставка","мин.ставка")</f>
        <v/>
      </c>
      <c r="L60" s="3">
        <f>ROUND(IF(K60="мин.ставка",I60*100,G60/102*2),2)</f>
        <v/>
      </c>
      <c r="M60" s="5" t="n">
        <v>46247.5</v>
      </c>
      <c r="N60" t="inlineStr">
        <is>
          <t>TravelLine сайт</t>
        </is>
      </c>
      <c r="O60" s="2" t="inlineStr">
        <is>
          <t>СТАНДАРТНЫЙ ДВУХМЕСТНЫЙ НОМЕР (МАНСАРДА)</t>
        </is>
      </c>
      <c r="P60" s="6" t="n"/>
      <c r="R60" t="inlineStr"/>
      <c r="S60" t="inlineStr">
        <is>
          <t>Тариф с завтраком</t>
        </is>
      </c>
      <c r="T60" t="n">
        <v>0</v>
      </c>
      <c r="U60" t="n">
        <v>9751.5</v>
      </c>
    </row>
    <row r="61">
      <c r="A61" t="inlineStr">
        <is>
          <t>20260727-8186-453458144</t>
        </is>
      </c>
      <c r="B61" t="n">
        <v>1</v>
      </c>
      <c r="C61" s="2" t="inlineStr">
        <is>
          <t>Александр Лобанов</t>
        </is>
      </c>
      <c r="D61" s="3" t="n">
        <v>8900</v>
      </c>
      <c r="E61" s="4" t="n">
        <v>0</v>
      </c>
      <c r="F61" t="inlineStr">
        <is>
          <t>Прямые бронирования (стойка) [Чайковский]</t>
        </is>
      </c>
      <c r="G61" s="3">
        <f>ROUND(D61/(100-E61)*100,2)</f>
        <v/>
      </c>
      <c r="H61" s="5" t="n">
        <v>46230.58333333334</v>
      </c>
      <c r="I61" t="n">
        <v>1</v>
      </c>
      <c r="J61" s="3">
        <f>G61/I61</f>
        <v/>
      </c>
      <c r="K61">
        <f>IF(J61&gt;=5100,"ставка","мин.ставка")</f>
        <v/>
      </c>
      <c r="L61" s="3">
        <f>ROUND(IF(K61="мин.ставка",I61*100,G61/102*2),2)</f>
        <v/>
      </c>
      <c r="M61" s="5" t="n">
        <v>46231.5</v>
      </c>
      <c r="N61" t="inlineStr">
        <is>
          <t>TravelLine ресепшн</t>
        </is>
      </c>
      <c r="O61" s="2" t="inlineStr">
        <is>
          <t>СТАНДАРТНЫЙ ДВУХМЕСТНЫЙ НОМЕР</t>
        </is>
      </c>
      <c r="P61" s="6" t="n"/>
      <c r="R61" t="inlineStr"/>
      <c r="S61" t="inlineStr">
        <is>
          <t>Тариф с завтраком</t>
        </is>
      </c>
      <c r="T61" t="n">
        <v>0</v>
      </c>
      <c r="U61" t="n">
        <v>8900</v>
      </c>
    </row>
    <row r="62">
      <c r="A62" t="inlineStr">
        <is>
          <t>20260930-8186-469017708</t>
        </is>
      </c>
      <c r="B62" t="n">
        <v>1</v>
      </c>
      <c r="C62" s="2" t="inlineStr">
        <is>
          <t>Александр Лобанов</t>
        </is>
      </c>
      <c r="D62" s="3" t="n">
        <v>13400</v>
      </c>
      <c r="E62" s="4" t="n">
        <v>0</v>
      </c>
      <c r="F62" t="inlineStr">
        <is>
          <t>Прямые бронирования (стойка) [Чайковский]</t>
        </is>
      </c>
      <c r="G62" s="3">
        <f>ROUND(D62/(100-E62)*100,2)</f>
        <v/>
      </c>
      <c r="H62" s="5" t="n">
        <v>46295.58333333334</v>
      </c>
      <c r="I62" t="n">
        <v>1</v>
      </c>
      <c r="J62" s="3">
        <f>G62/I62</f>
        <v/>
      </c>
      <c r="K62">
        <f>IF(J62&gt;=5100,"ставка","мин.ставка")</f>
        <v/>
      </c>
      <c r="L62" s="3">
        <f>ROUND(IF(K62="мин.ставка",I62*100,G62/102*2),2)</f>
        <v/>
      </c>
      <c r="M62" s="5" t="n">
        <v>46296.5</v>
      </c>
      <c r="N62" t="inlineStr">
        <is>
          <t>TravelLine ресепшн</t>
        </is>
      </c>
      <c r="O62" s="2" t="inlineStr">
        <is>
          <t>УЛУЧШЕННЫЙ ДВУХМЕСТНЫЙ НОМЕР</t>
        </is>
      </c>
      <c r="P62" s="6" t="n"/>
      <c r="R62" t="inlineStr"/>
      <c r="S62" t="inlineStr">
        <is>
          <t>Тариф с завтраком</t>
        </is>
      </c>
      <c r="T62" t="n">
        <v>0</v>
      </c>
      <c r="U62" t="n">
        <v>13400</v>
      </c>
    </row>
    <row r="63">
      <c r="A63" t="inlineStr">
        <is>
          <t>20260920-8186-467150358</t>
        </is>
      </c>
      <c r="B63" t="n">
        <v>1</v>
      </c>
      <c r="C63" s="2" t="inlineStr">
        <is>
          <t>Александр Ломоносов</t>
        </is>
      </c>
      <c r="D63" s="3" t="n">
        <v>9080</v>
      </c>
      <c r="E63" s="4" t="n">
        <v>20</v>
      </c>
      <c r="F63" t="inlineStr">
        <is>
          <t>ООО "КОМПАНИЯ БРОНЕВИК" [Чайковский]</t>
        </is>
      </c>
      <c r="G63" s="3">
        <f>ROUND(D63/(100-E63)*100,2)</f>
        <v/>
      </c>
      <c r="H63" s="5" t="n">
        <v>46285.58333333334</v>
      </c>
      <c r="I63" t="n">
        <v>1</v>
      </c>
      <c r="J63" s="3">
        <f>G63/I63</f>
        <v/>
      </c>
      <c r="K63">
        <f>IF(J63&gt;=5100,"ставка","мин.ставка")</f>
        <v/>
      </c>
      <c r="L63" s="3">
        <f>ROUND(IF(K63="мин.ставка",I63*100,G63/102*2),2)</f>
        <v/>
      </c>
      <c r="M63" s="5" t="n">
        <v>46286.75</v>
      </c>
      <c r="N63" t="inlineStr">
        <is>
          <t>TravelLine BR2</t>
        </is>
      </c>
      <c r="O63" s="2" t="inlineStr">
        <is>
          <t>СТАНДАРТНЫЙ ДВУХМЕСТНЫЙ НОМЕР</t>
        </is>
      </c>
      <c r="P63" s="6" t="n"/>
      <c r="R63" t="inlineStr"/>
      <c r="S63" t="inlineStr">
        <is>
          <t>Тариф с завтраком</t>
        </is>
      </c>
      <c r="T63" t="n">
        <v>5675</v>
      </c>
      <c r="U63" t="n">
        <v>14755</v>
      </c>
    </row>
    <row r="64">
      <c r="A64" t="inlineStr">
        <is>
          <t>20260901-8186-458501210</t>
        </is>
      </c>
      <c r="B64" t="n">
        <v>1</v>
      </c>
      <c r="C64" s="2" t="inlineStr">
        <is>
          <t>Александр Максимов</t>
        </is>
      </c>
      <c r="D64" s="3" t="n">
        <v>27240</v>
      </c>
      <c r="E64" s="4" t="n">
        <v>20</v>
      </c>
      <c r="F64" t="inlineStr">
        <is>
          <t>ООО "КОМПАНИЯ БРОНЕВИК" [Чайковский]</t>
        </is>
      </c>
      <c r="G64" s="3">
        <f>ROUND(D64/(100-E64)*100,2)</f>
        <v/>
      </c>
      <c r="H64" s="5" t="n">
        <v>46266.58333333334</v>
      </c>
      <c r="I64" t="n">
        <v>3</v>
      </c>
      <c r="J64" s="3">
        <f>G64/I64</f>
        <v/>
      </c>
      <c r="K64">
        <f>IF(J64&gt;=5100,"ставка","мин.ставка")</f>
        <v/>
      </c>
      <c r="L64" s="3">
        <f>ROUND(IF(K64="мин.ставка",I64*100,G64/102*2),2)</f>
        <v/>
      </c>
      <c r="M64" s="5" t="n">
        <v>46269.5</v>
      </c>
      <c r="N64" t="inlineStr">
        <is>
          <t>TravelLine BR2</t>
        </is>
      </c>
      <c r="O64" s="2" t="inlineStr">
        <is>
          <t>СТАНДАРТНЫЙ ДВУХМЕСТНЫЙ НОМЕР</t>
        </is>
      </c>
      <c r="P64" s="6" t="n"/>
      <c r="R64" t="inlineStr"/>
      <c r="S64" t="inlineStr">
        <is>
          <t>Тариф с завтраком</t>
        </is>
      </c>
      <c r="T64" t="n">
        <v>0</v>
      </c>
      <c r="U64" t="n">
        <v>27240</v>
      </c>
    </row>
    <row r="65">
      <c r="A65" t="inlineStr">
        <is>
          <t>20260719-8186-447014870</t>
        </is>
      </c>
      <c r="B65" t="n">
        <v>1</v>
      </c>
      <c r="C65" s="2" t="inlineStr">
        <is>
          <t>АЛЕКСАНДР МЕЛИХОВ</t>
        </is>
      </c>
      <c r="D65" s="3" t="n">
        <v>28942.5</v>
      </c>
      <c r="E65" s="4" t="n">
        <v>15</v>
      </c>
      <c r="F65" t="inlineStr">
        <is>
          <t>ООО "АКАДЕМ-ОНЛАЙН" [Чайковский]</t>
        </is>
      </c>
      <c r="G65" s="3">
        <f>ROUND(D65/(100-E65)*100,2)</f>
        <v/>
      </c>
      <c r="H65" s="5" t="n">
        <v>46222.58333333334</v>
      </c>
      <c r="I65" t="n">
        <v>3</v>
      </c>
      <c r="J65" s="3">
        <f>G65/I65</f>
        <v/>
      </c>
      <c r="K65">
        <f>IF(J65&gt;=5100,"ставка","мин.ставка")</f>
        <v/>
      </c>
      <c r="L65" s="3">
        <f>ROUND(IF(K65="мин.ставка",I65*100,G65/102*2),2)</f>
        <v/>
      </c>
      <c r="M65" s="5" t="n">
        <v>46225.5</v>
      </c>
      <c r="N65" t="inlineStr">
        <is>
          <t>TravelLine ACS</t>
        </is>
      </c>
      <c r="O65" s="2" t="inlineStr">
        <is>
          <t>СТАНДАРТНЫЙ ДВУХМЕСТНЫЙ НОМЕР</t>
        </is>
      </c>
      <c r="P65" s="6" t="n"/>
      <c r="R65" t="inlineStr"/>
      <c r="S65" t="inlineStr">
        <is>
          <t>Тариф с завтраком</t>
        </is>
      </c>
      <c r="T65" t="n">
        <v>0</v>
      </c>
      <c r="U65" t="n">
        <v>28942.5</v>
      </c>
    </row>
    <row r="66">
      <c r="A66" t="inlineStr">
        <is>
          <t>20260928-8186-464745297</t>
        </is>
      </c>
      <c r="B66" t="n">
        <v>1</v>
      </c>
      <c r="C66" s="2" t="inlineStr">
        <is>
          <t>АЛЕКСАНДР НЕПОМЯЩИЙ</t>
        </is>
      </c>
      <c r="D66" s="3" t="n">
        <v>77137.5</v>
      </c>
      <c r="E66" s="4" t="n">
        <v>15</v>
      </c>
      <c r="F66" t="inlineStr">
        <is>
          <t>ООО "АКАДЕМ-ОНЛАЙН" [Чайковский]</t>
        </is>
      </c>
      <c r="G66" s="3">
        <f>ROUND(D66/(100-E66)*100,2)</f>
        <v/>
      </c>
      <c r="H66" s="5" t="n">
        <v>46293.58333333334</v>
      </c>
      <c r="I66" t="n">
        <v>9</v>
      </c>
      <c r="J66" s="3">
        <f>G66/I66</f>
        <v/>
      </c>
      <c r="K66">
        <f>IF(J66&gt;=5100,"ставка","мин.ставка")</f>
        <v/>
      </c>
      <c r="L66" s="3">
        <f>ROUND(IF(K66="мин.ставка",I66*100,G66/102*2),2)</f>
        <v/>
      </c>
      <c r="M66" s="5" t="n">
        <v>46302.5</v>
      </c>
      <c r="N66" t="inlineStr">
        <is>
          <t>TravelLine ACS</t>
        </is>
      </c>
      <c r="O66" s="2" t="inlineStr">
        <is>
          <t>СЕМЕЙНЫЙ НОМЕР КАТЕГОРИИ "СТАНДАРТ" ВТОРОЙ КОРПУС</t>
        </is>
      </c>
      <c r="P66" s="6" t="n"/>
      <c r="R66" t="inlineStr"/>
      <c r="S66" t="inlineStr">
        <is>
          <t>Тариф с завтраком</t>
        </is>
      </c>
      <c r="T66" t="n">
        <v>0</v>
      </c>
      <c r="U66" t="n">
        <v>77137.5</v>
      </c>
    </row>
    <row r="67">
      <c r="A67" t="inlineStr">
        <is>
          <t>20260802-8186-429074020</t>
        </is>
      </c>
      <c r="B67" t="n">
        <v>1</v>
      </c>
      <c r="C67" s="2" t="inlineStr">
        <is>
          <t>АЛЕКСАНДР НИКОЛАЕВ, ИРИНА КРУПЧАТНИКОВА</t>
        </is>
      </c>
      <c r="D67" s="3" t="n">
        <v>56737.5</v>
      </c>
      <c r="E67" s="4" t="n">
        <v>20</v>
      </c>
      <c r="F67" t="inlineStr">
        <is>
          <t>ООО «Дубль Гис» (OTELLO) [Чайковский]</t>
        </is>
      </c>
      <c r="G67" s="3">
        <f>ROUND(D67/(100-E67)*100,2)</f>
        <v/>
      </c>
      <c r="H67" s="5" t="n">
        <v>46236.58333333334</v>
      </c>
      <c r="I67" t="n">
        <v>5</v>
      </c>
      <c r="J67" s="3">
        <f>G67/I67</f>
        <v/>
      </c>
      <c r="K67">
        <f>IF(J67&gt;=5100,"ставка","мин.ставка")</f>
        <v/>
      </c>
      <c r="L67" s="3">
        <f>ROUND(IF(K67="мин.ставка",I67*100,G67/102*2),2)</f>
        <v/>
      </c>
      <c r="M67" s="5" t="n">
        <v>46241.5</v>
      </c>
      <c r="N67" t="inlineStr">
        <is>
          <t>TravelLine OL2</t>
        </is>
      </c>
      <c r="O67" s="2" t="inlineStr">
        <is>
          <t>СТАНДАРТНЫЙ ДВУХМЕСТНЫЙ НОМЕР</t>
        </is>
      </c>
      <c r="P67" s="6" t="n"/>
      <c r="R67" t="inlineStr"/>
      <c r="S67" t="inlineStr">
        <is>
          <t>Тариф с завтраком</t>
        </is>
      </c>
      <c r="T67" t="n">
        <v>0</v>
      </c>
      <c r="U67" t="n">
        <v>113475</v>
      </c>
    </row>
    <row r="68">
      <c r="A68" t="inlineStr">
        <is>
          <t>20260920-8186-431075302</t>
        </is>
      </c>
      <c r="B68" t="n">
        <v>1</v>
      </c>
      <c r="C68" s="2" t="inlineStr">
        <is>
          <t>Александр Платицын</t>
        </is>
      </c>
      <c r="D68" s="3" t="n">
        <v>30800</v>
      </c>
      <c r="E68" s="4" t="n">
        <v>18</v>
      </c>
      <c r="F68" t="inlineStr">
        <is>
          <t>Яндекс.Путешествия [Чайковский]</t>
        </is>
      </c>
      <c r="G68" s="3">
        <f>ROUND(D68/(100-E68)*100,2)</f>
        <v/>
      </c>
      <c r="H68" s="5" t="n">
        <v>46285.58333333334</v>
      </c>
      <c r="I68" t="n">
        <v>5</v>
      </c>
      <c r="J68" s="3">
        <f>G68/I68</f>
        <v/>
      </c>
      <c r="K68">
        <f>IF(J68&gt;=5100,"ставка","мин.ставка")</f>
        <v/>
      </c>
      <c r="L68" s="3">
        <f>ROUND(IF(K68="мин.ставка",I68*100,G68/102*2),2)</f>
        <v/>
      </c>
      <c r="M68" s="5" t="n">
        <v>46290.5</v>
      </c>
      <c r="N68" t="inlineStr">
        <is>
          <t>TravelLine YAX</t>
        </is>
      </c>
      <c r="O68" s="2" t="inlineStr">
        <is>
          <t>СТАНДАРТНЫЙ ОДНОМЕСТНЫЙ НОМЕР</t>
        </is>
      </c>
      <c r="P68" s="6" t="n"/>
      <c r="R68" t="inlineStr"/>
      <c r="S68" t="inlineStr">
        <is>
          <t>Тариф с завтраком</t>
        </is>
      </c>
      <c r="T68" t="n">
        <v>0</v>
      </c>
      <c r="U68" t="n">
        <v>30800</v>
      </c>
    </row>
    <row r="69">
      <c r="A69" t="inlineStr">
        <is>
          <t>20260831-8186-461884701</t>
        </is>
      </c>
      <c r="B69" t="n">
        <v>1</v>
      </c>
      <c r="C69" s="2" t="inlineStr">
        <is>
          <t>Александр Преснецов, Елизавета Скрябикова</t>
        </is>
      </c>
      <c r="D69" s="3" t="n">
        <v>27556</v>
      </c>
      <c r="E69" s="4" t="n">
        <v>18</v>
      </c>
      <c r="F69" t="inlineStr">
        <is>
          <t>Яндекс.Путешествия [Чайковский]</t>
        </is>
      </c>
      <c r="G69" s="3">
        <f>ROUND(D69/(100-E69)*100,2)</f>
        <v/>
      </c>
      <c r="H69" s="5" t="n">
        <v>46265.58333333334</v>
      </c>
      <c r="I69" t="n">
        <v>2</v>
      </c>
      <c r="J69" s="3">
        <f>G69/I69</f>
        <v/>
      </c>
      <c r="K69">
        <f>IF(J69&gt;=5100,"ставка","мин.ставка")</f>
        <v/>
      </c>
      <c r="L69" s="3">
        <f>ROUND(IF(K69="мин.ставка",I69*100,G69/102*2),2)</f>
        <v/>
      </c>
      <c r="M69" s="5" t="n">
        <v>46267.5</v>
      </c>
      <c r="N69" t="inlineStr">
        <is>
          <t>TravelLine YAX</t>
        </is>
      </c>
      <c r="O69" s="2" t="inlineStr">
        <is>
          <t>ЛЮКС ВТОРОЙ КОРПУС</t>
        </is>
      </c>
      <c r="P69" s="6" t="n"/>
      <c r="R69" t="inlineStr"/>
      <c r="S69" t="inlineStr">
        <is>
          <t>Тариф с завтраком</t>
        </is>
      </c>
      <c r="T69" t="n">
        <v>0</v>
      </c>
      <c r="U69" t="n">
        <v>27556</v>
      </c>
    </row>
    <row r="70">
      <c r="A70" t="inlineStr">
        <is>
          <t>20260802-8186-438830698</t>
        </is>
      </c>
      <c r="B70" t="n">
        <v>1</v>
      </c>
      <c r="C70" s="2" t="inlineStr">
        <is>
          <t>АЛЕКСАНДР ПРОСКУРНИН, СЕРГЕЙ ПРОСКУРНИН</t>
        </is>
      </c>
      <c r="D70" s="3" t="n">
        <v>68085</v>
      </c>
      <c r="E70" s="4" t="n">
        <v>0</v>
      </c>
      <c r="F70" t="inlineStr">
        <is>
          <t>ООО "АЛЕАН ОТДЫХ" [Чайковский]</t>
        </is>
      </c>
      <c r="G70" s="3">
        <f>ROUND(D70/(100-E70)*100,2)</f>
        <v/>
      </c>
      <c r="H70" s="5" t="n">
        <v>46236.58333333334</v>
      </c>
      <c r="I70" t="n">
        <v>6</v>
      </c>
      <c r="J70" s="3">
        <f>G70/I70</f>
        <v/>
      </c>
      <c r="K70">
        <f>IF(J70&gt;=5100,"ставка","мин.ставка")</f>
        <v/>
      </c>
      <c r="L70" s="3">
        <f>ROUND(IF(K70="мин.ставка",I70*100,G70/102*2),2)</f>
        <v/>
      </c>
      <c r="M70" s="5" t="n">
        <v>46242.5</v>
      </c>
      <c r="N70" t="inlineStr">
        <is>
          <t>TravelLine ALN</t>
        </is>
      </c>
      <c r="O70" s="2" t="inlineStr">
        <is>
          <t>СТАНДАРТНЫЙ ДВУХМЕСТНЫЙ НОМЕР</t>
        </is>
      </c>
      <c r="P70" s="6" t="n"/>
      <c r="R70" t="inlineStr"/>
      <c r="S70" t="inlineStr">
        <is>
          <t>Тариф с завтраком</t>
        </is>
      </c>
      <c r="T70" t="n">
        <v>0</v>
      </c>
      <c r="U70" t="n">
        <v>68085</v>
      </c>
    </row>
    <row r="71">
      <c r="A71" t="inlineStr">
        <is>
          <t>20260805-8186-451886641</t>
        </is>
      </c>
      <c r="B71" t="n">
        <v>1</v>
      </c>
      <c r="C71" s="2" t="inlineStr">
        <is>
          <t>Александр Семенов, Ирина Сергеева</t>
        </is>
      </c>
      <c r="D71" s="3" t="n">
        <v>11120</v>
      </c>
      <c r="E71" s="4" t="n">
        <v>18</v>
      </c>
      <c r="F71" t="inlineStr">
        <is>
          <t>Яндекс.Путешествия [Чайковский]</t>
        </is>
      </c>
      <c r="G71" s="3">
        <f>ROUND(D71/(100-E71)*100,2)</f>
        <v/>
      </c>
      <c r="H71" s="5" t="n">
        <v>46239.58333333334</v>
      </c>
      <c r="I71" t="n">
        <v>1</v>
      </c>
      <c r="J71" s="3">
        <f>G71/I71</f>
        <v/>
      </c>
      <c r="K71">
        <f>IF(J71&gt;=5100,"ставка","мин.ставка")</f>
        <v/>
      </c>
      <c r="L71" s="3">
        <f>ROUND(IF(K71="мин.ставка",I71*100,G71/102*2),2)</f>
        <v/>
      </c>
      <c r="M71" s="5" t="n">
        <v>46240.5</v>
      </c>
      <c r="N71" t="inlineStr">
        <is>
          <t>TravelLine YAX</t>
        </is>
      </c>
      <c r="O71" s="2" t="inlineStr">
        <is>
          <t>УЛУЧШЕННЫЙ ДВУХМЕСТНЫЙ НОМЕР</t>
        </is>
      </c>
      <c r="P71" s="6" t="n"/>
      <c r="R71" t="inlineStr"/>
      <c r="S71" t="inlineStr">
        <is>
          <t>Основной тариф без завтрака</t>
        </is>
      </c>
      <c r="T71" t="n">
        <v>0</v>
      </c>
      <c r="U71" t="n">
        <v>11120</v>
      </c>
    </row>
    <row r="72">
      <c r="A72" t="inlineStr">
        <is>
          <t>20260714-8186-449199681</t>
        </is>
      </c>
      <c r="B72" t="n">
        <v>1</v>
      </c>
      <c r="C72" s="2" t="inlineStr">
        <is>
          <t>Александр Соломкин</t>
        </is>
      </c>
      <c r="D72" s="3" t="n">
        <v>18160</v>
      </c>
      <c r="E72" s="4" t="n">
        <v>20</v>
      </c>
      <c r="F72" t="inlineStr">
        <is>
          <t>ООО "КОМПАНИЯ БРОНЕВИК" [Чайковский]</t>
        </is>
      </c>
      <c r="G72" s="3">
        <f>ROUND(D72/(100-E72)*100,2)</f>
        <v/>
      </c>
      <c r="H72" s="5" t="n">
        <v>46217.58333333334</v>
      </c>
      <c r="I72" t="n">
        <v>2</v>
      </c>
      <c r="J72" s="3">
        <f>G72/I72</f>
        <v/>
      </c>
      <c r="K72">
        <f>IF(J72&gt;=5100,"ставка","мин.ставка")</f>
        <v/>
      </c>
      <c r="L72" s="3">
        <f>ROUND(IF(K72="мин.ставка",I72*100,G72/102*2),2)</f>
        <v/>
      </c>
      <c r="M72" s="5" t="n">
        <v>46219.5</v>
      </c>
      <c r="N72" t="inlineStr">
        <is>
          <t>TravelLine BR2</t>
        </is>
      </c>
      <c r="O72" s="2" t="inlineStr">
        <is>
          <t>СЕМЕЙНЫЙ НОМЕР КАТЕГОРИИ "СТАНДАРТ" ВТОРОЙ КОРПУС</t>
        </is>
      </c>
      <c r="P72" s="6" t="n"/>
      <c r="R72" t="inlineStr"/>
      <c r="S72" t="inlineStr">
        <is>
          <t>Тариф с завтраком</t>
        </is>
      </c>
      <c r="T72" t="n">
        <v>0</v>
      </c>
      <c r="U72" t="n">
        <v>18160</v>
      </c>
    </row>
    <row r="73">
      <c r="A73" t="inlineStr">
        <is>
          <t>20260724-8186-412232961</t>
        </is>
      </c>
      <c r="B73" t="n">
        <v>1</v>
      </c>
      <c r="C73" s="2" t="inlineStr">
        <is>
          <t>АЛЕКСАНДР СПИРИДОНОВ, МАРЬЯНА СПИРИДОНОВА</t>
        </is>
      </c>
      <c r="D73" s="3" t="n">
        <v>25245</v>
      </c>
      <c r="E73" s="4" t="n">
        <v>15</v>
      </c>
      <c r="F73" t="inlineStr">
        <is>
          <t>ООО "АКАДЕМ-ОНЛАЙН" [Чайковский]</t>
        </is>
      </c>
      <c r="G73" s="3">
        <f>ROUND(D73/(100-E73)*100,2)</f>
        <v/>
      </c>
      <c r="H73" s="5" t="n">
        <v>46227.58333333334</v>
      </c>
      <c r="I73" t="n">
        <v>3</v>
      </c>
      <c r="J73" s="3">
        <f>G73/I73</f>
        <v/>
      </c>
      <c r="K73">
        <f>IF(J73&gt;=5100,"ставка","мин.ставка")</f>
        <v/>
      </c>
      <c r="L73" s="3">
        <f>ROUND(IF(K73="мин.ставка",I73*100,G73/102*2),2)</f>
        <v/>
      </c>
      <c r="M73" s="5" t="n">
        <v>46230.5</v>
      </c>
      <c r="N73" t="inlineStr">
        <is>
          <t>TravelLine ACS</t>
        </is>
      </c>
      <c r="O73" s="2" t="inlineStr">
        <is>
          <t>СТАНДАРТНЫЙ ДВУХМЕСТНЫЙ НОМЕР (МАНСАРДА)</t>
        </is>
      </c>
      <c r="P73" s="6" t="n"/>
      <c r="R73" t="inlineStr"/>
      <c r="S73" t="inlineStr">
        <is>
          <t>Тариф с завтраком</t>
        </is>
      </c>
      <c r="T73" t="n">
        <v>0</v>
      </c>
      <c r="U73" t="n">
        <v>25245</v>
      </c>
    </row>
    <row r="74">
      <c r="A74" t="inlineStr">
        <is>
          <t>20260827-8186-461925646</t>
        </is>
      </c>
      <c r="B74" t="n">
        <v>1</v>
      </c>
      <c r="C74" s="2" t="inlineStr">
        <is>
          <t>Александр Утюжников, Инна Утюжникова</t>
        </is>
      </c>
      <c r="D74" s="3" t="n">
        <v>11080.5</v>
      </c>
      <c r="E74" s="4" t="n">
        <v>17</v>
      </c>
      <c r="F74" t="inlineStr">
        <is>
          <t>ООО «Интернет Трэвел» (OZON) [Чайковский]</t>
        </is>
      </c>
      <c r="G74" s="3">
        <f>ROUND(D74/(100-E74)*100,2)</f>
        <v/>
      </c>
      <c r="H74" s="5" t="n">
        <v>46261.58333333334</v>
      </c>
      <c r="I74" t="n">
        <v>1</v>
      </c>
      <c r="J74" s="3">
        <f>G74/I74</f>
        <v/>
      </c>
      <c r="K74">
        <f>IF(J74&gt;=5100,"ставка","мин.ставка")</f>
        <v/>
      </c>
      <c r="L74" s="3">
        <f>ROUND(IF(K74="мин.ставка",I74*100,G74/102*2),2)</f>
        <v/>
      </c>
      <c r="M74" s="5" t="n">
        <v>46262.5</v>
      </c>
      <c r="N74" t="inlineStr">
        <is>
          <t>TravelLine OZ2</t>
        </is>
      </c>
      <c r="O74" s="2" t="inlineStr">
        <is>
          <t>ПОЛУЛЮКС</t>
        </is>
      </c>
      <c r="P74" s="6" t="n"/>
      <c r="R74" t="inlineStr"/>
      <c r="S74" t="inlineStr">
        <is>
          <t>Тариф с завтраком</t>
        </is>
      </c>
      <c r="T74" t="n">
        <v>0</v>
      </c>
      <c r="U74" t="n">
        <v>11080.5</v>
      </c>
    </row>
    <row r="75">
      <c r="A75" t="inlineStr">
        <is>
          <t>20260801-8186-439320336</t>
        </is>
      </c>
      <c r="B75" t="n">
        <v>1</v>
      </c>
      <c r="C75" s="2" t="inlineStr">
        <is>
          <t>АЛЕКСАНДР ЯСТРЕБОВ, Ирина Ястребова</t>
        </is>
      </c>
      <c r="D75" s="3" t="n">
        <v>25564</v>
      </c>
      <c r="E75" s="4" t="n">
        <v>20</v>
      </c>
      <c r="F75" t="inlineStr">
        <is>
          <t>ООО «Дубль Гис» (OTELLO) [Чайковский]</t>
        </is>
      </c>
      <c r="G75" s="3">
        <f>ROUND(D75/(100-E75)*100,2)</f>
        <v/>
      </c>
      <c r="H75" s="5" t="n">
        <v>46235.58333333334</v>
      </c>
      <c r="I75" t="n">
        <v>2</v>
      </c>
      <c r="J75" s="3">
        <f>G75/I75</f>
        <v/>
      </c>
      <c r="K75">
        <f>IF(J75&gt;=5100,"ставка","мин.ставка")</f>
        <v/>
      </c>
      <c r="L75" s="3">
        <f>ROUND(IF(K75="мин.ставка",I75*100,G75/102*2),2)</f>
        <v/>
      </c>
      <c r="M75" s="5" t="n">
        <v>46237.5</v>
      </c>
      <c r="N75" t="inlineStr">
        <is>
          <t>TravelLine OL2</t>
        </is>
      </c>
      <c r="O75" s="2" t="inlineStr">
        <is>
          <t>УЛУЧШЕННЫЙ ДВУХМЕСТНЫЙ НОМЕР</t>
        </is>
      </c>
      <c r="P75" s="6" t="n"/>
      <c r="R75" t="inlineStr"/>
      <c r="S75" t="inlineStr">
        <is>
          <t>Тариф с завтраком</t>
        </is>
      </c>
      <c r="T75" t="n">
        <v>0</v>
      </c>
      <c r="U75" t="n">
        <v>25564</v>
      </c>
    </row>
    <row r="76">
      <c r="A76" t="inlineStr">
        <is>
          <t>20260801-8186-432117189</t>
        </is>
      </c>
      <c r="B76" t="n">
        <v>1</v>
      </c>
      <c r="C76" s="2" t="inlineStr">
        <is>
          <t>АЛЕКСАНДРА ЕМЕЛЬЯНЕНКО, ИЛЬЯ ФАДЕЕНКО</t>
        </is>
      </c>
      <c r="D76" s="3" t="n">
        <v>16500</v>
      </c>
      <c r="E76" s="4" t="n">
        <v>0</v>
      </c>
      <c r="F76" t="inlineStr">
        <is>
          <t>Прямые бронирования (стойка) [Чайковский]</t>
        </is>
      </c>
      <c r="G76" s="3">
        <f>ROUND(D76/(100-E76)*100,2)</f>
        <v/>
      </c>
      <c r="H76" s="5" t="n">
        <v>46235.58333333334</v>
      </c>
      <c r="I76" t="n">
        <v>1</v>
      </c>
      <c r="J76" s="3">
        <f>G76/I76</f>
        <v/>
      </c>
      <c r="K76">
        <f>IF(J76&gt;=5100,"ставка","мин.ставка")</f>
        <v/>
      </c>
      <c r="L76" s="3">
        <f>ROUND(IF(K76="мин.ставка",I76*100,G76/102*2),2)</f>
        <v/>
      </c>
      <c r="M76" s="5" t="n">
        <v>46236.5</v>
      </c>
      <c r="N76" t="inlineStr">
        <is>
          <t>TravelLine ресепшн</t>
        </is>
      </c>
      <c r="O76" s="2" t="inlineStr">
        <is>
          <t>ПОЛУЛЮКС</t>
        </is>
      </c>
      <c r="P76" s="6" t="n"/>
      <c r="R76" t="inlineStr"/>
      <c r="S76" t="inlineStr">
        <is>
          <t>Тариф с завтраком</t>
        </is>
      </c>
      <c r="T76" t="n">
        <v>0</v>
      </c>
      <c r="U76" t="n">
        <v>16500</v>
      </c>
    </row>
    <row r="77">
      <c r="A77" t="inlineStr">
        <is>
          <t>20260711-8186-439345595</t>
        </is>
      </c>
      <c r="B77" t="n">
        <v>1</v>
      </c>
      <c r="C77" s="2" t="inlineStr">
        <is>
          <t>Александра Заруднева</t>
        </is>
      </c>
      <c r="D77" s="3" t="n">
        <v>32160</v>
      </c>
      <c r="E77" s="4" t="n">
        <v>18</v>
      </c>
      <c r="F77" t="inlineStr">
        <is>
          <t>Яндекс.Путешествия [Чайковский]</t>
        </is>
      </c>
      <c r="G77" s="3">
        <f>ROUND(D77/(100-E77)*100,2)</f>
        <v/>
      </c>
      <c r="H77" s="5" t="n">
        <v>46214.58333333334</v>
      </c>
      <c r="I77" t="n">
        <v>3</v>
      </c>
      <c r="J77" s="3">
        <f>G77/I77</f>
        <v/>
      </c>
      <c r="K77">
        <f>IF(J77&gt;=5100,"ставка","мин.ставка")</f>
        <v/>
      </c>
      <c r="L77" s="3">
        <f>ROUND(IF(K77="мин.ставка",I77*100,G77/102*2),2)</f>
        <v/>
      </c>
      <c r="M77" s="5" t="n">
        <v>46217.5</v>
      </c>
      <c r="N77" t="inlineStr">
        <is>
          <t>TravelLine YAX</t>
        </is>
      </c>
      <c r="O77" s="2" t="inlineStr">
        <is>
          <t>ПОЛУЛЮКС</t>
        </is>
      </c>
      <c r="P77" s="6" t="n"/>
      <c r="R77" t="inlineStr"/>
      <c r="S77" t="inlineStr">
        <is>
          <t>Тариф с завтраком</t>
        </is>
      </c>
      <c r="T77" t="n">
        <v>0</v>
      </c>
      <c r="U77" t="n">
        <v>32160</v>
      </c>
    </row>
    <row r="78">
      <c r="A78" t="inlineStr">
        <is>
          <t>20260714-8186-449058458</t>
        </is>
      </c>
      <c r="B78" t="n">
        <v>1</v>
      </c>
      <c r="C78" s="2" t="inlineStr">
        <is>
          <t>Александра Краковская</t>
        </is>
      </c>
      <c r="D78" s="3" t="n">
        <v>6160</v>
      </c>
      <c r="E78" s="4" t="n">
        <v>20</v>
      </c>
      <c r="F78" t="inlineStr">
        <is>
          <t>ООО "КОМПАНИЯ БРОНЕВИК" [Чайковский]</t>
        </is>
      </c>
      <c r="G78" s="3">
        <f>ROUND(D78/(100-E78)*100,2)</f>
        <v/>
      </c>
      <c r="H78" s="5" t="n">
        <v>46217.58333333334</v>
      </c>
      <c r="I78" t="n">
        <v>1</v>
      </c>
      <c r="J78" s="3">
        <f>G78/I78</f>
        <v/>
      </c>
      <c r="K78">
        <f>IF(J78&gt;=5100,"ставка","мин.ставка")</f>
        <v/>
      </c>
      <c r="L78" s="3">
        <f>ROUND(IF(K78="мин.ставка",I78*100,G78/102*2),2)</f>
        <v/>
      </c>
      <c r="M78" s="5" t="n">
        <v>46218.5</v>
      </c>
      <c r="N78" t="inlineStr">
        <is>
          <t>TravelLine BR2</t>
        </is>
      </c>
      <c r="O78" s="2" t="inlineStr">
        <is>
          <t>СТАНДАРТНЫЙ ОДНОМЕСТНЫЙ НОМЕР</t>
        </is>
      </c>
      <c r="P78" s="6" t="n"/>
      <c r="R78" t="inlineStr"/>
      <c r="S78" t="inlineStr">
        <is>
          <t>Тариф с завтраком</t>
        </is>
      </c>
      <c r="T78" t="n">
        <v>0</v>
      </c>
      <c r="U78" t="n">
        <v>6160</v>
      </c>
    </row>
    <row r="79">
      <c r="A79" t="inlineStr">
        <is>
          <t>20260808-8186-449681859</t>
        </is>
      </c>
      <c r="B79" t="n">
        <v>1</v>
      </c>
      <c r="C79" s="2" t="inlineStr">
        <is>
          <t>Александра Крафт</t>
        </is>
      </c>
      <c r="D79" s="3" t="n">
        <v>13430</v>
      </c>
      <c r="E79" s="4" t="n">
        <v>16</v>
      </c>
      <c r="F79" t="inlineStr">
        <is>
          <t>ООО "БРОНИРОВАНИЕ ГОСТИНИЦ" (OSTROVOK) [Чайковский]</t>
        </is>
      </c>
      <c r="G79" s="3">
        <f>ROUND(D79/(100-E79)*100,2)</f>
        <v/>
      </c>
      <c r="H79" s="5" t="n">
        <v>46242.58333333334</v>
      </c>
      <c r="I79" t="n">
        <v>1</v>
      </c>
      <c r="J79" s="3">
        <f>G79/I79</f>
        <v/>
      </c>
      <c r="K79">
        <f>IF(J79&gt;=5100,"ставка","мин.ставка")</f>
        <v/>
      </c>
      <c r="L79" s="3">
        <f>ROUND(IF(K79="мин.ставка",I79*100,G79/102*2),2)</f>
        <v/>
      </c>
      <c r="M79" s="5" t="n">
        <v>46243.5</v>
      </c>
      <c r="N79" t="inlineStr">
        <is>
          <t>TravelLine OTK</t>
        </is>
      </c>
      <c r="O79" s="2" t="inlineStr">
        <is>
          <t>ЛЮКС ВТОРОЙ КОРПУС</t>
        </is>
      </c>
      <c r="P79" s="6" t="n"/>
      <c r="R79" t="inlineStr"/>
      <c r="S79" t="inlineStr">
        <is>
          <t>Тариф с завтраком</t>
        </is>
      </c>
      <c r="T79" t="n">
        <v>0</v>
      </c>
      <c r="U79" t="n">
        <v>13430</v>
      </c>
    </row>
    <row r="80">
      <c r="A80" t="inlineStr">
        <is>
          <t>20260801-8186-427298055</t>
        </is>
      </c>
      <c r="B80" t="n">
        <v>1</v>
      </c>
      <c r="C80" s="2" t="inlineStr">
        <is>
          <t>Александра Пилипенко</t>
        </is>
      </c>
      <c r="D80" s="3" t="n">
        <v>79279.75</v>
      </c>
      <c r="E80" s="4" t="n">
        <v>4</v>
      </c>
      <c r="F80" t="inlineStr">
        <is>
          <t>TravelLine Booking Engine [Чайковский]</t>
        </is>
      </c>
      <c r="G80" s="3">
        <f>ROUND(D80/(100-E80)*100,2)</f>
        <v/>
      </c>
      <c r="H80" s="5" t="n">
        <v>46235.58333333334</v>
      </c>
      <c r="I80" t="n">
        <v>7</v>
      </c>
      <c r="J80" s="3">
        <f>G80/I80</f>
        <v/>
      </c>
      <c r="K80">
        <f>IF(J80&gt;=5100,"ставка","мин.ставка")</f>
        <v/>
      </c>
      <c r="L80" s="3">
        <f>ROUND(IF(K80="мин.ставка",I80*100,G80/102*2),2)</f>
        <v/>
      </c>
      <c r="M80" s="5" t="n">
        <v>46242.5</v>
      </c>
      <c r="N80" t="inlineStr">
        <is>
          <t>TravelLine сайт</t>
        </is>
      </c>
      <c r="O80" s="2" t="inlineStr">
        <is>
          <t>СТАНДАРТНЫЙ ДВУХМЕСТНЫЙ НОМЕР</t>
        </is>
      </c>
      <c r="P80" s="6" t="n"/>
      <c r="R80" t="inlineStr"/>
      <c r="S80" t="inlineStr">
        <is>
          <t>Тариф с завтраком</t>
        </is>
      </c>
      <c r="T80" t="n">
        <v>0</v>
      </c>
      <c r="U80" t="n">
        <v>79279.75</v>
      </c>
    </row>
    <row r="81">
      <c r="A81" t="inlineStr">
        <is>
          <t>20260924-8186-468296119</t>
        </is>
      </c>
      <c r="B81" t="n">
        <v>1</v>
      </c>
      <c r="C81" s="2" t="inlineStr">
        <is>
          <t>Александра Реброва</t>
        </is>
      </c>
      <c r="D81" s="3" t="n">
        <v>9702.25</v>
      </c>
      <c r="E81" s="4" t="n">
        <v>4</v>
      </c>
      <c r="F81" t="inlineStr">
        <is>
          <t>TravelLine Booking Engine [Чайковский]</t>
        </is>
      </c>
      <c r="G81" s="3">
        <f>ROUND(D81/(100-E81)*100,2)</f>
        <v/>
      </c>
      <c r="H81" s="5" t="n">
        <v>46289.66666666666</v>
      </c>
      <c r="I81" t="n">
        <v>1</v>
      </c>
      <c r="J81" s="3">
        <f>G81/I81</f>
        <v/>
      </c>
      <c r="K81">
        <f>IF(J81&gt;=5100,"ставка","мин.ставка")</f>
        <v/>
      </c>
      <c r="L81" s="3">
        <f>ROUND(IF(K81="мин.ставка",I81*100,G81/102*2),2)</f>
        <v/>
      </c>
      <c r="M81" s="5" t="n">
        <v>46290.5</v>
      </c>
      <c r="N81" t="inlineStr">
        <is>
          <t>TravelLine сайт</t>
        </is>
      </c>
      <c r="O81" s="2" t="inlineStr">
        <is>
          <t>СТАНДАРТНЫЙ ДВУХМЕСТНЫЙ НОМЕР</t>
        </is>
      </c>
      <c r="P81" s="6" t="n"/>
      <c r="R81" t="inlineStr"/>
      <c r="S81" t="inlineStr">
        <is>
          <t>Основной тариф без завтрака</t>
        </is>
      </c>
      <c r="T81" t="n">
        <v>0</v>
      </c>
      <c r="U81" t="n">
        <v>9702.25</v>
      </c>
    </row>
    <row r="82">
      <c r="A82" t="inlineStr">
        <is>
          <t>20260725-8186-413407903</t>
        </is>
      </c>
      <c r="B82" t="n">
        <v>1</v>
      </c>
      <c r="C82" s="2" t="inlineStr">
        <is>
          <t>Александра Шевелева</t>
        </is>
      </c>
      <c r="D82" s="3" t="n">
        <v>53661.3</v>
      </c>
      <c r="E82" s="4" t="n">
        <v>4</v>
      </c>
      <c r="F82" t="inlineStr">
        <is>
          <t>TravelLine Booking Engine [Чайковский]</t>
        </is>
      </c>
      <c r="G82" s="3">
        <f>ROUND(D82/(100-E82)*100,2)</f>
        <v/>
      </c>
      <c r="H82" s="5" t="n">
        <v>46228.66666666666</v>
      </c>
      <c r="I82" t="n">
        <v>7</v>
      </c>
      <c r="J82" s="3">
        <f>G82/I82</f>
        <v/>
      </c>
      <c r="K82">
        <f>IF(J82&gt;=5100,"ставка","мин.ставка")</f>
        <v/>
      </c>
      <c r="L82" s="3">
        <f>ROUND(IF(K82="мин.ставка",I82*100,G82/102*2),2)</f>
        <v/>
      </c>
      <c r="M82" s="5" t="n">
        <v>46235.375</v>
      </c>
      <c r="N82" t="inlineStr">
        <is>
          <t>TravelLine сайт</t>
        </is>
      </c>
      <c r="O82" s="2" t="inlineStr">
        <is>
          <t>СТАНДАРТНЫЙ ОДНОМЕСТНЫЙ НОМЕР</t>
        </is>
      </c>
      <c r="P82" s="6" t="n"/>
      <c r="R82" t="inlineStr"/>
      <c r="S82" t="inlineStr">
        <is>
          <t>Тариф с завтраком</t>
        </is>
      </c>
      <c r="T82" t="n">
        <v>0</v>
      </c>
      <c r="U82" t="n">
        <v>53661.3</v>
      </c>
    </row>
    <row r="83">
      <c r="A83" t="inlineStr">
        <is>
          <t>20260909-8186-464877594</t>
        </is>
      </c>
      <c r="B83" t="n">
        <v>1</v>
      </c>
      <c r="C83" s="2" t="inlineStr">
        <is>
          <t>Алексей Анисимов</t>
        </is>
      </c>
      <c r="D83" s="3" t="n">
        <v>13050</v>
      </c>
      <c r="E83" s="4" t="n">
        <v>0</v>
      </c>
      <c r="F83" t="inlineStr">
        <is>
          <t>Прямые бронирования (стойка) [Чайковский]</t>
        </is>
      </c>
      <c r="G83" s="3">
        <f>ROUND(D83/(100-E83)*100,2)</f>
        <v/>
      </c>
      <c r="H83" s="5" t="n">
        <v>46274.58333333334</v>
      </c>
      <c r="I83" t="n">
        <v>1</v>
      </c>
      <c r="J83" s="3">
        <f>G83/I83</f>
        <v/>
      </c>
      <c r="K83">
        <f>IF(J83&gt;=5100,"ставка","мин.ставка")</f>
        <v/>
      </c>
      <c r="L83" s="3">
        <f>ROUND(IF(K83="мин.ставка",I83*100,G83/102*2),2)</f>
        <v/>
      </c>
      <c r="M83" s="5" t="n">
        <v>46275.5</v>
      </c>
      <c r="N83" t="inlineStr">
        <is>
          <t>TravelLine ресепшн</t>
        </is>
      </c>
      <c r="O83" s="2" t="inlineStr">
        <is>
          <t>ПОЛУЛЮКС</t>
        </is>
      </c>
      <c r="P83" s="6" t="n"/>
      <c r="R83" t="inlineStr"/>
      <c r="S83" t="inlineStr">
        <is>
          <t>Тариф с завтраком</t>
        </is>
      </c>
      <c r="T83" t="n">
        <v>0</v>
      </c>
      <c r="U83" t="n">
        <v>13050</v>
      </c>
    </row>
    <row r="84">
      <c r="A84" t="inlineStr">
        <is>
          <t>20260921-8186-446871466</t>
        </is>
      </c>
      <c r="B84" t="n">
        <v>1</v>
      </c>
      <c r="C84" s="2" t="inlineStr">
        <is>
          <t>Алексей Бавтрукевич</t>
        </is>
      </c>
      <c r="D84" s="3" t="n">
        <v>31481.5</v>
      </c>
      <c r="E84" s="4" t="n">
        <v>4</v>
      </c>
      <c r="F84" t="inlineStr">
        <is>
          <t>TravelLine Booking Engine [Чайковский]</t>
        </is>
      </c>
      <c r="G84" s="3">
        <f>ROUND(D84/(100-E84)*100,2)</f>
        <v/>
      </c>
      <c r="H84" s="5" t="n">
        <v>46286.58333333334</v>
      </c>
      <c r="I84" t="n">
        <v>4</v>
      </c>
      <c r="J84" s="3">
        <f>G84/I84</f>
        <v/>
      </c>
      <c r="K84">
        <f>IF(J84&gt;=5100,"ставка","мин.ставка")</f>
        <v/>
      </c>
      <c r="L84" s="3">
        <f>ROUND(IF(K84="мин.ставка",I84*100,G84/102*2),2)</f>
        <v/>
      </c>
      <c r="M84" s="5" t="n">
        <v>46290.5</v>
      </c>
      <c r="N84" t="inlineStr">
        <is>
          <t>TravelLine сайт</t>
        </is>
      </c>
      <c r="O84" s="2" t="inlineStr">
        <is>
          <t>СТАНДАРТНЫЙ ДВУХМЕСТНЫЙ НОМЕР (МАНСАРДА)</t>
        </is>
      </c>
      <c r="P84" s="6" t="n"/>
      <c r="R84" t="inlineStr"/>
      <c r="S84" t="inlineStr">
        <is>
          <t>Тариф с завтраком</t>
        </is>
      </c>
      <c r="T84" t="n">
        <v>0</v>
      </c>
      <c r="U84" t="n">
        <v>31481.5</v>
      </c>
    </row>
    <row r="85">
      <c r="A85" t="inlineStr">
        <is>
          <t>20260918-8186-411171666</t>
        </is>
      </c>
      <c r="B85" t="n">
        <v>1</v>
      </c>
      <c r="C85" s="2" t="inlineStr">
        <is>
          <t>Алексей Бобров, Мария Боброва</t>
        </is>
      </c>
      <c r="D85" s="3" t="n">
        <v>16830</v>
      </c>
      <c r="E85" s="4" t="n">
        <v>15</v>
      </c>
      <c r="F85" t="inlineStr">
        <is>
          <t>ООО Тинькофф Путешествия [Чайковский]</t>
        </is>
      </c>
      <c r="G85" s="3">
        <f>ROUND(D85/(100-E85)*100,2)</f>
        <v/>
      </c>
      <c r="H85" s="5" t="n">
        <v>46283.91666666666</v>
      </c>
      <c r="I85" t="n">
        <v>2</v>
      </c>
      <c r="J85" s="3">
        <f>G85/I85</f>
        <v/>
      </c>
      <c r="K85">
        <f>IF(J85&gt;=5100,"ставка","мин.ставка")</f>
        <v/>
      </c>
      <c r="L85" s="3">
        <f>ROUND(IF(K85="мин.ставка",I85*100,G85/102*2),2)</f>
        <v/>
      </c>
      <c r="M85" s="5" t="n">
        <v>46285.5</v>
      </c>
      <c r="N85" t="inlineStr">
        <is>
          <t>TravelLine TNK</t>
        </is>
      </c>
      <c r="O85" s="2" t="inlineStr">
        <is>
          <t>СТАНДАРТНЫЙ ДВУХМЕСТНЫЙ НОМЕР (МАНСАРДА)</t>
        </is>
      </c>
      <c r="P85" s="6" t="n"/>
      <c r="R85" t="inlineStr"/>
      <c r="S85" t="inlineStr">
        <is>
          <t>Тариф с завтраком</t>
        </is>
      </c>
      <c r="T85" t="n">
        <v>0</v>
      </c>
      <c r="U85" t="n">
        <v>16830</v>
      </c>
    </row>
    <row r="86">
      <c r="A86" t="inlineStr">
        <is>
          <t>20260905-8186-463872786</t>
        </is>
      </c>
      <c r="B86" t="n">
        <v>1</v>
      </c>
      <c r="C86" s="2" t="inlineStr">
        <is>
          <t>Алексей Буланцев, Алла Гейслер</t>
        </is>
      </c>
      <c r="D86" s="3" t="n">
        <v>10012.5</v>
      </c>
      <c r="E86" s="4" t="n">
        <v>18</v>
      </c>
      <c r="F86" t="inlineStr">
        <is>
          <t>Яндекс.Путешествия [Чайковский]</t>
        </is>
      </c>
      <c r="G86" s="3">
        <f>ROUND(D86/(100-E86)*100,2)</f>
        <v/>
      </c>
      <c r="H86" s="5" t="n">
        <v>46270.58333333334</v>
      </c>
      <c r="I86" t="n">
        <v>1</v>
      </c>
      <c r="J86" s="3">
        <f>G86/I86</f>
        <v/>
      </c>
      <c r="K86">
        <f>IF(J86&gt;=5100,"ставка","мин.ставка")</f>
        <v/>
      </c>
      <c r="L86" s="3">
        <f>ROUND(IF(K86="мин.ставка",I86*100,G86/102*2),2)</f>
        <v/>
      </c>
      <c r="M86" s="5" t="n">
        <v>46271.5</v>
      </c>
      <c r="N86" t="inlineStr">
        <is>
          <t>TravelLine YAX</t>
        </is>
      </c>
      <c r="O86" s="2" t="inlineStr">
        <is>
          <t>СТАНДАРТНЫЙ ДВУХМЕСТНЫЙ НОМЕР</t>
        </is>
      </c>
      <c r="P86" s="6" t="n"/>
      <c r="R86" t="inlineStr"/>
      <c r="S86" t="inlineStr">
        <is>
          <t>Тариф с завтраком</t>
        </is>
      </c>
      <c r="T86" t="n">
        <v>0</v>
      </c>
      <c r="U86" t="n">
        <v>10012.5</v>
      </c>
    </row>
    <row r="87">
      <c r="A87" t="inlineStr">
        <is>
          <t>20260814-8186-445727724</t>
        </is>
      </c>
      <c r="B87" t="n">
        <v>1</v>
      </c>
      <c r="C87" s="2" t="inlineStr">
        <is>
          <t>Алексей Быков</t>
        </is>
      </c>
      <c r="D87" s="3" t="n">
        <v>86827.5</v>
      </c>
      <c r="E87" s="4" t="n">
        <v>16</v>
      </c>
      <c r="F87" t="inlineStr">
        <is>
          <t>ООО "БРОНИРОВАНИЕ ГОСТИНИЦ" (OSTROVOK) [Чайковский]</t>
        </is>
      </c>
      <c r="G87" s="3">
        <f>ROUND(D87/(100-E87)*100,2)</f>
        <v/>
      </c>
      <c r="H87" s="5" t="n">
        <v>46249.58333333334</v>
      </c>
      <c r="I87" t="n">
        <v>9</v>
      </c>
      <c r="J87" s="3">
        <f>G87/I87</f>
        <v/>
      </c>
      <c r="K87">
        <f>IF(J87&gt;=5100,"ставка","мин.ставка")</f>
        <v/>
      </c>
      <c r="L87" s="3">
        <f>ROUND(IF(K87="мин.ставка",I87*100,G87/102*2),2)</f>
        <v/>
      </c>
      <c r="M87" s="5" t="n">
        <v>46258.5</v>
      </c>
      <c r="N87" t="inlineStr">
        <is>
          <t>TravelLine OTK</t>
        </is>
      </c>
      <c r="O87" s="2" t="inlineStr">
        <is>
          <t>СТАНДАРТНЫЙ ДВУХМЕСТНЫЙ НОМЕР</t>
        </is>
      </c>
      <c r="P87" s="6" t="n"/>
      <c r="R87" t="inlineStr"/>
      <c r="S87" t="inlineStr">
        <is>
          <t>Тариф с завтраком</t>
        </is>
      </c>
      <c r="T87" t="n">
        <v>0</v>
      </c>
      <c r="U87" t="n">
        <v>86827.5</v>
      </c>
    </row>
    <row r="88">
      <c r="A88" t="inlineStr">
        <is>
          <t>20260928-8186-468491445</t>
        </is>
      </c>
      <c r="B88" t="n">
        <v>1</v>
      </c>
      <c r="C88" s="2" t="inlineStr">
        <is>
          <t>Алексей Власов</t>
        </is>
      </c>
      <c r="D88" s="3" t="n">
        <v>27921</v>
      </c>
      <c r="E88" s="4" t="n">
        <v>18</v>
      </c>
      <c r="F88" t="inlineStr">
        <is>
          <t>ООО "Эй энд Эй" [Чайковский]</t>
        </is>
      </c>
      <c r="G88" s="3">
        <f>ROUND(D88/(100-E88)*100,2)</f>
        <v/>
      </c>
      <c r="H88" s="5" t="n">
        <v>46293.58333333334</v>
      </c>
      <c r="I88" t="n">
        <v>3</v>
      </c>
      <c r="J88" s="3">
        <f>G88/I88</f>
        <v/>
      </c>
      <c r="K88">
        <f>IF(J88&gt;=5100,"ставка","мин.ставка")</f>
        <v/>
      </c>
      <c r="L88" s="3">
        <f>ROUND(IF(K88="мин.ставка",I88*100,G88/102*2),2)</f>
        <v/>
      </c>
      <c r="M88" s="5" t="n">
        <v>46296.5</v>
      </c>
      <c r="N88" t="inlineStr">
        <is>
          <t>TravelLine ANA</t>
        </is>
      </c>
      <c r="O88" s="2" t="inlineStr">
        <is>
          <t>СТАНДАРТНЫЙ ДВУХМЕСТНЫЙ НОМЕР</t>
        </is>
      </c>
      <c r="P88" s="6" t="n"/>
      <c r="R88" t="inlineStr"/>
      <c r="S88" t="inlineStr">
        <is>
          <t>Тариф с завтраком</t>
        </is>
      </c>
      <c r="T88" t="n">
        <v>0</v>
      </c>
      <c r="U88" t="n">
        <v>27921</v>
      </c>
    </row>
    <row r="89">
      <c r="A89" t="inlineStr">
        <is>
          <t>20260801-8186-451401822</t>
        </is>
      </c>
      <c r="B89" t="n">
        <v>1</v>
      </c>
      <c r="C89" s="2" t="inlineStr">
        <is>
          <t>Алексей Гладков, ОЛЬГА Михальченко</t>
        </is>
      </c>
      <c r="D89" s="3" t="n">
        <v>15840</v>
      </c>
      <c r="E89" s="4" t="n">
        <v>18</v>
      </c>
      <c r="F89" t="inlineStr">
        <is>
          <t>Яндекс.Путешествия [Чайковский]</t>
        </is>
      </c>
      <c r="G89" s="3">
        <f>ROUND(D89/(100-E89)*100,2)</f>
        <v/>
      </c>
      <c r="H89" s="5" t="n">
        <v>46235.58333333334</v>
      </c>
      <c r="I89" t="n">
        <v>2</v>
      </c>
      <c r="J89" s="3">
        <f>G89/I89</f>
        <v/>
      </c>
      <c r="K89">
        <f>IF(J89&gt;=5100,"ставка","мин.ставка")</f>
        <v/>
      </c>
      <c r="L89" s="3">
        <f>ROUND(IF(K89="мин.ставка",I89*100,G89/102*2),2)</f>
        <v/>
      </c>
      <c r="M89" s="5" t="n">
        <v>46237.5</v>
      </c>
      <c r="N89" t="inlineStr">
        <is>
          <t>TravelLine YAX</t>
        </is>
      </c>
      <c r="O89" s="2" t="inlineStr">
        <is>
          <t>СТАНДАРТНЫЙ ДВУХМЕСТНЫЙ НОМЕР (МАНСАРДА)</t>
        </is>
      </c>
      <c r="P89" s="6" t="n"/>
      <c r="R89" t="inlineStr"/>
      <c r="S89" t="inlineStr">
        <is>
          <t>Тариф с завтраком</t>
        </is>
      </c>
      <c r="T89" t="n">
        <v>0</v>
      </c>
      <c r="U89" t="n">
        <v>15840</v>
      </c>
    </row>
    <row r="90">
      <c r="A90" t="inlineStr">
        <is>
          <t>20260708-8186-445371668</t>
        </is>
      </c>
      <c r="B90" t="n">
        <v>1</v>
      </c>
      <c r="C90" s="2" t="inlineStr">
        <is>
          <t>Алексей Грахов</t>
        </is>
      </c>
      <c r="D90" s="3" t="n">
        <v>19295</v>
      </c>
      <c r="E90" s="4" t="n">
        <v>15</v>
      </c>
      <c r="F90" t="inlineStr">
        <is>
          <t>ООО «СБО» (Ростелеком) [Чайковский]</t>
        </is>
      </c>
      <c r="G90" s="3">
        <f>ROUND(D90/(100-E90)*100,2)</f>
        <v/>
      </c>
      <c r="H90" s="5" t="n">
        <v>46211.58333333334</v>
      </c>
      <c r="I90" t="n">
        <v>2</v>
      </c>
      <c r="J90" s="3">
        <f>G90/I90</f>
        <v/>
      </c>
      <c r="K90">
        <f>IF(J90&gt;=5100,"ставка","мин.ставка")</f>
        <v/>
      </c>
      <c r="L90" s="3">
        <f>ROUND(IF(K90="мин.ставка",I90*100,G90/102*2),2)</f>
        <v/>
      </c>
      <c r="M90" s="5" t="n">
        <v>46213.5</v>
      </c>
      <c r="N90" t="inlineStr">
        <is>
          <t>TravelLine RTT</t>
        </is>
      </c>
      <c r="O90" s="2" t="inlineStr">
        <is>
          <t>СТАНДАРТНЫЙ ДВУХМЕСТНЫЙ НОМЕР</t>
        </is>
      </c>
      <c r="P90" s="6" t="n"/>
      <c r="R90" t="inlineStr"/>
      <c r="S90" t="inlineStr">
        <is>
          <t>Тариф с завтраком</t>
        </is>
      </c>
      <c r="T90" t="n">
        <v>0</v>
      </c>
      <c r="U90" t="n">
        <v>19295</v>
      </c>
    </row>
    <row r="91">
      <c r="A91" t="inlineStr">
        <is>
          <t>20260715-8186-450339541</t>
        </is>
      </c>
      <c r="B91" t="n">
        <v>1</v>
      </c>
      <c r="C91" s="2" t="inlineStr">
        <is>
          <t>Алексей Дегтярёв, Екатерина Дегтярёва, Олеся Дегтярёва</t>
        </is>
      </c>
      <c r="D91" s="3" t="n">
        <v>13275.3</v>
      </c>
      <c r="E91" s="4" t="n">
        <v>4</v>
      </c>
      <c r="F91" t="inlineStr">
        <is>
          <t>TravelLine Booking Engine [Чайковский]</t>
        </is>
      </c>
      <c r="G91" s="3">
        <f>ROUND(D91/(100-E91)*100,2)</f>
        <v/>
      </c>
      <c r="H91" s="5" t="n">
        <v>46218.83333333334</v>
      </c>
      <c r="I91" t="n">
        <v>1</v>
      </c>
      <c r="J91" s="3">
        <f>G91/I91</f>
        <v/>
      </c>
      <c r="K91">
        <f>IF(J91&gt;=5100,"ставка","мин.ставка")</f>
        <v/>
      </c>
      <c r="L91" s="3">
        <f>ROUND(IF(K91="мин.ставка",I91*100,G91/102*2),2)</f>
        <v/>
      </c>
      <c r="M91" s="5" t="n">
        <v>46219.5</v>
      </c>
      <c r="N91" t="inlineStr">
        <is>
          <t>TravelLine сайт</t>
        </is>
      </c>
      <c r="O91" s="2" t="inlineStr">
        <is>
          <t>СЕМЕЙНЫЙ НОМЕР КАТЕГОРИИ "СТАНДАРТ" ВТОРОЙ КОРПУС</t>
        </is>
      </c>
      <c r="P91" s="6" t="n"/>
      <c r="R91" t="inlineStr"/>
      <c r="S91" t="inlineStr">
        <is>
          <t>Тариф с завтраком</t>
        </is>
      </c>
      <c r="T91" t="n">
        <v>0</v>
      </c>
      <c r="U91" t="n">
        <v>13275.3</v>
      </c>
    </row>
    <row r="92">
      <c r="A92" t="inlineStr">
        <is>
          <t>20260713-8186-448221235</t>
        </is>
      </c>
      <c r="B92" t="n">
        <v>1</v>
      </c>
      <c r="C92" s="2" t="inlineStr">
        <is>
          <t>Алексей Косарев</t>
        </is>
      </c>
      <c r="D92" s="3" t="n">
        <v>45400</v>
      </c>
      <c r="E92" s="4" t="n">
        <v>4</v>
      </c>
      <c r="F92" t="inlineStr">
        <is>
          <t>TravelLine Booking Engine [Чайковский]</t>
        </is>
      </c>
      <c r="G92" s="3">
        <f>ROUND(D92/(100-E92)*100,2)</f>
        <v/>
      </c>
      <c r="H92" s="5" t="n">
        <v>46216.58333333334</v>
      </c>
      <c r="I92" t="n">
        <v>4</v>
      </c>
      <c r="J92" s="3">
        <f>G92/I92</f>
        <v/>
      </c>
      <c r="K92">
        <f>IF(J92&gt;=5100,"ставка","мин.ставка")</f>
        <v/>
      </c>
      <c r="L92" s="3">
        <f>ROUND(IF(K92="мин.ставка",I92*100,G92/102*2),2)</f>
        <v/>
      </c>
      <c r="M92" s="5" t="n">
        <v>46220.5</v>
      </c>
      <c r="N92" t="inlineStr">
        <is>
          <t>TravelLine сайт</t>
        </is>
      </c>
      <c r="O92" s="2" t="inlineStr">
        <is>
          <t>СТАНДАРТНЫЙ ДВУХМЕСТНЫЙ НОМЕР</t>
        </is>
      </c>
      <c r="P92" s="6" t="n"/>
      <c r="R92" t="inlineStr"/>
      <c r="S92" t="inlineStr">
        <is>
          <t>Тариф с завтраком</t>
        </is>
      </c>
      <c r="T92" t="n">
        <v>0</v>
      </c>
      <c r="U92" t="n">
        <v>90800</v>
      </c>
    </row>
    <row r="93">
      <c r="A93" t="inlineStr">
        <is>
          <t>20260712-8186-449256550</t>
        </is>
      </c>
      <c r="B93" t="n">
        <v>1</v>
      </c>
      <c r="C93" s="2" t="inlineStr">
        <is>
          <t>алексей красоцкий, ольга красоцкая</t>
        </is>
      </c>
      <c r="D93" s="3" t="n">
        <v>8720</v>
      </c>
      <c r="E93" s="4" t="n">
        <v>20</v>
      </c>
      <c r="F93" t="inlineStr">
        <is>
          <t>ООО "КОМПАНИЯ БРОНЕВИК" [Чайковский]</t>
        </is>
      </c>
      <c r="G93" s="3">
        <f>ROUND(D93/(100-E93)*100,2)</f>
        <v/>
      </c>
      <c r="H93" s="5" t="n">
        <v>46215.58333333334</v>
      </c>
      <c r="I93" t="n">
        <v>1</v>
      </c>
      <c r="J93" s="3">
        <f>G93/I93</f>
        <v/>
      </c>
      <c r="K93">
        <f>IF(J93&gt;=5100,"ставка","мин.ставка")</f>
        <v/>
      </c>
      <c r="L93" s="3">
        <f>ROUND(IF(K93="мин.ставка",I93*100,G93/102*2),2)</f>
        <v/>
      </c>
      <c r="M93" s="5" t="n">
        <v>46216.5</v>
      </c>
      <c r="N93" t="inlineStr">
        <is>
          <t>TravelLine BR2</t>
        </is>
      </c>
      <c r="O93" s="2" t="inlineStr">
        <is>
          <t>СЕМЕЙНЫЙ НОМЕР КАТЕГОРИИ "СТАНДАРТ" ВТОРОЙ КОРПУС</t>
        </is>
      </c>
      <c r="P93" s="6" t="n"/>
      <c r="R93" t="inlineStr"/>
      <c r="S93" t="inlineStr">
        <is>
          <t>Тариф с завтраком</t>
        </is>
      </c>
      <c r="T93" t="n">
        <v>0</v>
      </c>
      <c r="U93" t="n">
        <v>8720</v>
      </c>
    </row>
    <row r="94">
      <c r="A94" t="inlineStr">
        <is>
          <t>20260720-8186-451892506</t>
        </is>
      </c>
      <c r="B94" t="n">
        <v>1</v>
      </c>
      <c r="C94" s="2" t="inlineStr">
        <is>
          <t>Алексей Манин</t>
        </is>
      </c>
      <c r="D94" s="3" t="n">
        <v>8217</v>
      </c>
      <c r="E94" s="4" t="n">
        <v>17</v>
      </c>
      <c r="F94" t="inlineStr">
        <is>
          <t>ООО «Дубль Гис» (OTELLO) [Чайковский]</t>
        </is>
      </c>
      <c r="G94" s="3">
        <f>ROUND(D94/(100-E94)*100,2)</f>
        <v/>
      </c>
      <c r="H94" s="5" t="n">
        <v>46223.58333333334</v>
      </c>
      <c r="I94" t="n">
        <v>1</v>
      </c>
      <c r="J94" s="3">
        <f>G94/I94</f>
        <v/>
      </c>
      <c r="K94">
        <f>IF(J94&gt;=5100,"ставка","мин.ставка")</f>
        <v/>
      </c>
      <c r="L94" s="3">
        <f>ROUND(IF(K94="мин.ставка",I94*100,G94/102*2),2)</f>
        <v/>
      </c>
      <c r="M94" s="5" t="n">
        <v>46224.5</v>
      </c>
      <c r="N94" t="inlineStr">
        <is>
          <t>TravelLine OL2</t>
        </is>
      </c>
      <c r="O94" s="2" t="inlineStr">
        <is>
          <t>СТАНДАРТНЫЙ ДВУХМЕСТНЫЙ НОМЕР</t>
        </is>
      </c>
      <c r="P94" s="6" t="n"/>
      <c r="R94" t="inlineStr"/>
      <c r="S94" t="inlineStr">
        <is>
          <t>Тариф с завтраком</t>
        </is>
      </c>
      <c r="T94" t="n">
        <v>0</v>
      </c>
      <c r="U94" t="n">
        <v>8217</v>
      </c>
    </row>
    <row r="95">
      <c r="A95" t="inlineStr">
        <is>
          <t>20260718-8186-451155669</t>
        </is>
      </c>
      <c r="B95" t="n">
        <v>1</v>
      </c>
      <c r="C95" s="2" t="inlineStr">
        <is>
          <t>Алексей Манин, Наталья Манина</t>
        </is>
      </c>
      <c r="D95" s="3" t="n">
        <v>11080.5</v>
      </c>
      <c r="E95" s="4" t="n">
        <v>17</v>
      </c>
      <c r="F95" t="inlineStr">
        <is>
          <t>ООО «Дубль Гис» (OTELLO) [Чайковский]</t>
        </is>
      </c>
      <c r="G95" s="3">
        <f>ROUND(D95/(100-E95)*100,2)</f>
        <v/>
      </c>
      <c r="H95" s="5" t="n">
        <v>46221.58333333334</v>
      </c>
      <c r="I95" t="n">
        <v>1</v>
      </c>
      <c r="J95" s="3">
        <f>G95/I95</f>
        <v/>
      </c>
      <c r="K95">
        <f>IF(J95&gt;=5100,"ставка","мин.ставка")</f>
        <v/>
      </c>
      <c r="L95" s="3">
        <f>ROUND(IF(K95="мин.ставка",I95*100,G95/102*2),2)</f>
        <v/>
      </c>
      <c r="M95" s="5" t="n">
        <v>46222.5</v>
      </c>
      <c r="N95" t="inlineStr">
        <is>
          <t>TravelLine OL2</t>
        </is>
      </c>
      <c r="O95" s="2" t="inlineStr">
        <is>
          <t>УЛУЧШЕННЫЙ ДВУХМЕСТНЫЙ НОМЕР</t>
        </is>
      </c>
      <c r="P95" s="6" t="n"/>
      <c r="R95" t="inlineStr"/>
      <c r="S95" t="inlineStr">
        <is>
          <t>Тариф с завтраком</t>
        </is>
      </c>
      <c r="T95" t="n">
        <v>0</v>
      </c>
      <c r="U95" t="n">
        <v>11080.5</v>
      </c>
    </row>
    <row r="96">
      <c r="A96" t="inlineStr">
        <is>
          <t>20260718-8186-448944338</t>
        </is>
      </c>
      <c r="B96" t="n">
        <v>1</v>
      </c>
      <c r="C96" s="2" t="inlineStr">
        <is>
          <t>Алексей Митрохин</t>
        </is>
      </c>
      <c r="D96" s="3" t="n">
        <v>56960</v>
      </c>
      <c r="E96" s="4" t="n">
        <v>20</v>
      </c>
      <c r="F96" t="inlineStr">
        <is>
          <t>ООО "КОМПАНИЯ БРОНЕВИК" [Чайковский]</t>
        </is>
      </c>
      <c r="G96" s="3">
        <f>ROUND(D96/(100-E96)*100,2)</f>
        <v/>
      </c>
      <c r="H96" s="5" t="n">
        <v>46221.58333333334</v>
      </c>
      <c r="I96" t="n">
        <v>8</v>
      </c>
      <c r="J96" s="3">
        <f>G96/I96</f>
        <v/>
      </c>
      <c r="K96">
        <f>IF(J96&gt;=5100,"ставка","мин.ставка")</f>
        <v/>
      </c>
      <c r="L96" s="3">
        <f>ROUND(IF(K96="мин.ставка",I96*100,G96/102*2),2)</f>
        <v/>
      </c>
      <c r="M96" s="5" t="n">
        <v>46229.5</v>
      </c>
      <c r="N96" t="inlineStr">
        <is>
          <t>TravelLine BR2</t>
        </is>
      </c>
      <c r="O96" s="2" t="inlineStr">
        <is>
          <t>СЕМЕЙНЫЙ НОМЕР КАТЕГОРИИ "СТАНДАРТ" ВТОРОЙ КОРПУС</t>
        </is>
      </c>
      <c r="P96" s="6" t="n"/>
      <c r="R96" t="inlineStr"/>
      <c r="S96" t="inlineStr">
        <is>
          <t>Тариф с завтраком</t>
        </is>
      </c>
      <c r="T96" t="n">
        <v>0</v>
      </c>
      <c r="U96" t="n">
        <v>56960</v>
      </c>
    </row>
    <row r="97">
      <c r="A97" t="inlineStr">
        <is>
          <t>20260907-8186-463206260</t>
        </is>
      </c>
      <c r="B97" t="n">
        <v>1</v>
      </c>
      <c r="C97" s="2" t="inlineStr">
        <is>
          <t>Алексей Моисеев</t>
        </is>
      </c>
      <c r="D97" s="3" t="n">
        <v>18160</v>
      </c>
      <c r="E97" s="4" t="n">
        <v>20</v>
      </c>
      <c r="F97" t="inlineStr">
        <is>
          <t>ООО "КОМПАНИЯ БРОНЕВИК" [Чайковский]</t>
        </is>
      </c>
      <c r="G97" s="3">
        <f>ROUND(D97/(100-E97)*100,2)</f>
        <v/>
      </c>
      <c r="H97" s="5" t="n">
        <v>46272.58333333334</v>
      </c>
      <c r="I97" t="n">
        <v>2</v>
      </c>
      <c r="J97" s="3">
        <f>G97/I97</f>
        <v/>
      </c>
      <c r="K97">
        <f>IF(J97&gt;=5100,"ставка","мин.ставка")</f>
        <v/>
      </c>
      <c r="L97" s="3">
        <f>ROUND(IF(K97="мин.ставка",I97*100,G97/102*2),2)</f>
        <v/>
      </c>
      <c r="M97" s="5" t="n">
        <v>46274.5</v>
      </c>
      <c r="N97" t="inlineStr">
        <is>
          <t>TravelLine BR2</t>
        </is>
      </c>
      <c r="O97" s="2" t="inlineStr">
        <is>
          <t>СТАНДАРТНЫЙ ДВУХМЕСТНЫЙ НОМЕР</t>
        </is>
      </c>
      <c r="P97" s="6" t="n"/>
      <c r="R97" t="inlineStr"/>
      <c r="S97" t="inlineStr">
        <is>
          <t>Тариф с завтраком</t>
        </is>
      </c>
      <c r="T97" t="n">
        <v>0</v>
      </c>
      <c r="U97" t="n">
        <v>18160</v>
      </c>
    </row>
    <row r="98">
      <c r="A98" t="inlineStr">
        <is>
          <t>20260823-8186-458220929</t>
        </is>
      </c>
      <c r="B98" t="n">
        <v>1</v>
      </c>
      <c r="C98" s="2" t="inlineStr">
        <is>
          <t>АЛЕКСЕЙ МОСКВИН</t>
        </is>
      </c>
      <c r="D98" s="3" t="n">
        <v>28942.5</v>
      </c>
      <c r="E98" s="4" t="n">
        <v>15</v>
      </c>
      <c r="F98" t="inlineStr">
        <is>
          <t>ООО "АКАДЕМ-ОНЛАЙН" [Чайковский]</t>
        </is>
      </c>
      <c r="G98" s="3">
        <f>ROUND(D98/(100-E98)*100,2)</f>
        <v/>
      </c>
      <c r="H98" s="5" t="n">
        <v>46257.58333333334</v>
      </c>
      <c r="I98" t="n">
        <v>3</v>
      </c>
      <c r="J98" s="3">
        <f>G98/I98</f>
        <v/>
      </c>
      <c r="K98">
        <f>IF(J98&gt;=5100,"ставка","мин.ставка")</f>
        <v/>
      </c>
      <c r="L98" s="3">
        <f>ROUND(IF(K98="мин.ставка",I98*100,G98/102*2),2)</f>
        <v/>
      </c>
      <c r="M98" s="5" t="n">
        <v>46260.5</v>
      </c>
      <c r="N98" t="inlineStr">
        <is>
          <t>TravelLine ACS</t>
        </is>
      </c>
      <c r="O98" s="2" t="inlineStr">
        <is>
          <t>СТАНДАРТНЫЙ ДВУХМЕСТНЫЙ НОМЕР</t>
        </is>
      </c>
      <c r="P98" s="6" t="n"/>
      <c r="R98" t="inlineStr"/>
      <c r="S98" t="inlineStr">
        <is>
          <t>Тариф с завтраком</t>
        </is>
      </c>
      <c r="T98" t="n">
        <v>0</v>
      </c>
      <c r="U98" t="n">
        <v>28942.5</v>
      </c>
    </row>
    <row r="99">
      <c r="A99" t="inlineStr">
        <is>
          <t>20260709-8186-415694395</t>
        </is>
      </c>
      <c r="B99" t="n">
        <v>1</v>
      </c>
      <c r="C99" s="2" t="inlineStr">
        <is>
          <t>Алексей Остроумов</t>
        </is>
      </c>
      <c r="D99" s="3" t="n">
        <v>25878</v>
      </c>
      <c r="E99" s="4" t="n">
        <v>18</v>
      </c>
      <c r="F99" t="inlineStr">
        <is>
          <t>Яндекс.Путешествия [Чайковский]</t>
        </is>
      </c>
      <c r="G99" s="3">
        <f>ROUND(D99/(100-E99)*100,2)</f>
        <v/>
      </c>
      <c r="H99" s="5" t="n">
        <v>46212.58333333334</v>
      </c>
      <c r="I99" t="n">
        <v>3</v>
      </c>
      <c r="J99" s="3">
        <f>G99/I99</f>
        <v/>
      </c>
      <c r="K99">
        <f>IF(J99&gt;=5100,"ставка","мин.ставка")</f>
        <v/>
      </c>
      <c r="L99" s="3">
        <f>ROUND(IF(K99="мин.ставка",I99*100,G99/102*2),2)</f>
        <v/>
      </c>
      <c r="M99" s="5" t="n">
        <v>46215.5</v>
      </c>
      <c r="N99" t="inlineStr">
        <is>
          <t>TravelLine YAX</t>
        </is>
      </c>
      <c r="O99" s="2" t="inlineStr">
        <is>
          <t>СТАНДАРТНЫЙ ДВУХМЕСТНЫЙ НОМЕР</t>
        </is>
      </c>
      <c r="P99" s="6" t="n"/>
      <c r="R99" t="inlineStr"/>
      <c r="S99" t="inlineStr">
        <is>
          <t>Тариф с завтраком</t>
        </is>
      </c>
      <c r="T99" t="n">
        <v>0</v>
      </c>
      <c r="U99" t="n">
        <v>25878</v>
      </c>
    </row>
    <row r="100">
      <c r="A100" t="inlineStr">
        <is>
          <t>20260720-8186-451788457</t>
        </is>
      </c>
      <c r="B100" t="n">
        <v>1</v>
      </c>
      <c r="C100" s="2" t="inlineStr">
        <is>
          <t>Алексей Познокос, МАРИАННА ГНЕЗДИЛОВА</t>
        </is>
      </c>
      <c r="D100" s="3" t="n">
        <v>16020</v>
      </c>
      <c r="E100" s="4" t="n">
        <v>0</v>
      </c>
      <c r="F100" t="inlineStr">
        <is>
          <t>Прямые бронирования (стойка) [Чайковский]</t>
        </is>
      </c>
      <c r="G100" s="3">
        <f>ROUND(D100/(100-E100)*100,2)</f>
        <v/>
      </c>
      <c r="H100" s="5" t="n">
        <v>46223.66666666666</v>
      </c>
      <c r="I100" t="n">
        <v>1</v>
      </c>
      <c r="J100" s="3">
        <f>G100/I100</f>
        <v/>
      </c>
      <c r="K100">
        <f>IF(J100&gt;=5100,"ставка","мин.ставка")</f>
        <v/>
      </c>
      <c r="L100" s="3">
        <f>ROUND(IF(K100="мин.ставка",I100*100,G100/102*2),2)</f>
        <v/>
      </c>
      <c r="M100" s="5" t="n">
        <v>46224.70833333334</v>
      </c>
      <c r="N100" t="inlineStr">
        <is>
          <t>TravelLine ресепшн</t>
        </is>
      </c>
      <c r="O100" s="2" t="inlineStr">
        <is>
          <t>ЛЮКС ВТОРОЙ КОРПУС</t>
        </is>
      </c>
      <c r="P100" s="6" t="n"/>
      <c r="R100" t="inlineStr"/>
      <c r="S100" t="inlineStr">
        <is>
          <t>Тариф с завтраком</t>
        </is>
      </c>
      <c r="T100" t="n">
        <v>3338</v>
      </c>
      <c r="U100" t="n">
        <v>19358</v>
      </c>
    </row>
    <row r="101">
      <c r="A101" t="inlineStr">
        <is>
          <t>20260807-8186-452013498</t>
        </is>
      </c>
      <c r="B101" t="n">
        <v>1</v>
      </c>
      <c r="C101" s="2" t="inlineStr">
        <is>
          <t>Алексей Поминов, Екатерина Карчевская</t>
        </is>
      </c>
      <c r="D101" s="3" t="n">
        <v>45390</v>
      </c>
      <c r="E101" s="4" t="n">
        <v>0</v>
      </c>
      <c r="F101" t="inlineStr">
        <is>
          <t>ООО «ХОМЛИН ЛЭНД» (ПЕГАС) [Чайковский]</t>
        </is>
      </c>
      <c r="G101" s="3">
        <f>ROUND(D101/(100-E101)*100,2)</f>
        <v/>
      </c>
      <c r="H101" s="5" t="n">
        <v>46241.58333333334</v>
      </c>
      <c r="I101" t="n">
        <v>4</v>
      </c>
      <c r="J101" s="3">
        <f>G101/I101</f>
        <v/>
      </c>
      <c r="K101">
        <f>IF(J101&gt;=5100,"ставка","мин.ставка")</f>
        <v/>
      </c>
      <c r="L101" s="3">
        <f>ROUND(IF(K101="мин.ставка",I101*100,G101/102*2),2)</f>
        <v/>
      </c>
      <c r="M101" s="5" t="n">
        <v>46245.5</v>
      </c>
      <c r="N101" t="inlineStr">
        <is>
          <t>TravelLine PGS</t>
        </is>
      </c>
      <c r="O101" s="2" t="inlineStr">
        <is>
          <t>СТАНДАРТНЫЙ ДВУХМЕСТНЫЙ НОМЕР</t>
        </is>
      </c>
      <c r="P101" s="6" t="n"/>
      <c r="R101" t="inlineStr"/>
      <c r="S101" t="inlineStr">
        <is>
          <t>Тариф с завтраком</t>
        </is>
      </c>
      <c r="T101" t="n">
        <v>0</v>
      </c>
      <c r="U101" t="n">
        <v>45390</v>
      </c>
    </row>
    <row r="102">
      <c r="A102" t="inlineStr">
        <is>
          <t>20260901-8186-460163932</t>
        </is>
      </c>
      <c r="B102" t="n">
        <v>1</v>
      </c>
      <c r="C102" s="2" t="inlineStr">
        <is>
          <t>Алексей Редькин</t>
        </is>
      </c>
      <c r="D102" s="3" t="n">
        <v>9307</v>
      </c>
      <c r="E102" s="4" t="n">
        <v>18</v>
      </c>
      <c r="F102" t="inlineStr">
        <is>
          <t>ООО "ТРИВИО СЕРВИС" [Чайковский]</t>
        </is>
      </c>
      <c r="G102" s="3">
        <f>ROUND(D102/(100-E102)*100,2)</f>
        <v/>
      </c>
      <c r="H102" s="5" t="n">
        <v>46266.58333333334</v>
      </c>
      <c r="I102" t="n">
        <v>1</v>
      </c>
      <c r="J102" s="3">
        <f>G102/I102</f>
        <v/>
      </c>
      <c r="K102">
        <f>IF(J102&gt;=5100,"ставка","мин.ставка")</f>
        <v/>
      </c>
      <c r="L102" s="3">
        <f>ROUND(IF(K102="мин.ставка",I102*100,G102/102*2),2)</f>
        <v/>
      </c>
      <c r="M102" s="5" t="n">
        <v>46267.5</v>
      </c>
      <c r="N102" t="inlineStr">
        <is>
          <t>TravelLine TIO</t>
        </is>
      </c>
      <c r="O102" s="2" t="inlineStr">
        <is>
          <t>СТАНДАРТНЫЙ ДВУХМЕСТНЫЙ НОМЕР</t>
        </is>
      </c>
      <c r="P102" s="6" t="n"/>
      <c r="R102" t="inlineStr"/>
      <c r="S102" t="inlineStr">
        <is>
          <t>Тариф с завтраком</t>
        </is>
      </c>
      <c r="T102" t="n">
        <v>0</v>
      </c>
      <c r="U102" t="n">
        <v>9307</v>
      </c>
    </row>
    <row r="103">
      <c r="A103" t="inlineStr">
        <is>
          <t>20260913-8186-465050972</t>
        </is>
      </c>
      <c r="B103" t="n">
        <v>1</v>
      </c>
      <c r="C103" s="2" t="inlineStr">
        <is>
          <t>Алексей Свистунов, Анна Киселёва</t>
        </is>
      </c>
      <c r="D103" s="3" t="n">
        <v>8415</v>
      </c>
      <c r="E103" s="4" t="n">
        <v>15</v>
      </c>
      <c r="F103" t="inlineStr">
        <is>
          <t>ООО Тинькофф Путешествия [Чайковский]</t>
        </is>
      </c>
      <c r="G103" s="3">
        <f>ROUND(D103/(100-E103)*100,2)</f>
        <v/>
      </c>
      <c r="H103" s="5" t="n">
        <v>46278.58333333334</v>
      </c>
      <c r="I103" t="n">
        <v>1</v>
      </c>
      <c r="J103" s="3">
        <f>G103/I103</f>
        <v/>
      </c>
      <c r="K103">
        <f>IF(J103&gt;=5100,"ставка","мин.ставка")</f>
        <v/>
      </c>
      <c r="L103" s="3">
        <f>ROUND(IF(K103="мин.ставка",I103*100,G103/102*2),2)</f>
        <v/>
      </c>
      <c r="M103" s="5" t="n">
        <v>46279.5</v>
      </c>
      <c r="N103" t="inlineStr">
        <is>
          <t>TravelLine TNK</t>
        </is>
      </c>
      <c r="O103" s="2" t="inlineStr">
        <is>
          <t>СТАНДАРТНЫЙ ДВУХМЕСТНЫЙ НОМЕР (МАНСАРДА)</t>
        </is>
      </c>
      <c r="P103" s="6" t="n"/>
      <c r="R103" t="inlineStr"/>
      <c r="S103" t="inlineStr">
        <is>
          <t>Тариф с завтраком</t>
        </is>
      </c>
      <c r="T103" t="n">
        <v>0</v>
      </c>
      <c r="U103" t="n">
        <v>8415</v>
      </c>
    </row>
    <row r="104">
      <c r="A104" t="inlineStr">
        <is>
          <t>20260630-8186-444837610</t>
        </is>
      </c>
      <c r="B104" t="n">
        <v>1</v>
      </c>
      <c r="C104" s="2" t="inlineStr">
        <is>
          <t>АЛЕКСЕЙ СПИТЧЕНКО</t>
        </is>
      </c>
      <c r="D104" s="3" t="n">
        <v>19295</v>
      </c>
      <c r="E104" s="4" t="n">
        <v>15</v>
      </c>
      <c r="F104" t="inlineStr">
        <is>
          <t>ООО "АКАДЕМ-ОНЛАЙН" [Чайковский]</t>
        </is>
      </c>
      <c r="G104" s="3">
        <f>ROUND(D104/(100-E104)*100,2)</f>
        <v/>
      </c>
      <c r="H104" s="5" t="n">
        <v>46203.58333333334</v>
      </c>
      <c r="I104" t="n">
        <v>2</v>
      </c>
      <c r="J104" s="3">
        <f>G104/I104</f>
        <v/>
      </c>
      <c r="K104">
        <f>IF(J104&gt;=5100,"ставка","мин.ставка")</f>
        <v/>
      </c>
      <c r="L104" s="3">
        <f>ROUND(IF(K104="мин.ставка",I104*100,G104/102*2),2)</f>
        <v/>
      </c>
      <c r="M104" s="5" t="n">
        <v>46205.5</v>
      </c>
      <c r="N104" t="inlineStr">
        <is>
          <t>TravelLine ACS</t>
        </is>
      </c>
      <c r="O104" s="2" t="inlineStr">
        <is>
          <t>СТАНДАРТНЫЙ ДВУХМЕСТНЫЙ НОМЕР</t>
        </is>
      </c>
      <c r="P104" s="6" t="n"/>
      <c r="R104" t="inlineStr"/>
      <c r="S104" t="inlineStr">
        <is>
          <t>Тариф с завтраком</t>
        </is>
      </c>
      <c r="T104" t="n">
        <v>0</v>
      </c>
      <c r="U104" t="n">
        <v>19295</v>
      </c>
    </row>
    <row r="105">
      <c r="A105" t="inlineStr">
        <is>
          <t>20260708-8186-448591389</t>
        </is>
      </c>
      <c r="B105" t="n">
        <v>1</v>
      </c>
      <c r="C105" s="2" t="inlineStr">
        <is>
          <t>АЛЕКСЕЙ ТАРАСЕНКО</t>
        </is>
      </c>
      <c r="D105" s="3" t="n">
        <v>17181</v>
      </c>
      <c r="E105" s="4" t="n">
        <v>0</v>
      </c>
      <c r="F105" t="inlineStr">
        <is>
          <t>Прямые бронирования (стойка) [Чайковский]</t>
        </is>
      </c>
      <c r="G105" s="3">
        <f>ROUND(D105/(100-E105)*100,2)</f>
        <v/>
      </c>
      <c r="H105" s="5" t="n">
        <v>46211.58333333334</v>
      </c>
      <c r="I105" t="n">
        <v>2</v>
      </c>
      <c r="J105" s="3">
        <f>G105/I105</f>
        <v/>
      </c>
      <c r="K105">
        <f>IF(J105&gt;=5100,"ставка","мин.ставка")</f>
        <v/>
      </c>
      <c r="L105" s="3">
        <f>ROUND(IF(K105="мин.ставка",I105*100,G105/102*2),2)</f>
        <v/>
      </c>
      <c r="M105" s="5" t="n">
        <v>46213.5</v>
      </c>
      <c r="N105" t="inlineStr">
        <is>
          <t>TravelLine CMB</t>
        </is>
      </c>
      <c r="O105" s="2" t="inlineStr">
        <is>
          <t>СТАНДАРТНЫЙ ДВУХМЕСТНЫЙ НОМЕР</t>
        </is>
      </c>
      <c r="P105" s="6" t="n"/>
      <c r="R105" t="inlineStr"/>
      <c r="S105" t="inlineStr">
        <is>
          <t>Тариф с завтраком</t>
        </is>
      </c>
      <c r="T105" t="n">
        <v>0</v>
      </c>
      <c r="U105" t="n">
        <v>17181</v>
      </c>
    </row>
    <row r="106">
      <c r="A106" t="inlineStr">
        <is>
          <t>20260815-8186-445668091</t>
        </is>
      </c>
      <c r="B106" t="n">
        <v>1</v>
      </c>
      <c r="C106" s="2" t="inlineStr">
        <is>
          <t>Алексей Теребилов, Илона Теребилова</t>
        </is>
      </c>
      <c r="D106" s="3" t="n">
        <v>68085</v>
      </c>
      <c r="E106" s="4" t="n">
        <v>15</v>
      </c>
      <c r="F106" t="inlineStr">
        <is>
          <t>Trip.com Group [Чайковский]</t>
        </is>
      </c>
      <c r="G106" s="3">
        <f>ROUND(D106/(100-E106)*100,2)</f>
        <v/>
      </c>
      <c r="H106" s="5" t="n">
        <v>46249.58333333334</v>
      </c>
      <c r="I106" t="n">
        <v>6</v>
      </c>
      <c r="J106" s="3">
        <f>G106/I106</f>
        <v/>
      </c>
      <c r="K106">
        <f>IF(J106&gt;=5100,"ставка","мин.ставка")</f>
        <v/>
      </c>
      <c r="L106" s="3">
        <f>ROUND(IF(K106="мин.ставка",I106*100,G106/102*2),2)</f>
        <v/>
      </c>
      <c r="M106" s="5" t="n">
        <v>46255.5</v>
      </c>
      <c r="N106" t="inlineStr">
        <is>
          <t>TravelLine CTP</t>
        </is>
      </c>
      <c r="O106" s="2" t="inlineStr">
        <is>
          <t>СТАНДАРТНЫЙ ДВУХМЕСТНЫЙ НОМЕР</t>
        </is>
      </c>
      <c r="P106" s="6" t="n"/>
      <c r="R106" t="inlineStr"/>
      <c r="S106" t="inlineStr">
        <is>
          <t>Тариф с завтраком</t>
        </is>
      </c>
      <c r="T106" t="n">
        <v>0</v>
      </c>
      <c r="U106" t="n">
        <v>68085</v>
      </c>
    </row>
    <row r="107">
      <c r="A107" t="inlineStr">
        <is>
          <t>20260808-8186-437797250</t>
        </is>
      </c>
      <c r="B107" t="n">
        <v>1</v>
      </c>
      <c r="C107" s="2" t="inlineStr">
        <is>
          <t>Алексей Тихонов, Александра Тихонова</t>
        </is>
      </c>
      <c r="D107" s="3" t="n">
        <v>53400</v>
      </c>
      <c r="E107" s="4" t="n">
        <v>20</v>
      </c>
      <c r="F107" t="inlineStr">
        <is>
          <t>ООО "ХБ-ПРО" [Чайковский]</t>
        </is>
      </c>
      <c r="G107" s="3">
        <f>ROUND(D107/(100-E107)*100,2)</f>
        <v/>
      </c>
      <c r="H107" s="5" t="n">
        <v>46242.58333333334</v>
      </c>
      <c r="I107" t="n">
        <v>5</v>
      </c>
      <c r="J107" s="3">
        <f>G107/I107</f>
        <v/>
      </c>
      <c r="K107">
        <f>IF(J107&gt;=5100,"ставка","мин.ставка")</f>
        <v/>
      </c>
      <c r="L107" s="3">
        <f>ROUND(IF(K107="мин.ставка",I107*100,G107/102*2),2)</f>
        <v/>
      </c>
      <c r="M107" s="5" t="n">
        <v>46247.5</v>
      </c>
      <c r="N107" t="inlineStr">
        <is>
          <t>TravelLine UTS</t>
        </is>
      </c>
      <c r="O107" s="2" t="inlineStr">
        <is>
          <t>СТАНДАРТНЫЙ ДВУХМЕСТНЫЙ НОМЕР</t>
        </is>
      </c>
      <c r="P107" s="6" t="n"/>
      <c r="R107" t="inlineStr"/>
      <c r="S107" t="inlineStr">
        <is>
          <t>Тариф с завтраком</t>
        </is>
      </c>
      <c r="T107" t="n">
        <v>0</v>
      </c>
      <c r="U107" t="n">
        <v>53400</v>
      </c>
    </row>
    <row r="108">
      <c r="A108" t="inlineStr">
        <is>
          <t>20260921-8186-459405487</t>
        </is>
      </c>
      <c r="B108" t="n">
        <v>1</v>
      </c>
      <c r="C108" s="2" t="inlineStr">
        <is>
          <t>Алена Полосенко</t>
        </is>
      </c>
      <c r="D108" s="3" t="n">
        <v>13272</v>
      </c>
      <c r="E108" s="4" t="n">
        <v>16</v>
      </c>
      <c r="F108" t="inlineStr">
        <is>
          <t>ООО "БРОНИРОВАНИЕ ГОСТИНИЦ" (OSTROVOK) [Чайковский]</t>
        </is>
      </c>
      <c r="G108" s="3">
        <f>ROUND(D108/(100-E108)*100,2)</f>
        <v/>
      </c>
      <c r="H108" s="5" t="n">
        <v>46286.58333333334</v>
      </c>
      <c r="I108" t="n">
        <v>2</v>
      </c>
      <c r="J108" s="3">
        <f>G108/I108</f>
        <v/>
      </c>
      <c r="K108">
        <f>IF(J108&gt;=5100,"ставка","мин.ставка")</f>
        <v/>
      </c>
      <c r="L108" s="3">
        <f>ROUND(IF(K108="мин.ставка",I108*100,G108/102*2),2)</f>
        <v/>
      </c>
      <c r="M108" s="5" t="n">
        <v>46288.5</v>
      </c>
      <c r="N108" t="inlineStr">
        <is>
          <t>TravelLine OTK</t>
        </is>
      </c>
      <c r="O108" s="2" t="inlineStr">
        <is>
          <t>СТАНДАРТНЫЙ ДВУХМЕСТНЫЙ НОМЕР (МАНСАРДА)</t>
        </is>
      </c>
      <c r="P108" s="6" t="n"/>
      <c r="R108" t="inlineStr"/>
      <c r="S108" t="inlineStr">
        <is>
          <t>Тариф с завтраком</t>
        </is>
      </c>
      <c r="T108" t="n">
        <v>0</v>
      </c>
      <c r="U108" t="n">
        <v>13272</v>
      </c>
    </row>
    <row r="109">
      <c r="A109" t="inlineStr">
        <is>
          <t>20260917-8186-447353486</t>
        </is>
      </c>
      <c r="B109" t="n">
        <v>1</v>
      </c>
      <c r="C109" s="2" t="inlineStr">
        <is>
          <t>АЛИНА ХОМЕНКО</t>
        </is>
      </c>
      <c r="D109" s="3" t="n">
        <v>12008</v>
      </c>
      <c r="E109" s="4" t="n">
        <v>18</v>
      </c>
      <c r="F109" t="inlineStr">
        <is>
          <t>Яндекс.Путешествия [Чайковский]</t>
        </is>
      </c>
      <c r="G109" s="3">
        <f>ROUND(D109/(100-E109)*100,2)</f>
        <v/>
      </c>
      <c r="H109" s="5" t="n">
        <v>46282.58333333334</v>
      </c>
      <c r="I109" t="n">
        <v>2</v>
      </c>
      <c r="J109" s="3">
        <f>G109/I109</f>
        <v/>
      </c>
      <c r="K109">
        <f>IF(J109&gt;=5100,"ставка","мин.ставка")</f>
        <v/>
      </c>
      <c r="L109" s="3">
        <f>ROUND(IF(K109="мин.ставка",I109*100,G109/102*2),2)</f>
        <v/>
      </c>
      <c r="M109" s="5" t="n">
        <v>46284.5</v>
      </c>
      <c r="N109" t="inlineStr">
        <is>
          <t>TravelLine YAX</t>
        </is>
      </c>
      <c r="O109" s="2" t="inlineStr">
        <is>
          <t>СТАНДАРТНЫЙ ДВУХМЕСТНЫЙ НОМЕР (МАНСАРДА)</t>
        </is>
      </c>
      <c r="P109" s="6" t="n"/>
      <c r="R109" t="inlineStr"/>
      <c r="S109" t="inlineStr">
        <is>
          <t>Тариф с завтраком</t>
        </is>
      </c>
      <c r="T109" t="n">
        <v>0</v>
      </c>
      <c r="U109" t="n">
        <v>12008</v>
      </c>
    </row>
    <row r="110">
      <c r="A110" t="inlineStr">
        <is>
          <t>20260828-8186-456087582</t>
        </is>
      </c>
      <c r="B110" t="n">
        <v>1</v>
      </c>
      <c r="C110" s="2" t="inlineStr">
        <is>
          <t>Алиса Лосс</t>
        </is>
      </c>
      <c r="D110" s="3" t="n">
        <v>10998.15</v>
      </c>
      <c r="E110" s="4" t="n">
        <v>4</v>
      </c>
      <c r="F110" t="inlineStr">
        <is>
          <t>TravelLine Booking Engine [Чайковский]</t>
        </is>
      </c>
      <c r="G110" s="3">
        <f>ROUND(D110/(100-E110)*100,2)</f>
        <v/>
      </c>
      <c r="H110" s="5" t="n">
        <v>46262.58333333334</v>
      </c>
      <c r="I110" t="n">
        <v>1</v>
      </c>
      <c r="J110" s="3">
        <f>G110/I110</f>
        <v/>
      </c>
      <c r="K110">
        <f>IF(J110&gt;=5100,"ставка","мин.ставка")</f>
        <v/>
      </c>
      <c r="L110" s="3">
        <f>ROUND(IF(K110="мин.ставка",I110*100,G110/102*2),2)</f>
        <v/>
      </c>
      <c r="M110" s="5" t="n">
        <v>46263.5</v>
      </c>
      <c r="N110" t="inlineStr">
        <is>
          <t>TravelLine сайт</t>
        </is>
      </c>
      <c r="O110" s="2" t="inlineStr">
        <is>
          <t>СТАНДАРТНЫЙ ДВУХМЕСТНЫЙ НОМЕР</t>
        </is>
      </c>
      <c r="P110" s="6" t="n"/>
      <c r="R110" t="inlineStr"/>
      <c r="S110" t="inlineStr">
        <is>
          <t>Тариф с завтраком</t>
        </is>
      </c>
      <c r="T110" t="n">
        <v>0</v>
      </c>
      <c r="U110" t="n">
        <v>10998.15</v>
      </c>
    </row>
    <row r="111">
      <c r="A111" t="inlineStr">
        <is>
          <t>20260910-8186-427551341</t>
        </is>
      </c>
      <c r="B111" t="n">
        <v>1</v>
      </c>
      <c r="C111" s="2" t="inlineStr">
        <is>
          <t>АЛИЯ ПОПОВА, Оксана Евсейкина</t>
        </is>
      </c>
      <c r="D111" s="3" t="n">
        <v>36045</v>
      </c>
      <c r="E111" s="4" t="n">
        <v>0</v>
      </c>
      <c r="F111" t="inlineStr">
        <is>
          <t>Прямые бронирования (стойка) [Чайковский]</t>
        </is>
      </c>
      <c r="G111" s="3">
        <f>ROUND(D111/(100-E111)*100,2)</f>
        <v/>
      </c>
      <c r="H111" s="5" t="n">
        <v>46275.58333333334</v>
      </c>
      <c r="I111" t="n">
        <v>3</v>
      </c>
      <c r="J111" s="3">
        <f>G111/I111</f>
        <v/>
      </c>
      <c r="K111">
        <f>IF(J111&gt;=5100,"ставка","мин.ставка")</f>
        <v/>
      </c>
      <c r="L111" s="3">
        <f>ROUND(IF(K111="мин.ставка",I111*100,G111/102*2),2)</f>
        <v/>
      </c>
      <c r="M111" s="5" t="n">
        <v>46278.5</v>
      </c>
      <c r="N111" t="inlineStr">
        <is>
          <t>TravelLine ресепшн</t>
        </is>
      </c>
      <c r="O111" s="2" t="inlineStr">
        <is>
          <t>СТАНДАРТНЫЙ ДВУХМЕСТНЫЙ НОМЕР</t>
        </is>
      </c>
      <c r="P111" s="6" t="n"/>
      <c r="R111" t="inlineStr"/>
      <c r="S111" t="inlineStr">
        <is>
          <t>Тариф с завтраком</t>
        </is>
      </c>
      <c r="T111" t="n">
        <v>0</v>
      </c>
      <c r="U111" t="n">
        <v>216270</v>
      </c>
    </row>
    <row r="112">
      <c r="A112" t="inlineStr">
        <is>
          <t>20260715-8186-410045902</t>
        </is>
      </c>
      <c r="B112" t="n">
        <v>1</v>
      </c>
      <c r="C112" s="2" t="inlineStr">
        <is>
          <t>Алла Соловьева, Александра Хрусталева</t>
        </is>
      </c>
      <c r="D112" s="3" t="n">
        <v>59400</v>
      </c>
      <c r="E112" s="4" t="n">
        <v>0</v>
      </c>
      <c r="F112" t="inlineStr">
        <is>
          <t>Прямые бронирования (стойка) [Чайковский]</t>
        </is>
      </c>
      <c r="G112" s="3">
        <f>ROUND(D112/(100-E112)*100,2)</f>
        <v/>
      </c>
      <c r="H112" s="5" t="n">
        <v>46218.58333333334</v>
      </c>
      <c r="I112" t="n">
        <v>4</v>
      </c>
      <c r="J112" s="3">
        <f>G112/I112</f>
        <v/>
      </c>
      <c r="K112">
        <f>IF(J112&gt;=5100,"ставка","мин.ставка")</f>
        <v/>
      </c>
      <c r="L112" s="3">
        <f>ROUND(IF(K112="мин.ставка",I112*100,G112/102*2),2)</f>
        <v/>
      </c>
      <c r="M112" s="5" t="n">
        <v>46222.5</v>
      </c>
      <c r="N112" t="inlineStr">
        <is>
          <t>TravelLine ресепшн</t>
        </is>
      </c>
      <c r="O112" s="2" t="inlineStr">
        <is>
          <t>ПОЛУЛЮКС</t>
        </is>
      </c>
      <c r="P112" s="6" t="n"/>
      <c r="R112" t="inlineStr"/>
      <c r="S112" t="inlineStr">
        <is>
          <t>Тариф с завтраком</t>
        </is>
      </c>
      <c r="T112" t="n">
        <v>0</v>
      </c>
      <c r="U112" t="n">
        <v>59400</v>
      </c>
    </row>
    <row r="113">
      <c r="A113" t="inlineStr">
        <is>
          <t>20260910-8186-427551341</t>
        </is>
      </c>
      <c r="B113" t="n">
        <v>1</v>
      </c>
      <c r="C113" s="2" t="inlineStr">
        <is>
          <t>Алла Шмеркевич, Татьяна Хорошко</t>
        </is>
      </c>
      <c r="D113" s="3" t="n">
        <v>36045</v>
      </c>
      <c r="E113" s="4" t="n">
        <v>0</v>
      </c>
      <c r="F113" t="inlineStr">
        <is>
          <t>Прямые бронирования (стойка) [Чайковский]</t>
        </is>
      </c>
      <c r="G113" s="3">
        <f>ROUND(D113/(100-E113)*100,2)</f>
        <v/>
      </c>
      <c r="H113" s="5" t="n">
        <v>46275.58333333334</v>
      </c>
      <c r="I113" t="n">
        <v>3</v>
      </c>
      <c r="J113" s="3">
        <f>G113/I113</f>
        <v/>
      </c>
      <c r="K113">
        <f>IF(J113&gt;=5100,"ставка","мин.ставка")</f>
        <v/>
      </c>
      <c r="L113" s="3">
        <f>ROUND(IF(K113="мин.ставка",I113*100,G113/102*2),2)</f>
        <v/>
      </c>
      <c r="M113" s="5" t="n">
        <v>46278.5</v>
      </c>
      <c r="N113" t="inlineStr">
        <is>
          <t>TravelLine ресепшн</t>
        </is>
      </c>
      <c r="O113" s="2" t="inlineStr">
        <is>
          <t>СТАНДАРТНЫЙ ДВУХМЕСТНЫЙ НОМЕР</t>
        </is>
      </c>
      <c r="P113" s="6" t="n"/>
      <c r="R113" t="inlineStr"/>
      <c r="S113" t="inlineStr">
        <is>
          <t>Тариф с завтраком</t>
        </is>
      </c>
      <c r="T113" t="n">
        <v>0</v>
      </c>
      <c r="U113" t="n">
        <v>216270</v>
      </c>
    </row>
    <row r="114">
      <c r="A114" t="inlineStr">
        <is>
          <t>20260805-8186-410783185</t>
        </is>
      </c>
      <c r="B114" t="n">
        <v>1</v>
      </c>
      <c r="C114" s="2" t="inlineStr">
        <is>
          <t>АЛФИНА ШАЙГАЯНОВА, РУФИНА ШАКИРОВА</t>
        </is>
      </c>
      <c r="D114" s="3" t="n">
        <v>42075</v>
      </c>
      <c r="E114" s="4" t="n">
        <v>0</v>
      </c>
      <c r="F114" t="inlineStr">
        <is>
          <t>ООО «ХОМЛИН ЛЭНД» (ПЕГАС) [Чайковский]</t>
        </is>
      </c>
      <c r="G114" s="3">
        <f>ROUND(D114/(100-E114)*100,2)</f>
        <v/>
      </c>
      <c r="H114" s="5" t="n">
        <v>46239.58333333334</v>
      </c>
      <c r="I114" t="n">
        <v>5</v>
      </c>
      <c r="J114" s="3">
        <f>G114/I114</f>
        <v/>
      </c>
      <c r="K114">
        <f>IF(J114&gt;=5100,"ставка","мин.ставка")</f>
        <v/>
      </c>
      <c r="L114" s="3">
        <f>ROUND(IF(K114="мин.ставка",I114*100,G114/102*2),2)</f>
        <v/>
      </c>
      <c r="M114" s="5" t="n">
        <v>46244.5</v>
      </c>
      <c r="N114" t="inlineStr">
        <is>
          <t>TravelLine PGS</t>
        </is>
      </c>
      <c r="O114" s="2" t="inlineStr">
        <is>
          <t>СТАНДАРТНЫЙ ДВУХМЕСТНЫЙ НОМЕР (МАНСАРДА)</t>
        </is>
      </c>
      <c r="P114" s="6" t="n"/>
      <c r="R114" t="inlineStr"/>
      <c r="S114" t="inlineStr">
        <is>
          <t>Тариф с завтраком</t>
        </is>
      </c>
      <c r="T114" t="n">
        <v>0</v>
      </c>
      <c r="U114" t="n">
        <v>42075</v>
      </c>
    </row>
    <row r="115">
      <c r="A115" t="inlineStr">
        <is>
          <t>20260924-8186-466578898</t>
        </is>
      </c>
      <c r="B115" t="n">
        <v>1</v>
      </c>
      <c r="C115" s="2" t="inlineStr">
        <is>
          <t>Альберт Волошок</t>
        </is>
      </c>
      <c r="D115" s="3" t="n">
        <v>18160</v>
      </c>
      <c r="E115" s="4" t="n">
        <v>20</v>
      </c>
      <c r="F115" t="inlineStr">
        <is>
          <t>ООО «Дубль Гис» (OTELLO) [Чайковский]</t>
        </is>
      </c>
      <c r="G115" s="3">
        <f>ROUND(D115/(100-E115)*100,2)</f>
        <v/>
      </c>
      <c r="H115" s="5" t="n">
        <v>46289.58333333334</v>
      </c>
      <c r="I115" t="n">
        <v>2</v>
      </c>
      <c r="J115" s="3">
        <f>G115/I115</f>
        <v/>
      </c>
      <c r="K115">
        <f>IF(J115&gt;=5100,"ставка","мин.ставка")</f>
        <v/>
      </c>
      <c r="L115" s="3">
        <f>ROUND(IF(K115="мин.ставка",I115*100,G115/102*2),2)</f>
        <v/>
      </c>
      <c r="M115" s="5" t="n">
        <v>46291.5</v>
      </c>
      <c r="N115" t="inlineStr">
        <is>
          <t>TravelLine OL2</t>
        </is>
      </c>
      <c r="O115" s="2" t="inlineStr">
        <is>
          <t>СТАНДАРТНЫЙ ДВУХМЕСТНЫЙ НОМЕР</t>
        </is>
      </c>
      <c r="P115" s="6" t="n"/>
      <c r="R115" t="inlineStr"/>
      <c r="S115" t="inlineStr">
        <is>
          <t>Тариф с завтраком</t>
        </is>
      </c>
      <c r="T115" t="n">
        <v>0</v>
      </c>
      <c r="U115" t="n">
        <v>36320</v>
      </c>
    </row>
    <row r="116">
      <c r="A116" t="inlineStr">
        <is>
          <t>20260925-8186-457986183</t>
        </is>
      </c>
      <c r="B116" t="n">
        <v>1</v>
      </c>
      <c r="C116" s="2" t="inlineStr">
        <is>
          <t>Альберт Нургазизов, Гузель Нургазизова</t>
        </is>
      </c>
      <c r="D116" s="3" t="n">
        <v>60520</v>
      </c>
      <c r="E116" s="4" t="n">
        <v>0</v>
      </c>
      <c r="F116" t="inlineStr">
        <is>
          <t>ООО «ХОМЛИН ЛЭНД» (ПЕГАС) [Чайковский]</t>
        </is>
      </c>
      <c r="G116" s="3">
        <f>ROUND(D116/(100-E116)*100,2)</f>
        <v/>
      </c>
      <c r="H116" s="5" t="n">
        <v>46290.58333333334</v>
      </c>
      <c r="I116" t="n">
        <v>4</v>
      </c>
      <c r="J116" s="3">
        <f>G116/I116</f>
        <v/>
      </c>
      <c r="K116">
        <f>IF(J116&gt;=5100,"ставка","мин.ставка")</f>
        <v/>
      </c>
      <c r="L116" s="3">
        <f>ROUND(IF(K116="мин.ставка",I116*100,G116/102*2),2)</f>
        <v/>
      </c>
      <c r="M116" s="5" t="n">
        <v>46294.5</v>
      </c>
      <c r="N116" t="inlineStr">
        <is>
          <t>TravelLine PGS</t>
        </is>
      </c>
      <c r="O116" s="2" t="inlineStr">
        <is>
          <t>ЛЮКС ВТОРОЙ КОРПУС</t>
        </is>
      </c>
      <c r="P116" s="6" t="n"/>
      <c r="R116" t="inlineStr"/>
      <c r="S116" t="inlineStr">
        <is>
          <t>Тариф с завтраком</t>
        </is>
      </c>
      <c r="T116" t="n">
        <v>0</v>
      </c>
      <c r="U116" t="n">
        <v>60520</v>
      </c>
    </row>
    <row r="117">
      <c r="A117" t="inlineStr">
        <is>
          <t>20260919-8186-466759616</t>
        </is>
      </c>
      <c r="B117" t="n">
        <v>1</v>
      </c>
      <c r="C117" s="2" t="inlineStr">
        <is>
          <t>АЛЬБИНА ШКИРЕНКОВА</t>
        </is>
      </c>
      <c r="D117" s="3" t="n">
        <v>9534</v>
      </c>
      <c r="E117" s="4" t="n">
        <v>16</v>
      </c>
      <c r="F117" t="inlineStr">
        <is>
          <t>ООО "БРОНИРОВАНИЕ ГОСТИНИЦ" (OSTROVOK) [Чайковский]</t>
        </is>
      </c>
      <c r="G117" s="3">
        <f>ROUND(D117/(100-E117)*100,2)</f>
        <v/>
      </c>
      <c r="H117" s="5" t="n">
        <v>46284.58333333334</v>
      </c>
      <c r="I117" t="n">
        <v>1</v>
      </c>
      <c r="J117" s="3">
        <f>G117/I117</f>
        <v/>
      </c>
      <c r="K117">
        <f>IF(J117&gt;=5100,"ставка","мин.ставка")</f>
        <v/>
      </c>
      <c r="L117" s="3">
        <f>ROUND(IF(K117="мин.ставка",I117*100,G117/102*2),2)</f>
        <v/>
      </c>
      <c r="M117" s="5" t="n">
        <v>46285.5</v>
      </c>
      <c r="N117" t="inlineStr">
        <is>
          <t>TravelLine OTK</t>
        </is>
      </c>
      <c r="O117" s="2" t="inlineStr">
        <is>
          <t>СТАНДАРТНЫЙ ДВУХМЕСТНЫЙ НОМЕР</t>
        </is>
      </c>
      <c r="P117" s="6" t="n"/>
      <c r="R117" t="inlineStr"/>
      <c r="S117" t="inlineStr">
        <is>
          <t>Тариф с завтраком</t>
        </is>
      </c>
      <c r="T117" t="n">
        <v>0</v>
      </c>
      <c r="U117" t="n">
        <v>31962</v>
      </c>
    </row>
    <row r="118">
      <c r="A118" t="inlineStr">
        <is>
          <t>20260718-8186-450568992</t>
        </is>
      </c>
      <c r="B118" t="n">
        <v>1</v>
      </c>
      <c r="C118" s="2" t="inlineStr">
        <is>
          <t>Амина Каримова, Эльвир Каримов</t>
        </is>
      </c>
      <c r="D118" s="3" t="n">
        <v>22695</v>
      </c>
      <c r="E118" s="4" t="n">
        <v>15</v>
      </c>
      <c r="F118" t="inlineStr">
        <is>
          <t>ООО Тинькофф Путешествия [Чайковский]</t>
        </is>
      </c>
      <c r="G118" s="3">
        <f>ROUND(D118/(100-E118)*100,2)</f>
        <v/>
      </c>
      <c r="H118" s="5" t="n">
        <v>46221.58333333334</v>
      </c>
      <c r="I118" t="n">
        <v>2</v>
      </c>
      <c r="J118" s="3">
        <f>G118/I118</f>
        <v/>
      </c>
      <c r="K118">
        <f>IF(J118&gt;=5100,"ставка","мин.ставка")</f>
        <v/>
      </c>
      <c r="L118" s="3">
        <f>ROUND(IF(K118="мин.ставка",I118*100,G118/102*2),2)</f>
        <v/>
      </c>
      <c r="M118" s="5" t="n">
        <v>46223.5</v>
      </c>
      <c r="N118" t="inlineStr">
        <is>
          <t>TravelLine TNK</t>
        </is>
      </c>
      <c r="O118" s="2" t="inlineStr">
        <is>
          <t>СТАНДАРТНЫЙ ДВУХМЕСТНЫЙ НОМЕР</t>
        </is>
      </c>
      <c r="P118" s="6" t="n"/>
      <c r="R118" t="inlineStr"/>
      <c r="S118" t="inlineStr">
        <is>
          <t>Тариф с завтраком</t>
        </is>
      </c>
      <c r="T118" t="n">
        <v>0</v>
      </c>
      <c r="U118" t="n">
        <v>22695</v>
      </c>
    </row>
    <row r="119">
      <c r="A119" t="inlineStr">
        <is>
          <t>20260702-8186-413960920</t>
        </is>
      </c>
      <c r="B119" t="n">
        <v>1</v>
      </c>
      <c r="C119" s="2" t="inlineStr">
        <is>
          <t>Анастасия Васильева, Владимир Благодеров</t>
        </is>
      </c>
      <c r="D119" s="3" t="n">
        <v>39636.15</v>
      </c>
      <c r="E119" s="4" t="n">
        <v>4</v>
      </c>
      <c r="F119" t="inlineStr">
        <is>
          <t>TravelLine Booking Engine [Чайковский]</t>
        </is>
      </c>
      <c r="G119" s="3">
        <f>ROUND(D119/(100-E119)*100,2)</f>
        <v/>
      </c>
      <c r="H119" s="5" t="n">
        <v>46205.58333333334</v>
      </c>
      <c r="I119" t="n">
        <v>3</v>
      </c>
      <c r="J119" s="3">
        <f>G119/I119</f>
        <v/>
      </c>
      <c r="K119">
        <f>IF(J119&gt;=5100,"ставка","мин.ставка")</f>
        <v/>
      </c>
      <c r="L119" s="3">
        <f>ROUND(IF(K119="мин.ставка",I119*100,G119/102*2),2)</f>
        <v/>
      </c>
      <c r="M119" s="5" t="n">
        <v>46208.5</v>
      </c>
      <c r="N119" t="inlineStr">
        <is>
          <t>TravelLine сайт</t>
        </is>
      </c>
      <c r="O119" s="2" t="inlineStr">
        <is>
          <t>СТАНДАРТНЫЙ ДВУХМЕСТНЫЙ НОМЕР</t>
        </is>
      </c>
      <c r="P119" s="6" t="n"/>
      <c r="R119" t="inlineStr"/>
      <c r="S119" t="inlineStr">
        <is>
          <t>Тариф с завтраком</t>
        </is>
      </c>
      <c r="T119" t="n">
        <v>0</v>
      </c>
      <c r="U119" t="n">
        <v>39636.15</v>
      </c>
    </row>
    <row r="120">
      <c r="A120" t="inlineStr">
        <is>
          <t>20260707-8186-436726301</t>
        </is>
      </c>
      <c r="B120" t="n">
        <v>1</v>
      </c>
      <c r="C120" s="2" t="inlineStr">
        <is>
          <t>Анастасия Дмитриева</t>
        </is>
      </c>
      <c r="D120" s="3" t="n">
        <v>18160</v>
      </c>
      <c r="E120" s="4" t="n">
        <v>20</v>
      </c>
      <c r="F120" t="inlineStr">
        <is>
          <t>ООО "КОМПАНИЯ БРОНЕВИК" [Чайковский]</t>
        </is>
      </c>
      <c r="G120" s="3">
        <f>ROUND(D120/(100-E120)*100,2)</f>
        <v/>
      </c>
      <c r="H120" s="5" t="n">
        <v>46210.58333333334</v>
      </c>
      <c r="I120" t="n">
        <v>2</v>
      </c>
      <c r="J120" s="3">
        <f>G120/I120</f>
        <v/>
      </c>
      <c r="K120">
        <f>IF(J120&gt;=5100,"ставка","мин.ставка")</f>
        <v/>
      </c>
      <c r="L120" s="3">
        <f>ROUND(IF(K120="мин.ставка",I120*100,G120/102*2),2)</f>
        <v/>
      </c>
      <c r="M120" s="5" t="n">
        <v>46212.5</v>
      </c>
      <c r="N120" t="inlineStr">
        <is>
          <t>TravelLine BR2</t>
        </is>
      </c>
      <c r="O120" s="2" t="inlineStr">
        <is>
          <t>СТАНДАРТНЫЙ ДВУХМЕСТНЫЙ НОМЕР</t>
        </is>
      </c>
      <c r="P120" s="6" t="n"/>
      <c r="R120" t="inlineStr"/>
      <c r="S120" t="inlineStr">
        <is>
          <t>Тариф с завтраком</t>
        </is>
      </c>
      <c r="T120" t="n">
        <v>0</v>
      </c>
      <c r="U120" t="n">
        <v>18160</v>
      </c>
    </row>
    <row r="121">
      <c r="A121" t="inlineStr">
        <is>
          <t>20260712-8186-436726626</t>
        </is>
      </c>
      <c r="B121" t="n">
        <v>1</v>
      </c>
      <c r="C121" s="2" t="inlineStr">
        <is>
          <t>Анастасия Дмитриева</t>
        </is>
      </c>
      <c r="D121" s="3" t="n">
        <v>12320</v>
      </c>
      <c r="E121" s="4" t="n">
        <v>20</v>
      </c>
      <c r="F121" t="inlineStr">
        <is>
          <t>ООО "КОМПАНИЯ БРОНЕВИК" [Чайковский]</t>
        </is>
      </c>
      <c r="G121" s="3">
        <f>ROUND(D121/(100-E121)*100,2)</f>
        <v/>
      </c>
      <c r="H121" s="5" t="n">
        <v>46215.58333333334</v>
      </c>
      <c r="I121" t="n">
        <v>2</v>
      </c>
      <c r="J121" s="3">
        <f>G121/I121</f>
        <v/>
      </c>
      <c r="K121">
        <f>IF(J121&gt;=5100,"ставка","мин.ставка")</f>
        <v/>
      </c>
      <c r="L121" s="3">
        <f>ROUND(IF(K121="мин.ставка",I121*100,G121/102*2),2)</f>
        <v/>
      </c>
      <c r="M121" s="5" t="n">
        <v>46217.5</v>
      </c>
      <c r="N121" t="inlineStr">
        <is>
          <t>TravelLine BR2</t>
        </is>
      </c>
      <c r="O121" s="2" t="inlineStr">
        <is>
          <t>СТАНДАРТНЫЙ ОДНОМЕСТНЫЙ НОМЕР</t>
        </is>
      </c>
      <c r="P121" s="6" t="n"/>
      <c r="R121" t="inlineStr"/>
      <c r="S121" t="inlineStr">
        <is>
          <t>Тариф с завтраком</t>
        </is>
      </c>
      <c r="T121" t="n">
        <v>0</v>
      </c>
      <c r="U121" t="n">
        <v>12320</v>
      </c>
    </row>
    <row r="122">
      <c r="A122" t="inlineStr">
        <is>
          <t>20260814-8186-457613719</t>
        </is>
      </c>
      <c r="B122" t="n">
        <v>1</v>
      </c>
      <c r="C122" s="2" t="inlineStr">
        <is>
          <t>Анастасия Екушевская, Вячеслав Гольцов</t>
        </is>
      </c>
      <c r="D122" s="3" t="n">
        <v>8217</v>
      </c>
      <c r="E122" s="4" t="n">
        <v>18</v>
      </c>
      <c r="F122" t="inlineStr">
        <is>
          <t>Яндекс.Путешествия [Чайковский]</t>
        </is>
      </c>
      <c r="G122" s="3">
        <f>ROUND(D122/(100-E122)*100,2)</f>
        <v/>
      </c>
      <c r="H122" s="5" t="n">
        <v>46248.58333333334</v>
      </c>
      <c r="I122" t="n">
        <v>1</v>
      </c>
      <c r="J122" s="3">
        <f>G122/I122</f>
        <v/>
      </c>
      <c r="K122">
        <f>IF(J122&gt;=5100,"ставка","мин.ставка")</f>
        <v/>
      </c>
      <c r="L122" s="3">
        <f>ROUND(IF(K122="мин.ставка",I122*100,G122/102*2),2)</f>
        <v/>
      </c>
      <c r="M122" s="5" t="n">
        <v>46249.5</v>
      </c>
      <c r="N122" t="inlineStr">
        <is>
          <t>TravelLine YAX</t>
        </is>
      </c>
      <c r="O122" s="2" t="inlineStr">
        <is>
          <t>СТАНДАРТНЫЙ ДВУХМЕСТНЫЙ НОМЕР (МАНСАРДА)</t>
        </is>
      </c>
      <c r="P122" s="6" t="n"/>
      <c r="R122" t="inlineStr"/>
      <c r="S122" t="inlineStr">
        <is>
          <t>Тариф с завтраком</t>
        </is>
      </c>
      <c r="T122" t="n">
        <v>0</v>
      </c>
      <c r="U122" t="n">
        <v>8217</v>
      </c>
    </row>
    <row r="123">
      <c r="A123" t="inlineStr">
        <is>
          <t>20260907-8186-417706325</t>
        </is>
      </c>
      <c r="B123" t="n">
        <v>1</v>
      </c>
      <c r="C123" s="2" t="inlineStr">
        <is>
          <t>Анастасия Ковальчук</t>
        </is>
      </c>
      <c r="D123" s="3" t="n">
        <v>38384.5</v>
      </c>
      <c r="E123" s="4" t="n">
        <v>4</v>
      </c>
      <c r="F123" t="inlineStr">
        <is>
          <t>TravelLine Booking Engine [Чайковский]</t>
        </is>
      </c>
      <c r="G123" s="3">
        <f>ROUND(D123/(100-E123)*100,2)</f>
        <v/>
      </c>
      <c r="H123" s="5" t="n">
        <v>46272.58333333334</v>
      </c>
      <c r="I123" t="n">
        <v>5</v>
      </c>
      <c r="J123" s="3">
        <f>G123/I123</f>
        <v/>
      </c>
      <c r="K123">
        <f>IF(J123&gt;=5100,"ставка","мин.ставка")</f>
        <v/>
      </c>
      <c r="L123" s="3">
        <f>ROUND(IF(K123="мин.ставка",I123*100,G123/102*2),2)</f>
        <v/>
      </c>
      <c r="M123" s="5" t="n">
        <v>46277.5</v>
      </c>
      <c r="N123" t="inlineStr">
        <is>
          <t>TravelLine сайт</t>
        </is>
      </c>
      <c r="O123" s="2" t="inlineStr">
        <is>
          <t>СТАНДАРТНЫЙ ОДНОМЕСТНЫЙ НОМЕР</t>
        </is>
      </c>
      <c r="P123" s="6" t="n"/>
      <c r="R123" t="inlineStr"/>
      <c r="S123" t="inlineStr">
        <is>
          <t>Тариф с завтраком</t>
        </is>
      </c>
      <c r="T123" t="n">
        <v>0</v>
      </c>
      <c r="U123" t="n">
        <v>38384.5</v>
      </c>
    </row>
    <row r="124">
      <c r="A124" t="inlineStr">
        <is>
          <t>20260904-8186-459337716</t>
        </is>
      </c>
      <c r="B124" t="n">
        <v>1</v>
      </c>
      <c r="C124" s="2" t="inlineStr">
        <is>
          <t>Анастасия Корчинская</t>
        </is>
      </c>
      <c r="D124" s="3" t="n">
        <v>47102.5</v>
      </c>
      <c r="E124" s="4" t="n">
        <v>17</v>
      </c>
      <c r="F124" t="inlineStr">
        <is>
          <t>ООО «Интернет Трэвел» (OZON) [Чайковский]</t>
        </is>
      </c>
      <c r="G124" s="3">
        <f>ROUND(D124/(100-E124)*100,2)</f>
        <v/>
      </c>
      <c r="H124" s="5" t="n">
        <v>46269.58333333334</v>
      </c>
      <c r="I124" t="n">
        <v>5</v>
      </c>
      <c r="J124" s="3">
        <f>G124/I124</f>
        <v/>
      </c>
      <c r="K124">
        <f>IF(J124&gt;=5100,"ставка","мин.ставка")</f>
        <v/>
      </c>
      <c r="L124" s="3">
        <f>ROUND(IF(K124="мин.ставка",I124*100,G124/102*2),2)</f>
        <v/>
      </c>
      <c r="M124" s="5" t="n">
        <v>46274.5</v>
      </c>
      <c r="N124" t="inlineStr">
        <is>
          <t>TravelLine OZ2</t>
        </is>
      </c>
      <c r="O124" s="2" t="inlineStr">
        <is>
          <t>СТАНДАРТНЫЙ ДВУХМЕСТНЫЙ НОМЕР</t>
        </is>
      </c>
      <c r="P124" s="6" t="n"/>
      <c r="R124" t="inlineStr"/>
      <c r="S124" t="inlineStr">
        <is>
          <t>Тариф с завтраком</t>
        </is>
      </c>
      <c r="T124" t="n">
        <v>0</v>
      </c>
      <c r="U124" t="n">
        <v>47102.5</v>
      </c>
    </row>
    <row r="125">
      <c r="A125" t="inlineStr">
        <is>
          <t>20260915-8186-455448822</t>
        </is>
      </c>
      <c r="B125" t="n">
        <v>1</v>
      </c>
      <c r="C125" s="2" t="inlineStr">
        <is>
          <t>Анастасия Коса</t>
        </is>
      </c>
      <c r="D125" s="3" t="n">
        <v>6160</v>
      </c>
      <c r="E125" s="4" t="n">
        <v>20</v>
      </c>
      <c r="F125" t="inlineStr">
        <is>
          <t>ООО "УК ГЦБ и Т" [Чайковский]</t>
        </is>
      </c>
      <c r="G125" s="3">
        <f>ROUND(D125/(100-E125)*100,2)</f>
        <v/>
      </c>
      <c r="H125" s="5" t="n">
        <v>46280.58333333334</v>
      </c>
      <c r="I125" t="n">
        <v>1</v>
      </c>
      <c r="J125" s="3">
        <f>G125/I125</f>
        <v/>
      </c>
      <c r="K125">
        <f>IF(J125&gt;=5100,"ставка","мин.ставка")</f>
        <v/>
      </c>
      <c r="L125" s="3">
        <f>ROUND(IF(K125="мин.ставка",I125*100,G125/102*2),2)</f>
        <v/>
      </c>
      <c r="M125" s="5" t="n">
        <v>46281.5</v>
      </c>
      <c r="N125" t="inlineStr">
        <is>
          <t>TravelLine CBC</t>
        </is>
      </c>
      <c r="O125" s="2" t="inlineStr">
        <is>
          <t>СТАНДАРТНЫЙ ОДНОМЕСТНЫЙ НОМЕР</t>
        </is>
      </c>
      <c r="P125" s="6" t="n"/>
      <c r="R125" t="inlineStr"/>
      <c r="S125" t="inlineStr">
        <is>
          <t>Тариф с завтраком</t>
        </is>
      </c>
      <c r="T125" t="n">
        <v>0</v>
      </c>
      <c r="U125" t="n">
        <v>6160</v>
      </c>
    </row>
    <row r="126">
      <c r="A126" t="inlineStr">
        <is>
          <t>20260805-8186-455054360</t>
        </is>
      </c>
      <c r="B126" t="n">
        <v>1</v>
      </c>
      <c r="C126" s="2" t="inlineStr">
        <is>
          <t>Анастасия Крауялис</t>
        </is>
      </c>
      <c r="D126" s="3" t="n">
        <v>13050</v>
      </c>
      <c r="E126" s="4" t="n">
        <v>0</v>
      </c>
      <c r="F126" t="inlineStr">
        <is>
          <t>Прямые бронирования (стойка) [Чайковский]</t>
        </is>
      </c>
      <c r="G126" s="3">
        <f>ROUND(D126/(100-E126)*100,2)</f>
        <v/>
      </c>
      <c r="H126" s="5" t="n">
        <v>46239.58333333334</v>
      </c>
      <c r="I126" t="n">
        <v>1</v>
      </c>
      <c r="J126" s="3">
        <f>G126/I126</f>
        <v/>
      </c>
      <c r="K126">
        <f>IF(J126&gt;=5100,"ставка","мин.ставка")</f>
        <v/>
      </c>
      <c r="L126" s="3">
        <f>ROUND(IF(K126="мин.ставка",I126*100,G126/102*2),2)</f>
        <v/>
      </c>
      <c r="M126" s="5" t="n">
        <v>46240.5</v>
      </c>
      <c r="N126" t="inlineStr">
        <is>
          <t>TravelLine ресепшн</t>
        </is>
      </c>
      <c r="O126" s="2" t="inlineStr">
        <is>
          <t>ПОЛУЛЮКС</t>
        </is>
      </c>
      <c r="P126" s="6" t="n"/>
      <c r="R126" t="inlineStr"/>
      <c r="S126" t="inlineStr">
        <is>
          <t>Тариф с завтраком</t>
        </is>
      </c>
      <c r="T126" t="n">
        <v>0</v>
      </c>
      <c r="U126" t="n">
        <v>13050</v>
      </c>
    </row>
    <row r="127">
      <c r="A127" t="inlineStr">
        <is>
          <t>20260828-8186-441887240</t>
        </is>
      </c>
      <c r="B127" t="n">
        <v>1</v>
      </c>
      <c r="C127" s="2" t="inlineStr">
        <is>
          <t>Анастасия Крицкова</t>
        </is>
      </c>
      <c r="D127" s="3" t="n">
        <v>6320</v>
      </c>
      <c r="E127" s="4" t="n">
        <v>20</v>
      </c>
      <c r="F127" t="inlineStr">
        <is>
          <t>ООО "КОМПАНИЯ БРОНЕВИК" [Чайковский]</t>
        </is>
      </c>
      <c r="G127" s="3">
        <f>ROUND(D127/(100-E127)*100,2)</f>
        <v/>
      </c>
      <c r="H127" s="5" t="n">
        <v>46262.58333333334</v>
      </c>
      <c r="I127" t="n">
        <v>1</v>
      </c>
      <c r="J127" s="3">
        <f>G127/I127</f>
        <v/>
      </c>
      <c r="K127">
        <f>IF(J127&gt;=5100,"ставка","мин.ставка")</f>
        <v/>
      </c>
      <c r="L127" s="3">
        <f>ROUND(IF(K127="мин.ставка",I127*100,G127/102*2),2)</f>
        <v/>
      </c>
      <c r="M127" s="5" t="n">
        <v>46263.5</v>
      </c>
      <c r="N127" t="inlineStr">
        <is>
          <t>TravelLine BR2</t>
        </is>
      </c>
      <c r="O127" s="2" t="inlineStr">
        <is>
          <t>СТАНДАРТНЫЙ ДВУХМЕСТНЫЙ НОМЕР</t>
        </is>
      </c>
      <c r="P127" s="6" t="n"/>
      <c r="R127" t="inlineStr"/>
      <c r="S127" t="inlineStr">
        <is>
          <t>Тариф с завтраком</t>
        </is>
      </c>
      <c r="T127" t="n">
        <v>0</v>
      </c>
      <c r="U127" t="n">
        <v>6320</v>
      </c>
    </row>
    <row r="128">
      <c r="A128" t="inlineStr">
        <is>
          <t>20260829-8186-460805833</t>
        </is>
      </c>
      <c r="B128" t="n">
        <v>1</v>
      </c>
      <c r="C128" s="2" t="inlineStr">
        <is>
          <t>Анастасия Левкина, Андрей Левкин</t>
        </is>
      </c>
      <c r="D128" s="3" t="n">
        <v>12782</v>
      </c>
      <c r="E128" s="4" t="n">
        <v>17</v>
      </c>
      <c r="F128" t="inlineStr">
        <is>
          <t>ООО «Интернет Трэвел» (OZON) [Чайковский]</t>
        </is>
      </c>
      <c r="G128" s="3">
        <f>ROUND(D128/(100-E128)*100,2)</f>
        <v/>
      </c>
      <c r="H128" s="5" t="n">
        <v>46263.58333333334</v>
      </c>
      <c r="I128" t="n">
        <v>1</v>
      </c>
      <c r="J128" s="3">
        <f>G128/I128</f>
        <v/>
      </c>
      <c r="K128">
        <f>IF(J128&gt;=5100,"ставка","мин.ставка")</f>
        <v/>
      </c>
      <c r="L128" s="3">
        <f>ROUND(IF(K128="мин.ставка",I128*100,G128/102*2),2)</f>
        <v/>
      </c>
      <c r="M128" s="5" t="n">
        <v>46264.5</v>
      </c>
      <c r="N128" t="inlineStr">
        <is>
          <t>TravelLine OZ2</t>
        </is>
      </c>
      <c r="O128" s="2" t="inlineStr">
        <is>
          <t>УЛУЧШЕННЫЙ ДВУХМЕСТНЫЙ НОМЕР</t>
        </is>
      </c>
      <c r="P128" s="6" t="n"/>
      <c r="R128" t="inlineStr"/>
      <c r="S128" t="inlineStr">
        <is>
          <t>Тариф с завтраком</t>
        </is>
      </c>
      <c r="T128" t="n">
        <v>0</v>
      </c>
      <c r="U128" t="n">
        <v>12782</v>
      </c>
    </row>
    <row r="129">
      <c r="A129" t="inlineStr">
        <is>
          <t>20260810-8186-457560555</t>
        </is>
      </c>
      <c r="B129" t="n">
        <v>1</v>
      </c>
      <c r="C129" s="2" t="inlineStr">
        <is>
          <t>Анастасия Миланская</t>
        </is>
      </c>
      <c r="D129" s="3" t="n">
        <v>16252.5</v>
      </c>
      <c r="E129" s="4" t="n">
        <v>0</v>
      </c>
      <c r="F129" t="inlineStr">
        <is>
          <t>Прямые бронирования (стойка) [Чайковский]</t>
        </is>
      </c>
      <c r="G129" s="3">
        <f>ROUND(D129/(100-E129)*100,2)</f>
        <v/>
      </c>
      <c r="H129" s="5" t="n">
        <v>46244.58333333334</v>
      </c>
      <c r="I129" t="n">
        <v>1</v>
      </c>
      <c r="J129" s="3">
        <f>G129/I129</f>
        <v/>
      </c>
      <c r="K129">
        <f>IF(J129&gt;=5100,"ставка","мин.ставка")</f>
        <v/>
      </c>
      <c r="L129" s="3">
        <f>ROUND(IF(K129="мин.ставка",I129*100,G129/102*2),2)</f>
        <v/>
      </c>
      <c r="M129" s="5" t="n">
        <v>46245.5</v>
      </c>
      <c r="N129" t="inlineStr">
        <is>
          <t>TravelLine ресепшн</t>
        </is>
      </c>
      <c r="O129" s="2" t="inlineStr">
        <is>
          <t>ПОЛУЛЮКС</t>
        </is>
      </c>
      <c r="P129" s="6" t="n"/>
      <c r="R129" t="inlineStr"/>
      <c r="S129" t="inlineStr">
        <is>
          <t>Тариф с завтраком</t>
        </is>
      </c>
      <c r="T129" t="n">
        <v>0</v>
      </c>
      <c r="U129" t="n">
        <v>16252.5</v>
      </c>
    </row>
    <row r="130">
      <c r="A130" t="inlineStr">
        <is>
          <t>20260715-8186-423875318</t>
        </is>
      </c>
      <c r="B130" t="n">
        <v>1</v>
      </c>
      <c r="C130" s="2" t="inlineStr">
        <is>
          <t>Анастасия Михайлова, Анна Юрчук</t>
        </is>
      </c>
      <c r="D130" s="3" t="n">
        <v>56960</v>
      </c>
      <c r="E130" s="4" t="n">
        <v>18</v>
      </c>
      <c r="F130" t="inlineStr">
        <is>
          <t>Яндекс.Путешествия [Чайковский]</t>
        </is>
      </c>
      <c r="G130" s="3">
        <f>ROUND(D130/(100-E130)*100,2)</f>
        <v/>
      </c>
      <c r="H130" s="5" t="n">
        <v>46218.58333333334</v>
      </c>
      <c r="I130" t="n">
        <v>4</v>
      </c>
      <c r="J130" s="3">
        <f>G130/I130</f>
        <v/>
      </c>
      <c r="K130">
        <f>IF(J130&gt;=5100,"ставка","мин.ставка")</f>
        <v/>
      </c>
      <c r="L130" s="3">
        <f>ROUND(IF(K130="мин.ставка",I130*100,G130/102*2),2)</f>
        <v/>
      </c>
      <c r="M130" s="5" t="n">
        <v>46222.5</v>
      </c>
      <c r="N130" t="inlineStr">
        <is>
          <t>TravelLine YAX</t>
        </is>
      </c>
      <c r="O130" s="2" t="inlineStr">
        <is>
          <t>ЛЮКС</t>
        </is>
      </c>
      <c r="P130" s="6" t="n"/>
      <c r="R130" t="inlineStr"/>
      <c r="S130" t="inlineStr">
        <is>
          <t>Тариф с завтраком</t>
        </is>
      </c>
      <c r="T130" t="n">
        <v>0</v>
      </c>
      <c r="U130" t="n">
        <v>56960</v>
      </c>
    </row>
    <row r="131">
      <c r="A131" t="inlineStr">
        <is>
          <t>20260811-8186-457781207</t>
        </is>
      </c>
      <c r="B131" t="n">
        <v>1</v>
      </c>
      <c r="C131" s="2" t="inlineStr">
        <is>
          <t>Анастасия Можайская</t>
        </is>
      </c>
      <c r="D131" s="3" t="n">
        <v>12450</v>
      </c>
      <c r="E131" s="4" t="n">
        <v>0</v>
      </c>
      <c r="F131" t="inlineStr">
        <is>
          <t>Прямые бронирования (стойка) [Чайковский]</t>
        </is>
      </c>
      <c r="G131" s="3">
        <f>ROUND(D131/(100-E131)*100,2)</f>
        <v/>
      </c>
      <c r="H131" s="5" t="n">
        <v>46245.58333333334</v>
      </c>
      <c r="I131" t="n">
        <v>1</v>
      </c>
      <c r="J131" s="3">
        <f>G131/I131</f>
        <v/>
      </c>
      <c r="K131">
        <f>IF(J131&gt;=5100,"ставка","мин.ставка")</f>
        <v/>
      </c>
      <c r="L131" s="3">
        <f>ROUND(IF(K131="мин.ставка",I131*100,G131/102*2),2)</f>
        <v/>
      </c>
      <c r="M131" s="5" t="n">
        <v>46246.5</v>
      </c>
      <c r="N131" t="inlineStr">
        <is>
          <t>TravelLine ресепшн</t>
        </is>
      </c>
      <c r="O131" s="2" t="inlineStr">
        <is>
          <t>СЕМЕЙНЫЙ НОМЕР КАТЕГОРИИ "СТАНДАРТ" ВТОРОЙ КОРПУС</t>
        </is>
      </c>
      <c r="P131" s="6" t="n"/>
      <c r="R131" t="inlineStr"/>
      <c r="S131" t="inlineStr">
        <is>
          <t>Тариф с завтраком</t>
        </is>
      </c>
      <c r="T131" t="n">
        <v>0</v>
      </c>
      <c r="U131" t="n">
        <v>12450</v>
      </c>
    </row>
    <row r="132">
      <c r="A132" t="inlineStr">
        <is>
          <t>20260812-8186-457335221</t>
        </is>
      </c>
      <c r="B132" t="n">
        <v>1</v>
      </c>
      <c r="C132" s="2" t="inlineStr">
        <is>
          <t>Анастасия Рочкус, Ирина Морозюк</t>
        </is>
      </c>
      <c r="D132" s="3" t="n">
        <v>43350</v>
      </c>
      <c r="E132" s="4" t="n">
        <v>0</v>
      </c>
      <c r="F132" t="inlineStr">
        <is>
          <t>Прямые бронирования (стойка) [Чайковский]</t>
        </is>
      </c>
      <c r="G132" s="3">
        <f>ROUND(D132/(100-E132)*100,2)</f>
        <v/>
      </c>
      <c r="H132" s="5" t="n">
        <v>46246.58333333334</v>
      </c>
      <c r="I132" t="n">
        <v>3</v>
      </c>
      <c r="J132" s="3">
        <f>G132/I132</f>
        <v/>
      </c>
      <c r="K132">
        <f>IF(J132&gt;=5100,"ставка","мин.ставка")</f>
        <v/>
      </c>
      <c r="L132" s="3">
        <f>ROUND(IF(K132="мин.ставка",I132*100,G132/102*2),2)</f>
        <v/>
      </c>
      <c r="M132" s="5" t="n">
        <v>46249.5</v>
      </c>
      <c r="N132" t="inlineStr">
        <is>
          <t>TravelLine ресепшн</t>
        </is>
      </c>
      <c r="O132" s="2" t="inlineStr">
        <is>
          <t>СЕМЕЙНЫЙ НОМЕР КАТЕГОРИИ "СТАНДАРТ" ВТОРОЙ КОРПУС</t>
        </is>
      </c>
      <c r="P132" s="6" t="n"/>
      <c r="R132" t="inlineStr"/>
      <c r="S132" t="inlineStr">
        <is>
          <t>Тариф с завтраком</t>
        </is>
      </c>
      <c r="T132" t="n">
        <v>16800</v>
      </c>
      <c r="U132" t="n">
        <v>60150</v>
      </c>
    </row>
    <row r="133">
      <c r="A133" t="inlineStr">
        <is>
          <t>20260731-8186-454546625</t>
        </is>
      </c>
      <c r="B133" t="n">
        <v>1</v>
      </c>
      <c r="C133" s="2" t="inlineStr">
        <is>
          <t>Анастасия Черепанова, Владислав Гудимов</t>
        </is>
      </c>
      <c r="D133" s="3" t="n">
        <v>13350</v>
      </c>
      <c r="E133" s="4" t="n">
        <v>0</v>
      </c>
      <c r="F133" t="inlineStr">
        <is>
          <t>Прямые бронирования (стойка) [Чайковский]</t>
        </is>
      </c>
      <c r="G133" s="3">
        <f>ROUND(D133/(100-E133)*100,2)</f>
        <v/>
      </c>
      <c r="H133" s="5" t="n">
        <v>46234.58333333334</v>
      </c>
      <c r="I133" t="n">
        <v>1</v>
      </c>
      <c r="J133" s="3">
        <f>G133/I133</f>
        <v/>
      </c>
      <c r="K133">
        <f>IF(J133&gt;=5100,"ставка","мин.ставка")</f>
        <v/>
      </c>
      <c r="L133" s="3">
        <f>ROUND(IF(K133="мин.ставка",I133*100,G133/102*2),2)</f>
        <v/>
      </c>
      <c r="M133" s="5" t="n">
        <v>46235.5</v>
      </c>
      <c r="N133" t="inlineStr">
        <is>
          <t>TravelLine ресепшн</t>
        </is>
      </c>
      <c r="O133" s="2" t="inlineStr">
        <is>
          <t>СТАНДАРТНЫЙ ДВУХМЕСТНЫЙ НОМЕР</t>
        </is>
      </c>
      <c r="P133" s="6" t="n"/>
      <c r="R133" t="inlineStr"/>
      <c r="S133" t="inlineStr">
        <is>
          <t>Тариф с завтраком</t>
        </is>
      </c>
      <c r="T133" t="n">
        <v>0</v>
      </c>
      <c r="U133" t="n">
        <v>13350</v>
      </c>
    </row>
    <row r="134">
      <c r="A134" t="inlineStr">
        <is>
          <t>20260728-8186-448905887</t>
        </is>
      </c>
      <c r="B134" t="n">
        <v>1</v>
      </c>
      <c r="C134" s="2" t="inlineStr">
        <is>
          <t>Анастасия Черепанова, Владислав Гудимов</t>
        </is>
      </c>
      <c r="D134" s="3" t="n">
        <v>23760</v>
      </c>
      <c r="E134" s="4" t="n">
        <v>20</v>
      </c>
      <c r="F134" t="inlineStr">
        <is>
          <t>ООО "КОМПАНИЯ БРОНЕВИК" [Чайковский]</t>
        </is>
      </c>
      <c r="G134" s="3">
        <f>ROUND(D134/(100-E134)*100,2)</f>
        <v/>
      </c>
      <c r="H134" s="5" t="n">
        <v>46231.58333333334</v>
      </c>
      <c r="I134" t="n">
        <v>3</v>
      </c>
      <c r="J134" s="3">
        <f>G134/I134</f>
        <v/>
      </c>
      <c r="K134">
        <f>IF(J134&gt;=5100,"ставка","мин.ставка")</f>
        <v/>
      </c>
      <c r="L134" s="3">
        <f>ROUND(IF(K134="мин.ставка",I134*100,G134/102*2),2)</f>
        <v/>
      </c>
      <c r="M134" s="5" t="n">
        <v>46234.5</v>
      </c>
      <c r="N134" t="inlineStr">
        <is>
          <t>TravelLine BR2</t>
        </is>
      </c>
      <c r="O134" s="2" t="inlineStr">
        <is>
          <t>СТАНДАРТНЫЙ ДВУХМЕСТНЫЙ НОМЕР (МАНСАРДА)</t>
        </is>
      </c>
      <c r="P134" s="6" t="n"/>
      <c r="R134" t="inlineStr"/>
      <c r="S134" t="inlineStr">
        <is>
          <t>Тариф с завтраком</t>
        </is>
      </c>
      <c r="T134" t="n">
        <v>0</v>
      </c>
      <c r="U134" t="n">
        <v>23760</v>
      </c>
    </row>
    <row r="135">
      <c r="A135" t="inlineStr">
        <is>
          <t>20260802-8186-452836411</t>
        </is>
      </c>
      <c r="B135" t="n">
        <v>1</v>
      </c>
      <c r="C135" s="2" t="inlineStr">
        <is>
          <t>АНАСТАСИЯ Чурилова</t>
        </is>
      </c>
      <c r="D135" s="3" t="n">
        <v>9080</v>
      </c>
      <c r="E135" s="4" t="n">
        <v>20</v>
      </c>
      <c r="F135" t="inlineStr">
        <is>
          <t>ООО "КОМПАНИЯ БРОНЕВИК" [Чайковский]</t>
        </is>
      </c>
      <c r="G135" s="3">
        <f>ROUND(D135/(100-E135)*100,2)</f>
        <v/>
      </c>
      <c r="H135" s="5" t="n">
        <v>46236.58333333334</v>
      </c>
      <c r="I135" t="n">
        <v>1</v>
      </c>
      <c r="J135" s="3">
        <f>G135/I135</f>
        <v/>
      </c>
      <c r="K135">
        <f>IF(J135&gt;=5100,"ставка","мин.ставка")</f>
        <v/>
      </c>
      <c r="L135" s="3">
        <f>ROUND(IF(K135="мин.ставка",I135*100,G135/102*2),2)</f>
        <v/>
      </c>
      <c r="M135" s="5" t="n">
        <v>46237.5</v>
      </c>
      <c r="N135" t="inlineStr">
        <is>
          <t>TravelLine BR2</t>
        </is>
      </c>
      <c r="O135" s="2" t="inlineStr">
        <is>
          <t>СТАНДАРТНЫЙ ДВУХМЕСТНЫЙ НОМЕР</t>
        </is>
      </c>
      <c r="P135" s="6" t="n"/>
      <c r="R135" t="inlineStr"/>
      <c r="S135" t="inlineStr">
        <is>
          <t>Тариф с завтраком</t>
        </is>
      </c>
      <c r="T135" t="n">
        <v>0</v>
      </c>
      <c r="U135" t="n">
        <v>9080</v>
      </c>
    </row>
    <row r="136">
      <c r="A136" t="inlineStr">
        <is>
          <t>20260712-8186-440208436</t>
        </is>
      </c>
      <c r="B136" t="n">
        <v>1</v>
      </c>
      <c r="C136" s="2" t="inlineStr">
        <is>
          <t>Анастасия Шандра, Ярослав Доброцветов</t>
        </is>
      </c>
      <c r="D136" s="3" t="n">
        <v>10146</v>
      </c>
      <c r="E136" s="4" t="n">
        <v>18</v>
      </c>
      <c r="F136" t="inlineStr">
        <is>
          <t>Яндекс.Путешествия [Чайковский]</t>
        </is>
      </c>
      <c r="G136" s="3">
        <f>ROUND(D136/(100-E136)*100,2)</f>
        <v/>
      </c>
      <c r="H136" s="5" t="n">
        <v>46215.58333333334</v>
      </c>
      <c r="I136" t="n">
        <v>1</v>
      </c>
      <c r="J136" s="3">
        <f>G136/I136</f>
        <v/>
      </c>
      <c r="K136">
        <f>IF(J136&gt;=5100,"ставка","мин.ставка")</f>
        <v/>
      </c>
      <c r="L136" s="3">
        <f>ROUND(IF(K136="мин.ставка",I136*100,G136/102*2),2)</f>
        <v/>
      </c>
      <c r="M136" s="5" t="n">
        <v>46216.5</v>
      </c>
      <c r="N136" t="inlineStr">
        <is>
          <t>TravelLine YAX</t>
        </is>
      </c>
      <c r="O136" s="2" t="inlineStr">
        <is>
          <t>СТАНДАРТНЫЙ ДВУХМЕСТНЫЙ НОМЕР</t>
        </is>
      </c>
      <c r="P136" s="6" t="n"/>
      <c r="R136" t="inlineStr"/>
      <c r="S136" t="inlineStr">
        <is>
          <t>Тариф с завтраком</t>
        </is>
      </c>
      <c r="T136" t="n">
        <v>0</v>
      </c>
      <c r="U136" t="n">
        <v>10146</v>
      </c>
    </row>
    <row r="137">
      <c r="A137" t="inlineStr">
        <is>
          <t>20260917-8186-464301061</t>
        </is>
      </c>
      <c r="B137" t="n">
        <v>1</v>
      </c>
      <c r="C137" s="2" t="inlineStr">
        <is>
          <t>Анастасия Ювченко</t>
        </is>
      </c>
      <c r="D137" s="3" t="n">
        <v>21440</v>
      </c>
      <c r="E137" s="4" t="n">
        <v>20</v>
      </c>
      <c r="F137" t="inlineStr">
        <is>
          <t>ООО "ХБ-ПРО" [Чайковский]</t>
        </is>
      </c>
      <c r="G137" s="3">
        <f>ROUND(D137/(100-E137)*100,2)</f>
        <v/>
      </c>
      <c r="H137" s="5" t="n">
        <v>46282.58333333334</v>
      </c>
      <c r="I137" t="n">
        <v>2</v>
      </c>
      <c r="J137" s="3">
        <f>G137/I137</f>
        <v/>
      </c>
      <c r="K137">
        <f>IF(J137&gt;=5100,"ставка","мин.ставка")</f>
        <v/>
      </c>
      <c r="L137" s="3">
        <f>ROUND(IF(K137="мин.ставка",I137*100,G137/102*2),2)</f>
        <v/>
      </c>
      <c r="M137" s="5" t="n">
        <v>46284.5</v>
      </c>
      <c r="N137" t="inlineStr">
        <is>
          <t>TravelLine UTS</t>
        </is>
      </c>
      <c r="O137" s="2" t="inlineStr">
        <is>
          <t>УЛУЧШЕННЫЙ ДВУХМЕСТНЫЙ НОМЕР</t>
        </is>
      </c>
      <c r="P137" s="6" t="n"/>
      <c r="R137" t="inlineStr"/>
      <c r="S137" t="inlineStr">
        <is>
          <t>Тариф с завтраком</t>
        </is>
      </c>
      <c r="T137" t="n">
        <v>0</v>
      </c>
      <c r="U137" t="n">
        <v>21440</v>
      </c>
    </row>
    <row r="138">
      <c r="A138" t="inlineStr">
        <is>
          <t>20260821-8186-458371765</t>
        </is>
      </c>
      <c r="B138" t="n">
        <v>1</v>
      </c>
      <c r="C138" s="2" t="inlineStr">
        <is>
          <t>АНАСТАСИЯ ЯСЕВА</t>
        </is>
      </c>
      <c r="D138" s="3" t="n">
        <v>33366</v>
      </c>
      <c r="E138" s="4" t="n">
        <v>0</v>
      </c>
      <c r="F138" t="inlineStr">
        <is>
          <t>Прямые бронирования (стойка) [Чайковский]</t>
        </is>
      </c>
      <c r="G138" s="3">
        <f>ROUND(D138/(100-E138)*100,2)</f>
        <v/>
      </c>
      <c r="H138" s="5" t="n">
        <v>46255.58333333334</v>
      </c>
      <c r="I138" t="n">
        <v>3</v>
      </c>
      <c r="J138" s="3">
        <f>G138/I138</f>
        <v/>
      </c>
      <c r="K138">
        <f>IF(J138&gt;=5100,"ставка","мин.ставка")</f>
        <v/>
      </c>
      <c r="L138" s="3">
        <f>ROUND(IF(K138="мин.ставка",I138*100,G138/102*2),2)</f>
        <v/>
      </c>
      <c r="M138" s="5" t="n">
        <v>46258.5</v>
      </c>
      <c r="N138" t="inlineStr">
        <is>
          <t>TravelLine CMB</t>
        </is>
      </c>
      <c r="O138" s="2" t="inlineStr">
        <is>
          <t>УЛУЧШЕННЫЙ ДВУХМЕСТНЫЙ НОМЕР</t>
        </is>
      </c>
      <c r="P138" s="6" t="n"/>
      <c r="R138" t="inlineStr"/>
      <c r="S138" t="inlineStr">
        <is>
          <t>Тариф с завтраком</t>
        </is>
      </c>
      <c r="T138" t="n">
        <v>0</v>
      </c>
      <c r="U138" t="n">
        <v>33366</v>
      </c>
    </row>
    <row r="139">
      <c r="A139" t="inlineStr">
        <is>
          <t>20260719-8186-450656170</t>
        </is>
      </c>
      <c r="B139" t="n">
        <v>1</v>
      </c>
      <c r="C139" s="2" t="inlineStr">
        <is>
          <t>АНАТОЛИЙ ВЕРЕВКИН</t>
        </is>
      </c>
      <c r="D139" s="3" t="n">
        <v>7900</v>
      </c>
      <c r="E139" s="4" t="n">
        <v>0</v>
      </c>
      <c r="F139" t="inlineStr">
        <is>
          <t>Прямые бронирования (стойка) [Чайковский]</t>
        </is>
      </c>
      <c r="G139" s="3">
        <f>ROUND(D139/(100-E139)*100,2)</f>
        <v/>
      </c>
      <c r="H139" s="5" t="n">
        <v>46222.58333333334</v>
      </c>
      <c r="I139" t="n">
        <v>1</v>
      </c>
      <c r="J139" s="3">
        <f>G139/I139</f>
        <v/>
      </c>
      <c r="K139">
        <f>IF(J139&gt;=5100,"ставка","мин.ставка")</f>
        <v/>
      </c>
      <c r="L139" s="3">
        <f>ROUND(IF(K139="мин.ставка",I139*100,G139/102*2),2)</f>
        <v/>
      </c>
      <c r="M139" s="5" t="n">
        <v>46223.5</v>
      </c>
      <c r="N139" t="inlineStr">
        <is>
          <t>TravelLine ресепшн</t>
        </is>
      </c>
      <c r="O139" s="2" t="inlineStr">
        <is>
          <t>СТАНДАРТНЫЙ ДВУХМЕСТНЫЙ НОМЕР (МАНСАРДА)</t>
        </is>
      </c>
      <c r="P139" s="6" t="n"/>
      <c r="R139" t="inlineStr"/>
      <c r="S139" t="inlineStr">
        <is>
          <t>Тариф с завтраком</t>
        </is>
      </c>
      <c r="T139" t="n">
        <v>0</v>
      </c>
      <c r="U139" t="n">
        <v>7900</v>
      </c>
    </row>
    <row r="140">
      <c r="A140" t="inlineStr">
        <is>
          <t>20260909-8186-464665870</t>
        </is>
      </c>
      <c r="B140" t="n">
        <v>1</v>
      </c>
      <c r="C140" s="2" t="inlineStr">
        <is>
          <t>АНАТОЛИЙ ДАНИЛОВИЧ, Анастасия Коневина</t>
        </is>
      </c>
      <c r="D140" s="3" t="n">
        <v>34042.5</v>
      </c>
      <c r="E140" s="4" t="n">
        <v>15</v>
      </c>
      <c r="F140" t="inlineStr">
        <is>
          <t>ООО "АКАДЕМ-ОНЛАЙН" [Чайковский]</t>
        </is>
      </c>
      <c r="G140" s="3">
        <f>ROUND(D140/(100-E140)*100,2)</f>
        <v/>
      </c>
      <c r="H140" s="5" t="n">
        <v>46274.58333333334</v>
      </c>
      <c r="I140" t="n">
        <v>3</v>
      </c>
      <c r="J140" s="3">
        <f>G140/I140</f>
        <v/>
      </c>
      <c r="K140">
        <f>IF(J140&gt;=5100,"ставка","мин.ставка")</f>
        <v/>
      </c>
      <c r="L140" s="3">
        <f>ROUND(IF(K140="мин.ставка",I140*100,G140/102*2),2)</f>
        <v/>
      </c>
      <c r="M140" s="5" t="n">
        <v>46277.75</v>
      </c>
      <c r="N140" t="inlineStr">
        <is>
          <t>TravelLine ACS</t>
        </is>
      </c>
      <c r="O140" s="2" t="inlineStr">
        <is>
          <t>СТАНДАРТНЫЙ ДВУХМЕСТНЫЙ НОМЕР</t>
        </is>
      </c>
      <c r="P140" s="6" t="n"/>
      <c r="R140" t="inlineStr"/>
      <c r="S140" t="inlineStr">
        <is>
          <t>Тариф с завтраком</t>
        </is>
      </c>
      <c r="T140" t="n">
        <v>3360</v>
      </c>
      <c r="U140" t="n">
        <v>37402.5</v>
      </c>
    </row>
    <row r="141">
      <c r="A141" t="inlineStr">
        <is>
          <t>20260902-8186-457424866</t>
        </is>
      </c>
      <c r="B141" t="n">
        <v>1</v>
      </c>
      <c r="C141" s="2" t="inlineStr">
        <is>
          <t>Анатолий Урюпов</t>
        </is>
      </c>
      <c r="D141" s="3" t="n">
        <v>13400</v>
      </c>
      <c r="E141" s="4" t="n">
        <v>0</v>
      </c>
      <c r="F141" t="inlineStr">
        <is>
          <t>Прямые бронирования (стойка) [Чайковский]</t>
        </is>
      </c>
      <c r="G141" s="3">
        <f>ROUND(D141/(100-E141)*100,2)</f>
        <v/>
      </c>
      <c r="H141" s="5" t="n">
        <v>46267.58333333334</v>
      </c>
      <c r="I141" t="n">
        <v>1</v>
      </c>
      <c r="J141" s="3">
        <f>G141/I141</f>
        <v/>
      </c>
      <c r="K141">
        <f>IF(J141&gt;=5100,"ставка","мин.ставка")</f>
        <v/>
      </c>
      <c r="L141" s="3">
        <f>ROUND(IF(K141="мин.ставка",I141*100,G141/102*2),2)</f>
        <v/>
      </c>
      <c r="M141" s="5" t="n">
        <v>46268.5</v>
      </c>
      <c r="N141" t="inlineStr">
        <is>
          <t>TravelLine ресепшн</t>
        </is>
      </c>
      <c r="O141" s="2" t="inlineStr">
        <is>
          <t>УЛУЧШЕННЫЙ ДВУХМЕСТНЫЙ НОМЕР</t>
        </is>
      </c>
      <c r="P141" s="6" t="n"/>
      <c r="R141" t="inlineStr"/>
      <c r="S141" t="inlineStr">
        <is>
          <t>Тариф с завтраком</t>
        </is>
      </c>
      <c r="T141" t="n">
        <v>0</v>
      </c>
      <c r="U141" t="n">
        <v>13400</v>
      </c>
    </row>
    <row r="142">
      <c r="A142" t="inlineStr">
        <is>
          <t>20260911-8186-464289251</t>
        </is>
      </c>
      <c r="B142" t="n">
        <v>1</v>
      </c>
      <c r="C142" s="2" t="inlineStr">
        <is>
          <t>Андрей Беляев</t>
        </is>
      </c>
      <c r="D142" s="3" t="n">
        <v>10998.15</v>
      </c>
      <c r="E142" s="4" t="n">
        <v>4</v>
      </c>
      <c r="F142" t="inlineStr">
        <is>
          <t>TravelLine Booking Engine [Чайковский]</t>
        </is>
      </c>
      <c r="G142" s="3">
        <f>ROUND(D142/(100-E142)*100,2)</f>
        <v/>
      </c>
      <c r="H142" s="5" t="n">
        <v>46276.75</v>
      </c>
      <c r="I142" t="n">
        <v>1</v>
      </c>
      <c r="J142" s="3">
        <f>G142/I142</f>
        <v/>
      </c>
      <c r="K142">
        <f>IF(J142&gt;=5100,"ставка","мин.ставка")</f>
        <v/>
      </c>
      <c r="L142" s="3">
        <f>ROUND(IF(K142="мин.ставка",I142*100,G142/102*2),2)</f>
        <v/>
      </c>
      <c r="M142" s="5" t="n">
        <v>46277.5</v>
      </c>
      <c r="N142" t="inlineStr">
        <is>
          <t>TravelLine сайт</t>
        </is>
      </c>
      <c r="O142" s="2" t="inlineStr">
        <is>
          <t>СТАНДАРТНЫЙ ДВУХМЕСТНЫЙ НОМЕР</t>
        </is>
      </c>
      <c r="P142" s="6" t="n"/>
      <c r="R142" t="inlineStr"/>
      <c r="S142" t="inlineStr">
        <is>
          <t>Тариф с завтраком</t>
        </is>
      </c>
      <c r="T142" t="n">
        <v>0</v>
      </c>
      <c r="U142" t="n">
        <v>10998.15</v>
      </c>
    </row>
    <row r="143">
      <c r="A143" t="inlineStr">
        <is>
          <t>20260916-8186-466082253</t>
        </is>
      </c>
      <c r="B143" t="n">
        <v>1</v>
      </c>
      <c r="C143" s="2" t="inlineStr">
        <is>
          <t>Андрей Бондарчук</t>
        </is>
      </c>
      <c r="D143" s="3" t="n">
        <v>14050.5</v>
      </c>
      <c r="E143" s="4" t="n">
        <v>4</v>
      </c>
      <c r="F143" t="inlineStr">
        <is>
          <t>TravelLine Booking Engine [Чайковский]</t>
        </is>
      </c>
      <c r="G143" s="3">
        <f>ROUND(D143/(100-E143)*100,2)</f>
        <v/>
      </c>
      <c r="H143" s="5" t="n">
        <v>46281.79166666666</v>
      </c>
      <c r="I143" t="n">
        <v>1</v>
      </c>
      <c r="J143" s="3">
        <f>G143/I143</f>
        <v/>
      </c>
      <c r="K143">
        <f>IF(J143&gt;=5100,"ставка","мин.ставка")</f>
        <v/>
      </c>
      <c r="L143" s="3">
        <f>ROUND(IF(K143="мин.ставка",I143*100,G143/102*2),2)</f>
        <v/>
      </c>
      <c r="M143" s="5" t="n">
        <v>46282.5</v>
      </c>
      <c r="N143" t="inlineStr">
        <is>
          <t>TravelLine сайт</t>
        </is>
      </c>
      <c r="O143" s="2" t="inlineStr">
        <is>
          <t>ПОЛУЛЮКС</t>
        </is>
      </c>
      <c r="P143" s="6" t="n"/>
      <c r="R143" t="inlineStr"/>
      <c r="S143" t="inlineStr">
        <is>
          <t>Тариф с завтраком</t>
        </is>
      </c>
      <c r="T143" t="n">
        <v>0</v>
      </c>
      <c r="U143" t="n">
        <v>14050.5</v>
      </c>
    </row>
    <row r="144">
      <c r="A144" t="inlineStr">
        <is>
          <t>20260930-8186-468765445</t>
        </is>
      </c>
      <c r="B144" t="n">
        <v>1</v>
      </c>
      <c r="C144" s="2" t="inlineStr">
        <is>
          <t>Андрей Внуков, Ольга Внукова</t>
        </is>
      </c>
      <c r="D144" s="3" t="n">
        <v>69600</v>
      </c>
      <c r="E144" s="4" t="n">
        <v>20</v>
      </c>
      <c r="F144" t="inlineStr">
        <is>
          <t>ООО «Дубль Гис» (OTELLO) [Чайковский]</t>
        </is>
      </c>
      <c r="G144" s="3">
        <f>ROUND(D144/(100-E144)*100,2)</f>
        <v/>
      </c>
      <c r="H144" s="5" t="n">
        <v>46295.58333333334</v>
      </c>
      <c r="I144" t="n">
        <v>6</v>
      </c>
      <c r="J144" s="3">
        <f>G144/I144</f>
        <v/>
      </c>
      <c r="K144">
        <f>IF(J144&gt;=5100,"ставка","мин.ставка")</f>
        <v/>
      </c>
      <c r="L144" s="3">
        <f>ROUND(IF(K144="мин.ставка",I144*100,G144/102*2),2)</f>
        <v/>
      </c>
      <c r="M144" s="5" t="n">
        <v>46301.5</v>
      </c>
      <c r="N144" t="inlineStr">
        <is>
          <t>TravelLine OL2</t>
        </is>
      </c>
      <c r="O144" s="2" t="inlineStr">
        <is>
          <t>ПОЛУЛЮКС</t>
        </is>
      </c>
      <c r="P144" s="6" t="n"/>
      <c r="R144" t="inlineStr"/>
      <c r="S144" t="inlineStr">
        <is>
          <t>Тариф с завтраком</t>
        </is>
      </c>
      <c r="T144" t="n">
        <v>0</v>
      </c>
      <c r="U144" t="n">
        <v>139200</v>
      </c>
    </row>
    <row r="145">
      <c r="A145" t="inlineStr">
        <is>
          <t>20260729-8186-452721975</t>
        </is>
      </c>
      <c r="B145" t="n">
        <v>1</v>
      </c>
      <c r="C145" s="2" t="inlineStr">
        <is>
          <t>АНДРЕЙ ВОРНОВСКИЙ</t>
        </is>
      </c>
      <c r="D145" s="3" t="n">
        <v>24650</v>
      </c>
      <c r="E145" s="4" t="n">
        <v>15</v>
      </c>
      <c r="F145" t="inlineStr">
        <is>
          <t>ООО "БРОНИРОВАНИЕ ГОСТИНИЦ" (OSTROVOK) [Чайковский]</t>
        </is>
      </c>
      <c r="G145" s="3">
        <f>ROUND(D145/(100-E145)*100,2)</f>
        <v/>
      </c>
      <c r="H145" s="5" t="n">
        <v>46232.58333333334</v>
      </c>
      <c r="I145" t="n">
        <v>2</v>
      </c>
      <c r="J145" s="3">
        <f>G145/I145</f>
        <v/>
      </c>
      <c r="K145">
        <f>IF(J145&gt;=5100,"ставка","мин.ставка")</f>
        <v/>
      </c>
      <c r="L145" s="3">
        <f>ROUND(IF(K145="мин.ставка",I145*100,G145/102*2),2)</f>
        <v/>
      </c>
      <c r="M145" s="5" t="n">
        <v>46234.5</v>
      </c>
      <c r="N145" t="inlineStr">
        <is>
          <t>TravelLine OTK</t>
        </is>
      </c>
      <c r="O145" s="2" t="inlineStr">
        <is>
          <t>ПОЛУЛЮКС</t>
        </is>
      </c>
      <c r="P145" s="6" t="n"/>
      <c r="R145" t="inlineStr"/>
      <c r="S145" t="inlineStr">
        <is>
          <t>Тариф с завтраком</t>
        </is>
      </c>
      <c r="T145" t="n">
        <v>0</v>
      </c>
      <c r="U145" t="n">
        <v>24650</v>
      </c>
    </row>
    <row r="146">
      <c r="A146" t="inlineStr">
        <is>
          <t>20260928-8186-468298353</t>
        </is>
      </c>
      <c r="B146" t="n">
        <v>1</v>
      </c>
      <c r="C146" s="2" t="inlineStr">
        <is>
          <t>АНДРЕЙ ВОРНОВСКИЙ</t>
        </is>
      </c>
      <c r="D146" s="3" t="n">
        <v>39690</v>
      </c>
      <c r="E146" s="4" t="n">
        <v>16</v>
      </c>
      <c r="F146" t="inlineStr">
        <is>
          <t>ООО "БРОНИРОВАНИЕ ГОСТИНИЦ" (OSTROVOK) [Чайковский]</t>
        </is>
      </c>
      <c r="G146" s="3">
        <f>ROUND(D146/(100-E146)*100,2)</f>
        <v/>
      </c>
      <c r="H146" s="5" t="n">
        <v>46293.58333333334</v>
      </c>
      <c r="I146" t="n">
        <v>4</v>
      </c>
      <c r="J146" s="3">
        <f>G146/I146</f>
        <v/>
      </c>
      <c r="K146">
        <f>IF(J146&gt;=5100,"ставка","мин.ставка")</f>
        <v/>
      </c>
      <c r="L146" s="3">
        <f>ROUND(IF(K146="мин.ставка",I146*100,G146/102*2),2)</f>
        <v/>
      </c>
      <c r="M146" s="5" t="n">
        <v>46297.5</v>
      </c>
      <c r="N146" t="inlineStr">
        <is>
          <t>TravelLine OTK</t>
        </is>
      </c>
      <c r="O146" s="2" t="inlineStr">
        <is>
          <t>СЕМЕЙНЫЙ НОМЕР КАТЕГОРИИ "СТАНДАРТ" ВТОРОЙ КОРПУС</t>
        </is>
      </c>
      <c r="P146" s="6" t="n"/>
      <c r="R146" t="inlineStr"/>
      <c r="S146" t="inlineStr">
        <is>
          <t>Тариф с завтраком</t>
        </is>
      </c>
      <c r="T146" t="n">
        <v>0</v>
      </c>
      <c r="U146" t="n">
        <v>39690</v>
      </c>
    </row>
    <row r="147">
      <c r="A147" t="inlineStr">
        <is>
          <t>20260930-8186-467523772</t>
        </is>
      </c>
      <c r="B147" t="n">
        <v>1</v>
      </c>
      <c r="C147" s="2" t="inlineStr">
        <is>
          <t>Андрей Голубов, Дарья Коломыц</t>
        </is>
      </c>
      <c r="D147" s="3" t="n">
        <v>43280</v>
      </c>
      <c r="E147" s="4" t="n">
        <v>20</v>
      </c>
      <c r="F147" t="inlineStr">
        <is>
          <t>ООО "КОМПАНИЯ БРОНЕВИК" [Чайковский]</t>
        </is>
      </c>
      <c r="G147" s="3">
        <f>ROUND(D147/(100-E147)*100,2)</f>
        <v/>
      </c>
      <c r="H147" s="5" t="n">
        <v>46295.58333333334</v>
      </c>
      <c r="I147" t="n">
        <v>6</v>
      </c>
      <c r="J147" s="3">
        <f>G147/I147</f>
        <v/>
      </c>
      <c r="K147">
        <f>IF(J147&gt;=5100,"ставка","мин.ставка")</f>
        <v/>
      </c>
      <c r="L147" s="3">
        <f>ROUND(IF(K147="мин.ставка",I147*100,G147/102*2),2)</f>
        <v/>
      </c>
      <c r="M147" s="5" t="n">
        <v>46301.5</v>
      </c>
      <c r="N147" t="inlineStr">
        <is>
          <t>TravelLine BR2</t>
        </is>
      </c>
      <c r="O147" s="2" t="inlineStr">
        <is>
          <t>СТАНДАРТНЫЙ ДВУХМЕСТНЫЙ НОМЕР</t>
        </is>
      </c>
      <c r="P147" s="6" t="n"/>
      <c r="R147" t="inlineStr"/>
      <c r="S147" t="inlineStr">
        <is>
          <t>Основной тариф без завтрака</t>
        </is>
      </c>
      <c r="T147" t="n">
        <v>0</v>
      </c>
      <c r="U147" t="n">
        <v>43280</v>
      </c>
    </row>
    <row r="148">
      <c r="A148" t="inlineStr">
        <is>
          <t>20260913-8186-455450305</t>
        </is>
      </c>
      <c r="B148" t="n">
        <v>1</v>
      </c>
      <c r="C148" s="2" t="inlineStr">
        <is>
          <t>Андрей Дайхес</t>
        </is>
      </c>
      <c r="D148" s="3" t="n">
        <v>56750</v>
      </c>
      <c r="E148" s="4" t="n">
        <v>0</v>
      </c>
      <c r="F148" t="inlineStr">
        <is>
          <t>Прямые бронирования (стойка) [Чайковский]</t>
        </is>
      </c>
      <c r="G148" s="3">
        <f>ROUND(D148/(100-E148)*100,2)</f>
        <v/>
      </c>
      <c r="H148" s="5" t="n">
        <v>46278.58333333334</v>
      </c>
      <c r="I148" t="n">
        <v>5</v>
      </c>
      <c r="J148" s="3">
        <f>G148/I148</f>
        <v/>
      </c>
      <c r="K148">
        <f>IF(J148&gt;=5100,"ставка","мин.ставка")</f>
        <v/>
      </c>
      <c r="L148" s="3">
        <f>ROUND(IF(K148="мин.ставка",I148*100,G148/102*2),2)</f>
        <v/>
      </c>
      <c r="M148" s="5" t="n">
        <v>46283.75</v>
      </c>
      <c r="N148" t="inlineStr">
        <is>
          <t>TravelLine ресепшн</t>
        </is>
      </c>
      <c r="O148" s="2" t="inlineStr">
        <is>
          <t>СТАНДАРТНЫЙ ДВУХМЕСТНЫЙ НОМЕР</t>
        </is>
      </c>
      <c r="P148" s="6" t="n"/>
      <c r="R148" t="inlineStr"/>
      <c r="S148" t="inlineStr">
        <is>
          <t>Тариф с завтраком</t>
        </is>
      </c>
      <c r="T148" t="n">
        <v>5675</v>
      </c>
      <c r="U148" t="n">
        <v>62425</v>
      </c>
    </row>
    <row r="149">
      <c r="A149" t="inlineStr">
        <is>
          <t>20260710-8186-449153360</t>
        </is>
      </c>
      <c r="B149" t="n">
        <v>1</v>
      </c>
      <c r="C149" s="2" t="inlineStr">
        <is>
          <t>АНДРЕЙ ДОБРЯКОВ, Алина Жукова</t>
        </is>
      </c>
      <c r="D149" s="3" t="n">
        <v>9880</v>
      </c>
      <c r="E149" s="4" t="n">
        <v>18</v>
      </c>
      <c r="F149" t="inlineStr">
        <is>
          <t>Яндекс.Путешествия [Чайковский]</t>
        </is>
      </c>
      <c r="G149" s="3">
        <f>ROUND(D149/(100-E149)*100,2)</f>
        <v/>
      </c>
      <c r="H149" s="5" t="n">
        <v>46213.58333333334</v>
      </c>
      <c r="I149" t="n">
        <v>1</v>
      </c>
      <c r="J149" s="3">
        <f>G149/I149</f>
        <v/>
      </c>
      <c r="K149">
        <f>IF(J149&gt;=5100,"ставка","мин.ставка")</f>
        <v/>
      </c>
      <c r="L149" s="3">
        <f>ROUND(IF(K149="мин.ставка",I149*100,G149/102*2),2)</f>
        <v/>
      </c>
      <c r="M149" s="5" t="n">
        <v>46214.5</v>
      </c>
      <c r="N149" t="inlineStr">
        <is>
          <t>TravelLine YAX</t>
        </is>
      </c>
      <c r="O149" s="2" t="inlineStr">
        <is>
          <t>СТАНДАРТНЫЙ ДВУХМЕСТНЫЙ НОМЕР</t>
        </is>
      </c>
      <c r="P149" s="6" t="n"/>
      <c r="R149" t="inlineStr"/>
      <c r="S149" t="inlineStr">
        <is>
          <t>Тариф с завтраком</t>
        </is>
      </c>
      <c r="T149" t="n">
        <v>0</v>
      </c>
      <c r="U149" t="n">
        <v>9880</v>
      </c>
    </row>
    <row r="150">
      <c r="A150" t="inlineStr">
        <is>
          <t>20260718-8186-451312706</t>
        </is>
      </c>
      <c r="B150" t="n">
        <v>1</v>
      </c>
      <c r="C150" s="2" t="inlineStr">
        <is>
          <t>АНДРЕЙ ДОБРЯКОВ, АЛИНА ЖУКОВА</t>
        </is>
      </c>
      <c r="D150" s="3" t="n">
        <v>12320</v>
      </c>
      <c r="E150" s="4" t="n">
        <v>18</v>
      </c>
      <c r="F150" t="inlineStr">
        <is>
          <t>Яндекс.Путешествия [Чайковский]</t>
        </is>
      </c>
      <c r="G150" s="3">
        <f>ROUND(D150/(100-E150)*100,2)</f>
        <v/>
      </c>
      <c r="H150" s="5" t="n">
        <v>46221.58333333334</v>
      </c>
      <c r="I150" t="n">
        <v>1</v>
      </c>
      <c r="J150" s="3">
        <f>G150/I150</f>
        <v/>
      </c>
      <c r="K150">
        <f>IF(J150&gt;=5100,"ставка","мин.ставка")</f>
        <v/>
      </c>
      <c r="L150" s="3">
        <f>ROUND(IF(K150="мин.ставка",I150*100,G150/102*2),2)</f>
        <v/>
      </c>
      <c r="M150" s="5" t="n">
        <v>46222.5</v>
      </c>
      <c r="N150" t="inlineStr">
        <is>
          <t>TravelLine YAX</t>
        </is>
      </c>
      <c r="O150" s="2" t="inlineStr">
        <is>
          <t>УЛУЧШЕННЫЙ ДВУХМЕСТНЫЙ НОМЕР</t>
        </is>
      </c>
      <c r="P150" s="6" t="n"/>
      <c r="R150" t="inlineStr"/>
      <c r="S150" t="inlineStr">
        <is>
          <t>Тариф с завтраком</t>
        </is>
      </c>
      <c r="T150" t="n">
        <v>0</v>
      </c>
      <c r="U150" t="n">
        <v>12320</v>
      </c>
    </row>
    <row r="151">
      <c r="A151" t="inlineStr">
        <is>
          <t>20260710-8186-448524052</t>
        </is>
      </c>
      <c r="B151" t="n">
        <v>1</v>
      </c>
      <c r="C151" s="2" t="inlineStr">
        <is>
          <t>Андрей Дьяков</t>
        </is>
      </c>
      <c r="D151" s="3" t="n">
        <v>11205</v>
      </c>
      <c r="E151" s="4" t="n">
        <v>0</v>
      </c>
      <c r="F151" t="inlineStr">
        <is>
          <t>Прямые бронирования (стойка) [Чайковский]</t>
        </is>
      </c>
      <c r="G151" s="3">
        <f>ROUND(D151/(100-E151)*100,2)</f>
        <v/>
      </c>
      <c r="H151" s="5" t="n">
        <v>46213.58333333334</v>
      </c>
      <c r="I151" t="n">
        <v>1</v>
      </c>
      <c r="J151" s="3">
        <f>G151/I151</f>
        <v/>
      </c>
      <c r="K151">
        <f>IF(J151&gt;=5100,"ставка","мин.ставка")</f>
        <v/>
      </c>
      <c r="L151" s="3">
        <f>ROUND(IF(K151="мин.ставка",I151*100,G151/102*2),2)</f>
        <v/>
      </c>
      <c r="M151" s="5" t="n">
        <v>46214.5</v>
      </c>
      <c r="N151" t="inlineStr">
        <is>
          <t>TravelLine ресепшн</t>
        </is>
      </c>
      <c r="O151" s="2" t="inlineStr">
        <is>
          <t>СЕМЕЙНЫЙ НОМЕР КАТЕГОРИИ "СТАНДАРТ" ВТОРОЙ КОРПУС</t>
        </is>
      </c>
      <c r="P151" s="6" t="n"/>
      <c r="R151" t="inlineStr"/>
      <c r="S151" t="inlineStr">
        <is>
          <t>Тариф с завтраком</t>
        </is>
      </c>
      <c r="T151" t="n">
        <v>0</v>
      </c>
      <c r="U151" t="n">
        <v>11205</v>
      </c>
    </row>
    <row r="152">
      <c r="A152" t="inlineStr">
        <is>
          <t>20260724-8186-452860606</t>
        </is>
      </c>
      <c r="B152" t="n">
        <v>1</v>
      </c>
      <c r="C152" s="2" t="inlineStr">
        <is>
          <t>Андрей Дьяков</t>
        </is>
      </c>
      <c r="D152" s="3" t="n">
        <v>13050</v>
      </c>
      <c r="E152" s="4" t="n">
        <v>0</v>
      </c>
      <c r="F152" t="inlineStr">
        <is>
          <t>Прямые бронирования (стойка) [Чайковский]</t>
        </is>
      </c>
      <c r="G152" s="3">
        <f>ROUND(D152/(100-E152)*100,2)</f>
        <v/>
      </c>
      <c r="H152" s="5" t="n">
        <v>46227.58333333334</v>
      </c>
      <c r="I152" t="n">
        <v>1</v>
      </c>
      <c r="J152" s="3">
        <f>G152/I152</f>
        <v/>
      </c>
      <c r="K152">
        <f>IF(J152&gt;=5100,"ставка","мин.ставка")</f>
        <v/>
      </c>
      <c r="L152" s="3">
        <f>ROUND(IF(K152="мин.ставка",I152*100,G152/102*2),2)</f>
        <v/>
      </c>
      <c r="M152" s="5" t="n">
        <v>46228.5</v>
      </c>
      <c r="N152" t="inlineStr">
        <is>
          <t>TravelLine ресепшн</t>
        </is>
      </c>
      <c r="O152" s="2" t="inlineStr">
        <is>
          <t>ПОЛУЛЮКС</t>
        </is>
      </c>
      <c r="P152" s="6" t="n"/>
      <c r="R152" t="inlineStr"/>
      <c r="S152" t="inlineStr">
        <is>
          <t>Тариф с завтраком</t>
        </is>
      </c>
      <c r="T152" t="n">
        <v>0</v>
      </c>
      <c r="U152" t="n">
        <v>13050</v>
      </c>
    </row>
    <row r="153">
      <c r="A153" t="inlineStr">
        <is>
          <t>20260821-8186-459665197</t>
        </is>
      </c>
      <c r="B153" t="n">
        <v>1</v>
      </c>
      <c r="C153" s="2" t="inlineStr">
        <is>
          <t>Андрей Дьяков</t>
        </is>
      </c>
      <c r="D153" s="3" t="n">
        <v>10215</v>
      </c>
      <c r="E153" s="4" t="n">
        <v>0</v>
      </c>
      <c r="F153" t="inlineStr">
        <is>
          <t>Прямые бронирования (стойка) [Чайковский]</t>
        </is>
      </c>
      <c r="G153" s="3">
        <f>ROUND(D153/(100-E153)*100,2)</f>
        <v/>
      </c>
      <c r="H153" s="5" t="n">
        <v>46255.58333333334</v>
      </c>
      <c r="I153" t="n">
        <v>1</v>
      </c>
      <c r="J153" s="3">
        <f>G153/I153</f>
        <v/>
      </c>
      <c r="K153">
        <f>IF(J153&gt;=5100,"ставка","мин.ставка")</f>
        <v/>
      </c>
      <c r="L153" s="3">
        <f>ROUND(IF(K153="мин.ставка",I153*100,G153/102*2),2)</f>
        <v/>
      </c>
      <c r="M153" s="5" t="n">
        <v>46256.5</v>
      </c>
      <c r="N153" t="inlineStr">
        <is>
          <t>TravelLine ресепшн</t>
        </is>
      </c>
      <c r="O153" s="2" t="inlineStr">
        <is>
          <t>СТАНДАРТНЫЙ ДВУХМЕСТНЫЙ НОМЕР</t>
        </is>
      </c>
      <c r="P153" s="6" t="n"/>
      <c r="R153" t="inlineStr"/>
      <c r="S153" t="inlineStr">
        <is>
          <t>Тариф с завтраком</t>
        </is>
      </c>
      <c r="T153" t="n">
        <v>0</v>
      </c>
      <c r="U153" t="n">
        <v>10215</v>
      </c>
    </row>
    <row r="154">
      <c r="A154" t="inlineStr">
        <is>
          <t>20260801-8186-417315012</t>
        </is>
      </c>
      <c r="B154" t="n">
        <v>1</v>
      </c>
      <c r="C154" s="2" t="inlineStr">
        <is>
          <t>АНДРЕЙ ЕЛИСТРАТОВ, ЕЛИЗАВЕТА БРЫНЗА</t>
        </is>
      </c>
      <c r="D154" s="3" t="n">
        <v>16500</v>
      </c>
      <c r="E154" s="4" t="n">
        <v>0</v>
      </c>
      <c r="F154" t="inlineStr">
        <is>
          <t>Прямые бронирования (стойка) [Чайковский]</t>
        </is>
      </c>
      <c r="G154" s="3">
        <f>ROUND(D154/(100-E154)*100,2)</f>
        <v/>
      </c>
      <c r="H154" s="5" t="n">
        <v>46235.58333333334</v>
      </c>
      <c r="I154" t="n">
        <v>1</v>
      </c>
      <c r="J154" s="3">
        <f>G154/I154</f>
        <v/>
      </c>
      <c r="K154">
        <f>IF(J154&gt;=5100,"ставка","мин.ставка")</f>
        <v/>
      </c>
      <c r="L154" s="3">
        <f>ROUND(IF(K154="мин.ставка",I154*100,G154/102*2),2)</f>
        <v/>
      </c>
      <c r="M154" s="5" t="n">
        <v>46236.5</v>
      </c>
      <c r="N154" t="inlineStr">
        <is>
          <t>TravelLine ресепшн</t>
        </is>
      </c>
      <c r="O154" s="2" t="inlineStr">
        <is>
          <t>ПОЛУЛЮКС</t>
        </is>
      </c>
      <c r="P154" s="6" t="n"/>
      <c r="R154" t="inlineStr"/>
      <c r="S154" t="inlineStr">
        <is>
          <t>Тариф с завтраком</t>
        </is>
      </c>
      <c r="T154" t="n">
        <v>0</v>
      </c>
      <c r="U154" t="n">
        <v>16500</v>
      </c>
    </row>
    <row r="155">
      <c r="A155" t="inlineStr">
        <is>
          <t>20260829-8186-455908212</t>
        </is>
      </c>
      <c r="B155" t="n">
        <v>1</v>
      </c>
      <c r="C155" s="2" t="inlineStr">
        <is>
          <t>АНДРЕЙ ЖАРОВ, КСЕНИЯ ЖАРОВА</t>
        </is>
      </c>
      <c r="D155" s="3" t="n">
        <v>67284</v>
      </c>
      <c r="E155" s="4" t="n">
        <v>16</v>
      </c>
      <c r="F155" t="inlineStr">
        <is>
          <t>ООО "БРОНИРОВАНИЕ ГОСТИНИЦ" (OSTROVOK) [Чайковский]</t>
        </is>
      </c>
      <c r="G155" s="3">
        <f>ROUND(D155/(100-E155)*100,2)</f>
        <v/>
      </c>
      <c r="H155" s="5" t="n">
        <v>46263.58333333334</v>
      </c>
      <c r="I155" t="n">
        <v>6</v>
      </c>
      <c r="J155" s="3">
        <f>G155/I155</f>
        <v/>
      </c>
      <c r="K155">
        <f>IF(J155&gt;=5100,"ставка","мин.ставка")</f>
        <v/>
      </c>
      <c r="L155" s="3">
        <f>ROUND(IF(K155="мин.ставка",I155*100,G155/102*2),2)</f>
        <v/>
      </c>
      <c r="M155" s="5" t="n">
        <v>46269.5</v>
      </c>
      <c r="N155" t="inlineStr">
        <is>
          <t>TravelLine OTK</t>
        </is>
      </c>
      <c r="O155" s="2" t="inlineStr">
        <is>
          <t>СТАНДАРТНЫЙ ДВУХМЕСТНЫЙ НОМЕР</t>
        </is>
      </c>
      <c r="P155" s="6" t="n"/>
      <c r="R155" t="inlineStr"/>
      <c r="S155" t="inlineStr">
        <is>
          <t>Тариф с завтраком</t>
        </is>
      </c>
      <c r="T155" t="n">
        <v>0</v>
      </c>
      <c r="U155" t="n">
        <v>67284</v>
      </c>
    </row>
    <row r="156">
      <c r="A156" t="inlineStr">
        <is>
          <t>20260729-8186-446530322</t>
        </is>
      </c>
      <c r="B156" t="n">
        <v>1</v>
      </c>
      <c r="C156" s="2" t="inlineStr">
        <is>
          <t>АНДРЕЙ ЖУКОВ, ГЕОРГИЙ БУГЕЛЬСКИЙ</t>
        </is>
      </c>
      <c r="D156" s="3" t="n">
        <v>12015</v>
      </c>
      <c r="E156" s="4" t="n">
        <v>0</v>
      </c>
      <c r="F156" t="inlineStr">
        <is>
          <t>Прямые бронирования (стойка) [Чайковский]</t>
        </is>
      </c>
      <c r="G156" s="3">
        <f>ROUND(D156/(100-E156)*100,2)</f>
        <v/>
      </c>
      <c r="H156" s="5" t="n">
        <v>46232.58333333334</v>
      </c>
      <c r="I156" t="n">
        <v>1</v>
      </c>
      <c r="J156" s="3">
        <f>G156/I156</f>
        <v/>
      </c>
      <c r="K156">
        <f>IF(J156&gt;=5100,"ставка","мин.ставка")</f>
        <v/>
      </c>
      <c r="L156" s="3">
        <f>ROUND(IF(K156="мин.ставка",I156*100,G156/102*2),2)</f>
        <v/>
      </c>
      <c r="M156" s="5" t="n">
        <v>46233.5</v>
      </c>
      <c r="N156" t="inlineStr">
        <is>
          <t>TravelLine ресепшн</t>
        </is>
      </c>
      <c r="O156" s="2" t="inlineStr">
        <is>
          <t>СТАНДАРТНЫЙ ДВУХМЕСТНЫЙ НОМЕР</t>
        </is>
      </c>
      <c r="P156" s="6" t="n"/>
      <c r="R156" t="inlineStr"/>
      <c r="S156" t="inlineStr">
        <is>
          <t>Тариф с завтраком</t>
        </is>
      </c>
      <c r="T156" t="n">
        <v>0</v>
      </c>
      <c r="U156" t="n">
        <v>12015</v>
      </c>
    </row>
    <row r="157">
      <c r="A157" t="inlineStr">
        <is>
          <t>20260701-8186-405717237</t>
        </is>
      </c>
      <c r="B157" t="n">
        <v>1</v>
      </c>
      <c r="C157" s="2" t="inlineStr">
        <is>
          <t>Андрей Зайцев, Наталья Зайцева</t>
        </is>
      </c>
      <c r="D157" s="3" t="n">
        <v>56826</v>
      </c>
      <c r="E157" s="4" t="n">
        <v>18</v>
      </c>
      <c r="F157" t="inlineStr">
        <is>
          <t>Яндекс.Путешествия [Чайковский]</t>
        </is>
      </c>
      <c r="G157" s="3">
        <f>ROUND(D157/(100-E157)*100,2)</f>
        <v/>
      </c>
      <c r="H157" s="5" t="n">
        <v>46204.58333333334</v>
      </c>
      <c r="I157" t="n">
        <v>7</v>
      </c>
      <c r="J157" s="3">
        <f>G157/I157</f>
        <v/>
      </c>
      <c r="K157">
        <f>IF(J157&gt;=5100,"ставка","мин.ставка")</f>
        <v/>
      </c>
      <c r="L157" s="3">
        <f>ROUND(IF(K157="мин.ставка",I157*100,G157/102*2),2)</f>
        <v/>
      </c>
      <c r="M157" s="5" t="n">
        <v>46211.5</v>
      </c>
      <c r="N157" t="inlineStr">
        <is>
          <t>TravelLine YAX</t>
        </is>
      </c>
      <c r="O157" s="2" t="inlineStr">
        <is>
          <t>СТАНДАРТНЫЙ ДВУХМЕСТНЫЙ НОМЕР (МАНСАРДА)</t>
        </is>
      </c>
      <c r="P157" s="6" t="n"/>
      <c r="R157" t="inlineStr"/>
      <c r="S157" t="inlineStr">
        <is>
          <t>Тариф с завтраком</t>
        </is>
      </c>
      <c r="T157" t="n">
        <v>0</v>
      </c>
      <c r="U157" t="n">
        <v>56826</v>
      </c>
    </row>
    <row r="158">
      <c r="A158" t="inlineStr">
        <is>
          <t>20260827-8186-451798611</t>
        </is>
      </c>
      <c r="B158" t="n">
        <v>1</v>
      </c>
      <c r="C158" s="2" t="inlineStr">
        <is>
          <t>Андрей Капралов, Ксения Ким</t>
        </is>
      </c>
      <c r="D158" s="3" t="n">
        <v>24640</v>
      </c>
      <c r="E158" s="4" t="n">
        <v>20</v>
      </c>
      <c r="F158" t="inlineStr">
        <is>
          <t>ООО "УК ГЦБ и Т" [Чайковский]</t>
        </is>
      </c>
      <c r="G158" s="3">
        <f>ROUND(D158/(100-E158)*100,2)</f>
        <v/>
      </c>
      <c r="H158" s="5" t="n">
        <v>46261.58333333334</v>
      </c>
      <c r="I158" t="n">
        <v>4</v>
      </c>
      <c r="J158" s="3">
        <f>G158/I158</f>
        <v/>
      </c>
      <c r="K158">
        <f>IF(J158&gt;=5100,"ставка","мин.ставка")</f>
        <v/>
      </c>
      <c r="L158" s="3">
        <f>ROUND(IF(K158="мин.ставка",I158*100,G158/102*2),2)</f>
        <v/>
      </c>
      <c r="M158" s="5" t="n">
        <v>46265.5</v>
      </c>
      <c r="N158" t="inlineStr">
        <is>
          <t>TravelLine CBC</t>
        </is>
      </c>
      <c r="O158" s="2" t="inlineStr">
        <is>
          <t>УЛУЧШЕННЫЙ ДВУХМЕСТНЫЙ НОМЕР</t>
        </is>
      </c>
      <c r="P158" s="6" t="n"/>
      <c r="R158" t="inlineStr"/>
      <c r="S158" t="inlineStr">
        <is>
          <t>Тариф с завтраком</t>
        </is>
      </c>
      <c r="T158" t="n">
        <v>30800</v>
      </c>
      <c r="U158" t="n">
        <v>55440</v>
      </c>
    </row>
    <row r="159">
      <c r="A159" t="inlineStr">
        <is>
          <t>20260807-8186-441275849</t>
        </is>
      </c>
      <c r="B159" t="n">
        <v>1</v>
      </c>
      <c r="C159" s="2" t="inlineStr">
        <is>
          <t>Андрей Кирюхин, Анастасия Кирюхина</t>
        </is>
      </c>
      <c r="D159" s="3" t="n">
        <v>26499.75</v>
      </c>
      <c r="E159" s="4" t="n">
        <v>4</v>
      </c>
      <c r="F159" t="inlineStr">
        <is>
          <t>TravelLine Booking Engine [Чайковский]</t>
        </is>
      </c>
      <c r="G159" s="3">
        <f>ROUND(D159/(100-E159)*100,2)</f>
        <v/>
      </c>
      <c r="H159" s="5" t="n">
        <v>46241.58333333334</v>
      </c>
      <c r="I159" t="n">
        <v>2</v>
      </c>
      <c r="J159" s="3">
        <f>G159/I159</f>
        <v/>
      </c>
      <c r="K159">
        <f>IF(J159&gt;=5100,"ставка","мин.ставка")</f>
        <v/>
      </c>
      <c r="L159" s="3">
        <f>ROUND(IF(K159="мин.ставка",I159*100,G159/102*2),2)</f>
        <v/>
      </c>
      <c r="M159" s="5" t="n">
        <v>46243.5</v>
      </c>
      <c r="N159" t="inlineStr">
        <is>
          <t>TravelLine сайт</t>
        </is>
      </c>
      <c r="O159" s="2" t="inlineStr">
        <is>
          <t>СТАНДАРТНЫЙ ДВУХМЕСТНЫЙ НОМЕР</t>
        </is>
      </c>
      <c r="P159" s="6" t="n"/>
      <c r="R159" t="inlineStr"/>
      <c r="S159" t="inlineStr">
        <is>
          <t>Тариф с завтраком</t>
        </is>
      </c>
      <c r="T159" t="n">
        <v>0</v>
      </c>
      <c r="U159" t="n">
        <v>26499.75</v>
      </c>
    </row>
    <row r="160">
      <c r="A160" t="inlineStr">
        <is>
          <t>20260817-8186-456950526</t>
        </is>
      </c>
      <c r="B160" t="n">
        <v>1</v>
      </c>
      <c r="C160" s="2" t="inlineStr">
        <is>
          <t>Андрей Красавцев</t>
        </is>
      </c>
      <c r="D160" s="3" t="n">
        <v>11350</v>
      </c>
      <c r="E160" s="4" t="n">
        <v>0</v>
      </c>
      <c r="F160" t="inlineStr">
        <is>
          <t>Прямые бронирования (стойка) [Чайковский]</t>
        </is>
      </c>
      <c r="G160" s="3">
        <f>ROUND(D160/(100-E160)*100,2)</f>
        <v/>
      </c>
      <c r="H160" s="5" t="n">
        <v>46251.58333333334</v>
      </c>
      <c r="I160" t="n">
        <v>1</v>
      </c>
      <c r="J160" s="3">
        <f>G160/I160</f>
        <v/>
      </c>
      <c r="K160">
        <f>IF(J160&gt;=5100,"ставка","мин.ставка")</f>
        <v/>
      </c>
      <c r="L160" s="3">
        <f>ROUND(IF(K160="мин.ставка",I160*100,G160/102*2),2)</f>
        <v/>
      </c>
      <c r="M160" s="5" t="n">
        <v>46252.5</v>
      </c>
      <c r="N160" t="inlineStr">
        <is>
          <t>TravelLine ресепшн</t>
        </is>
      </c>
      <c r="O160" s="2" t="inlineStr">
        <is>
          <t>СТАНДАРТНЫЙ ДВУХМЕСТНЫЙ НОМЕР</t>
        </is>
      </c>
      <c r="P160" s="6" t="n"/>
      <c r="R160" t="inlineStr"/>
      <c r="S160" t="inlineStr">
        <is>
          <t>Тариф с завтраком</t>
        </is>
      </c>
      <c r="T160" t="n">
        <v>0</v>
      </c>
      <c r="U160" t="n">
        <v>11350</v>
      </c>
    </row>
    <row r="161">
      <c r="A161" t="inlineStr">
        <is>
          <t>20260722-8186-452174809</t>
        </is>
      </c>
      <c r="B161" t="n">
        <v>1</v>
      </c>
      <c r="C161" s="2" t="inlineStr">
        <is>
          <t>Андрей Лукашенко</t>
        </is>
      </c>
      <c r="D161" s="3" t="n">
        <v>24310</v>
      </c>
      <c r="E161" s="4" t="n">
        <v>15</v>
      </c>
      <c r="F161" t="inlineStr">
        <is>
          <t>ООО "БРОНИРОВАНИЕ ГОСТИНИЦ" (OSTROVOK) [Чайковский]</t>
        </is>
      </c>
      <c r="G161" s="3">
        <f>ROUND(D161/(100-E161)*100,2)</f>
        <v/>
      </c>
      <c r="H161" s="5" t="n">
        <v>46225.58333333334</v>
      </c>
      <c r="I161" t="n">
        <v>2</v>
      </c>
      <c r="J161" s="3">
        <f>G161/I161</f>
        <v/>
      </c>
      <c r="K161">
        <f>IF(J161&gt;=5100,"ставка","мин.ставка")</f>
        <v/>
      </c>
      <c r="L161" s="3">
        <f>ROUND(IF(K161="мин.ставка",I161*100,G161/102*2),2)</f>
        <v/>
      </c>
      <c r="M161" s="5" t="n">
        <v>46227.5</v>
      </c>
      <c r="N161" t="inlineStr">
        <is>
          <t>TravelLine OTK</t>
        </is>
      </c>
      <c r="O161" s="2" t="inlineStr">
        <is>
          <t>ЛЮКС ВТОРОЙ КОРПУС</t>
        </is>
      </c>
      <c r="P161" s="6" t="n"/>
      <c r="R161" t="inlineStr"/>
      <c r="S161" t="inlineStr">
        <is>
          <t>Основной тариф без завтрака</t>
        </is>
      </c>
      <c r="T161" t="n">
        <v>0</v>
      </c>
      <c r="U161" t="n">
        <v>24310</v>
      </c>
    </row>
    <row r="162">
      <c r="A162" t="inlineStr">
        <is>
          <t>20260726-8186-453324720</t>
        </is>
      </c>
      <c r="B162" t="n">
        <v>1</v>
      </c>
      <c r="C162" s="2" t="inlineStr">
        <is>
          <t>Андрей Лукашенко</t>
        </is>
      </c>
      <c r="D162" s="3" t="n">
        <v>28050</v>
      </c>
      <c r="E162" s="4" t="n">
        <v>15</v>
      </c>
      <c r="F162" t="inlineStr">
        <is>
          <t>ООО "БРОНИРОВАНИЕ ГОСТИНИЦ" (OSTROVOK) [Чайковский]</t>
        </is>
      </c>
      <c r="G162" s="3">
        <f>ROUND(D162/(100-E162)*100,2)</f>
        <v/>
      </c>
      <c r="H162" s="5" t="n">
        <v>46229.58333333334</v>
      </c>
      <c r="I162" t="n">
        <v>3</v>
      </c>
      <c r="J162" s="3">
        <f>G162/I162</f>
        <v/>
      </c>
      <c r="K162">
        <f>IF(J162&gt;=5100,"ставка","мин.ставка")</f>
        <v/>
      </c>
      <c r="L162" s="3">
        <f>ROUND(IF(K162="мин.ставка",I162*100,G162/102*2),2)</f>
        <v/>
      </c>
      <c r="M162" s="5" t="n">
        <v>46232.5</v>
      </c>
      <c r="N162" t="inlineStr">
        <is>
          <t>TravelLine OTK</t>
        </is>
      </c>
      <c r="O162" s="2" t="inlineStr">
        <is>
          <t>ЛЮКС ВТОРОЙ КОРПУС</t>
        </is>
      </c>
      <c r="P162" s="6" t="n"/>
      <c r="R162" t="inlineStr"/>
      <c r="S162" t="inlineStr">
        <is>
          <t>Основной тариф без завтрака</t>
        </is>
      </c>
      <c r="T162" t="n">
        <v>0</v>
      </c>
      <c r="U162" t="n">
        <v>28050</v>
      </c>
    </row>
    <row r="163">
      <c r="A163" t="inlineStr">
        <is>
          <t>20260920-8186-466531471</t>
        </is>
      </c>
      <c r="B163" t="n">
        <v>1</v>
      </c>
      <c r="C163" s="2" t="inlineStr">
        <is>
          <t>Андрей Машков</t>
        </is>
      </c>
      <c r="D163" s="3" t="n">
        <v>13090</v>
      </c>
      <c r="E163" s="4" t="n">
        <v>15</v>
      </c>
      <c r="F163" t="inlineStr">
        <is>
          <t>ООО Тинькофф Путешествия [Чайковский]</t>
        </is>
      </c>
      <c r="G163" s="3">
        <f>ROUND(D163/(100-E163)*100,2)</f>
        <v/>
      </c>
      <c r="H163" s="5" t="n">
        <v>46285.75</v>
      </c>
      <c r="I163" t="n">
        <v>2</v>
      </c>
      <c r="J163" s="3">
        <f>G163/I163</f>
        <v/>
      </c>
      <c r="K163">
        <f>IF(J163&gt;=5100,"ставка","мин.ставка")</f>
        <v/>
      </c>
      <c r="L163" s="3">
        <f>ROUND(IF(K163="мин.ставка",I163*100,G163/102*2),2)</f>
        <v/>
      </c>
      <c r="M163" s="5" t="n">
        <v>46287.5</v>
      </c>
      <c r="N163" t="inlineStr">
        <is>
          <t>TravelLine TNK</t>
        </is>
      </c>
      <c r="O163" s="2" t="inlineStr">
        <is>
          <t>СТАНДАРТНЫЙ ОДНОМЕСТНЫЙ НОМЕР</t>
        </is>
      </c>
      <c r="P163" s="6" t="n"/>
      <c r="R163" t="inlineStr"/>
      <c r="S163" t="inlineStr">
        <is>
          <t>Тариф с завтраком</t>
        </is>
      </c>
      <c r="T163" t="n">
        <v>0</v>
      </c>
      <c r="U163" t="n">
        <v>13090</v>
      </c>
    </row>
    <row r="164">
      <c r="A164" t="inlineStr">
        <is>
          <t>20260720-8186-451695475</t>
        </is>
      </c>
      <c r="B164" t="n">
        <v>1</v>
      </c>
      <c r="C164" s="2" t="inlineStr">
        <is>
          <t>АНДРЕЙ МОХНОВ</t>
        </is>
      </c>
      <c r="D164" s="3" t="n">
        <v>14240</v>
      </c>
      <c r="E164" s="4" t="n">
        <v>0</v>
      </c>
      <c r="F164" t="inlineStr">
        <is>
          <t>Прямые бронирования (стойка) [Чайковский]</t>
        </is>
      </c>
      <c r="G164" s="3">
        <f>ROUND(D164/(100-E164)*100,2)</f>
        <v/>
      </c>
      <c r="H164" s="5" t="n">
        <v>46223.58333333334</v>
      </c>
      <c r="I164" t="n">
        <v>1</v>
      </c>
      <c r="J164" s="3">
        <f>G164/I164</f>
        <v/>
      </c>
      <c r="K164">
        <f>IF(J164&gt;=5100,"ставка","мин.ставка")</f>
        <v/>
      </c>
      <c r="L164" s="3">
        <f>ROUND(IF(K164="мин.ставка",I164*100,G164/102*2),2)</f>
        <v/>
      </c>
      <c r="M164" s="5" t="n">
        <v>46224.5</v>
      </c>
      <c r="N164" t="inlineStr">
        <is>
          <t>TravelLine ресепшн</t>
        </is>
      </c>
      <c r="O164" s="2" t="inlineStr">
        <is>
          <t>ЛЮКС ВТОРОЙ КОРПУС</t>
        </is>
      </c>
      <c r="P164" s="6" t="n"/>
      <c r="R164" t="inlineStr"/>
      <c r="S164" t="inlineStr">
        <is>
          <t>Тариф с завтраком</t>
        </is>
      </c>
      <c r="T164" t="n">
        <v>0</v>
      </c>
      <c r="U164" t="n">
        <v>14240</v>
      </c>
    </row>
    <row r="165">
      <c r="A165" t="inlineStr">
        <is>
          <t>20260727-8186-453604137</t>
        </is>
      </c>
      <c r="B165" t="n">
        <v>1</v>
      </c>
      <c r="C165" s="2" t="inlineStr">
        <is>
          <t>Андрей Мохнов</t>
        </is>
      </c>
      <c r="D165" s="3" t="n">
        <v>14240</v>
      </c>
      <c r="E165" s="4" t="n">
        <v>0</v>
      </c>
      <c r="F165" t="inlineStr">
        <is>
          <t>Прямые бронирования (стойка) [Чайковский]</t>
        </is>
      </c>
      <c r="G165" s="3">
        <f>ROUND(D165/(100-E165)*100,2)</f>
        <v/>
      </c>
      <c r="H165" s="5" t="n">
        <v>46230.58333333334</v>
      </c>
      <c r="I165" t="n">
        <v>1</v>
      </c>
      <c r="J165" s="3">
        <f>G165/I165</f>
        <v/>
      </c>
      <c r="K165">
        <f>IF(J165&gt;=5100,"ставка","мин.ставка")</f>
        <v/>
      </c>
      <c r="L165" s="3">
        <f>ROUND(IF(K165="мин.ставка",I165*100,G165/102*2),2)</f>
        <v/>
      </c>
      <c r="M165" s="5" t="n">
        <v>46231.5</v>
      </c>
      <c r="N165" t="inlineStr">
        <is>
          <t>TravelLine ресепшн</t>
        </is>
      </c>
      <c r="O165" s="2" t="inlineStr">
        <is>
          <t>ЛЮКС ВТОРОЙ КОРПУС</t>
        </is>
      </c>
      <c r="P165" s="6" t="n"/>
      <c r="R165" t="inlineStr"/>
      <c r="S165" t="inlineStr">
        <is>
          <t>Тариф с завтраком</t>
        </is>
      </c>
      <c r="T165" t="n">
        <v>0</v>
      </c>
      <c r="U165" t="n">
        <v>14240</v>
      </c>
    </row>
    <row r="166">
      <c r="A166" t="inlineStr">
        <is>
          <t>20260803-8186-454362212</t>
        </is>
      </c>
      <c r="B166" t="n">
        <v>1</v>
      </c>
      <c r="C166" s="2" t="inlineStr">
        <is>
          <t>андрей мохнов</t>
        </is>
      </c>
      <c r="D166" s="3" t="n">
        <v>14240</v>
      </c>
      <c r="E166" s="4" t="n">
        <v>0</v>
      </c>
      <c r="F166" t="inlineStr">
        <is>
          <t>Прямые бронирования (стойка) [Чайковский]</t>
        </is>
      </c>
      <c r="G166" s="3">
        <f>ROUND(D166/(100-E166)*100,2)</f>
        <v/>
      </c>
      <c r="H166" s="5" t="n">
        <v>46237.58333333334</v>
      </c>
      <c r="I166" t="n">
        <v>1</v>
      </c>
      <c r="J166" s="3">
        <f>G166/I166</f>
        <v/>
      </c>
      <c r="K166">
        <f>IF(J166&gt;=5100,"ставка","мин.ставка")</f>
        <v/>
      </c>
      <c r="L166" s="3">
        <f>ROUND(IF(K166="мин.ставка",I166*100,G166/102*2),2)</f>
        <v/>
      </c>
      <c r="M166" s="5" t="n">
        <v>46238.5</v>
      </c>
      <c r="N166" t="inlineStr">
        <is>
          <t>TravelLine ресепшн</t>
        </is>
      </c>
      <c r="O166" s="2" t="inlineStr">
        <is>
          <t>ЛЮКС ВТОРОЙ КОРПУС</t>
        </is>
      </c>
      <c r="P166" s="6" t="n"/>
      <c r="R166" t="inlineStr"/>
      <c r="S166" t="inlineStr">
        <is>
          <t>Тариф с завтраком</t>
        </is>
      </c>
      <c r="T166" t="n">
        <v>0</v>
      </c>
      <c r="U166" t="n">
        <v>14240</v>
      </c>
    </row>
    <row r="167">
      <c r="A167" t="inlineStr">
        <is>
          <t>20260810-8186-457354060</t>
        </is>
      </c>
      <c r="B167" t="n">
        <v>1</v>
      </c>
      <c r="C167" s="2" t="inlineStr">
        <is>
          <t>андрей мохнов</t>
        </is>
      </c>
      <c r="D167" s="3" t="n">
        <v>14240</v>
      </c>
      <c r="E167" s="4" t="n">
        <v>0</v>
      </c>
      <c r="F167" t="inlineStr">
        <is>
          <t>Прямые бронирования (стойка) [Чайковский]</t>
        </is>
      </c>
      <c r="G167" s="3">
        <f>ROUND(D167/(100-E167)*100,2)</f>
        <v/>
      </c>
      <c r="H167" s="5" t="n">
        <v>46244.58333333334</v>
      </c>
      <c r="I167" t="n">
        <v>1</v>
      </c>
      <c r="J167" s="3">
        <f>G167/I167</f>
        <v/>
      </c>
      <c r="K167">
        <f>IF(J167&gt;=5100,"ставка","мин.ставка")</f>
        <v/>
      </c>
      <c r="L167" s="3">
        <f>ROUND(IF(K167="мин.ставка",I167*100,G167/102*2),2)</f>
        <v/>
      </c>
      <c r="M167" s="5" t="n">
        <v>46245.5</v>
      </c>
      <c r="N167" t="inlineStr">
        <is>
          <t>TravelLine ресепшн</t>
        </is>
      </c>
      <c r="O167" s="2" t="inlineStr">
        <is>
          <t>ЛЮКС ВТОРОЙ КОРПУС</t>
        </is>
      </c>
      <c r="P167" s="6" t="n"/>
      <c r="R167" t="inlineStr"/>
      <c r="S167" t="inlineStr">
        <is>
          <t>Тариф с завтраком</t>
        </is>
      </c>
      <c r="T167" t="n">
        <v>0</v>
      </c>
      <c r="U167" t="n">
        <v>14240</v>
      </c>
    </row>
    <row r="168">
      <c r="A168" t="inlineStr">
        <is>
          <t>20260817-8186-459203359</t>
        </is>
      </c>
      <c r="B168" t="n">
        <v>1</v>
      </c>
      <c r="C168" s="2" t="inlineStr">
        <is>
          <t>Андрей Мохнов</t>
        </is>
      </c>
      <c r="D168" s="3" t="n">
        <v>9080</v>
      </c>
      <c r="E168" s="4" t="n">
        <v>0</v>
      </c>
      <c r="F168" t="inlineStr">
        <is>
          <t>Прямые бронирования (стойка) [Чайковский]</t>
        </is>
      </c>
      <c r="G168" s="3">
        <f>ROUND(D168/(100-E168)*100,2)</f>
        <v/>
      </c>
      <c r="H168" s="5" t="n">
        <v>46251.58333333334</v>
      </c>
      <c r="I168" t="n">
        <v>1</v>
      </c>
      <c r="J168" s="3">
        <f>G168/I168</f>
        <v/>
      </c>
      <c r="K168">
        <f>IF(J168&gt;=5100,"ставка","мин.ставка")</f>
        <v/>
      </c>
      <c r="L168" s="3">
        <f>ROUND(IF(K168="мин.ставка",I168*100,G168/102*2),2)</f>
        <v/>
      </c>
      <c r="M168" s="5" t="n">
        <v>46252.5</v>
      </c>
      <c r="N168" t="inlineStr">
        <is>
          <t>TravelLine ресепшн</t>
        </is>
      </c>
      <c r="O168" s="2" t="inlineStr">
        <is>
          <t>СТАНДАРТНЫЙ ДВУХМЕСТНЫЙ НОМЕР</t>
        </is>
      </c>
      <c r="P168" s="6" t="n"/>
      <c r="R168" t="inlineStr"/>
      <c r="S168" t="inlineStr">
        <is>
          <t>Тариф с завтраком</t>
        </is>
      </c>
      <c r="T168" t="n">
        <v>0</v>
      </c>
      <c r="U168" t="n">
        <v>9080</v>
      </c>
    </row>
    <row r="169">
      <c r="A169" t="inlineStr">
        <is>
          <t>20260903-8186-463391238</t>
        </is>
      </c>
      <c r="B169" t="n">
        <v>1</v>
      </c>
      <c r="C169" s="2" t="inlineStr">
        <is>
          <t>андрей мохнов</t>
        </is>
      </c>
      <c r="D169" s="3" t="n">
        <v>14240</v>
      </c>
      <c r="E169" s="4" t="n">
        <v>0</v>
      </c>
      <c r="F169" t="inlineStr">
        <is>
          <t>Прямые бронирования (стойка) [Чайковский]</t>
        </is>
      </c>
      <c r="G169" s="3">
        <f>ROUND(D169/(100-E169)*100,2)</f>
        <v/>
      </c>
      <c r="H169" s="5" t="n">
        <v>46268.58333333334</v>
      </c>
      <c r="I169" t="n">
        <v>1</v>
      </c>
      <c r="J169" s="3">
        <f>G169/I169</f>
        <v/>
      </c>
      <c r="K169">
        <f>IF(J169&gt;=5100,"ставка","мин.ставка")</f>
        <v/>
      </c>
      <c r="L169" s="3">
        <f>ROUND(IF(K169="мин.ставка",I169*100,G169/102*2),2)</f>
        <v/>
      </c>
      <c r="M169" s="5" t="n">
        <v>46269.5</v>
      </c>
      <c r="N169" t="inlineStr">
        <is>
          <t>TravelLine ресепшн</t>
        </is>
      </c>
      <c r="O169" s="2" t="inlineStr">
        <is>
          <t>ЛЮКС ВТОРОЙ КОРПУС</t>
        </is>
      </c>
      <c r="P169" s="6" t="n"/>
      <c r="R169" t="inlineStr"/>
      <c r="S169" t="inlineStr">
        <is>
          <t>Тариф с завтраком</t>
        </is>
      </c>
      <c r="T169" t="n">
        <v>0</v>
      </c>
      <c r="U169" t="n">
        <v>14240</v>
      </c>
    </row>
    <row r="170">
      <c r="A170" t="inlineStr">
        <is>
          <t>20260907-8186-464277168</t>
        </is>
      </c>
      <c r="B170" t="n">
        <v>1</v>
      </c>
      <c r="C170" s="2" t="inlineStr">
        <is>
          <t>андрей мохнов</t>
        </is>
      </c>
      <c r="D170" s="3" t="n">
        <v>14240</v>
      </c>
      <c r="E170" s="4" t="n">
        <v>0</v>
      </c>
      <c r="F170" t="inlineStr">
        <is>
          <t>Прямые бронирования (стойка) [Чайковский]</t>
        </is>
      </c>
      <c r="G170" s="3">
        <f>ROUND(D170/(100-E170)*100,2)</f>
        <v/>
      </c>
      <c r="H170" s="5" t="n">
        <v>46272.58333333334</v>
      </c>
      <c r="I170" t="n">
        <v>1</v>
      </c>
      <c r="J170" s="3">
        <f>G170/I170</f>
        <v/>
      </c>
      <c r="K170">
        <f>IF(J170&gt;=5100,"ставка","мин.ставка")</f>
        <v/>
      </c>
      <c r="L170" s="3">
        <f>ROUND(IF(K170="мин.ставка",I170*100,G170/102*2),2)</f>
        <v/>
      </c>
      <c r="M170" s="5" t="n">
        <v>46273.5</v>
      </c>
      <c r="N170" t="inlineStr">
        <is>
          <t>TravelLine ресепшн</t>
        </is>
      </c>
      <c r="O170" s="2" t="inlineStr">
        <is>
          <t>ЛЮКС ВТОРОЙ КОРПУС</t>
        </is>
      </c>
      <c r="P170" s="6" t="n"/>
      <c r="R170" t="inlineStr"/>
      <c r="S170" t="inlineStr">
        <is>
          <t>Тариф с завтраком</t>
        </is>
      </c>
      <c r="T170" t="n">
        <v>0</v>
      </c>
      <c r="U170" t="n">
        <v>14240</v>
      </c>
    </row>
    <row r="171">
      <c r="A171" t="inlineStr">
        <is>
          <t>20260914-8186-465856722</t>
        </is>
      </c>
      <c r="B171" t="n">
        <v>1</v>
      </c>
      <c r="C171" s="2" t="inlineStr">
        <is>
          <t>Андрей МОХНОВ</t>
        </is>
      </c>
      <c r="D171" s="3" t="n">
        <v>9960</v>
      </c>
      <c r="E171" s="4" t="n">
        <v>0</v>
      </c>
      <c r="F171" t="inlineStr">
        <is>
          <t>Прямые бронирования (стойка) [Чайковский]</t>
        </is>
      </c>
      <c r="G171" s="3">
        <f>ROUND(D171/(100-E171)*100,2)</f>
        <v/>
      </c>
      <c r="H171" s="5" t="n">
        <v>46279.58333333334</v>
      </c>
      <c r="I171" t="n">
        <v>1</v>
      </c>
      <c r="J171" s="3">
        <f>G171/I171</f>
        <v/>
      </c>
      <c r="K171">
        <f>IF(J171&gt;=5100,"ставка","мин.ставка")</f>
        <v/>
      </c>
      <c r="L171" s="3">
        <f>ROUND(IF(K171="мин.ставка",I171*100,G171/102*2),2)</f>
        <v/>
      </c>
      <c r="M171" s="5" t="n">
        <v>46280.5</v>
      </c>
      <c r="N171" t="inlineStr">
        <is>
          <t>TravelLine ресепшн</t>
        </is>
      </c>
      <c r="O171" s="2" t="inlineStr">
        <is>
          <t>СЕМЕЙНЫЙ НОМЕР КАТЕГОРИИ "СТАНДАРТ" ВТОРОЙ КОРПУС</t>
        </is>
      </c>
      <c r="P171" s="6" t="n"/>
      <c r="R171" t="inlineStr"/>
      <c r="S171" t="inlineStr">
        <is>
          <t>Тариф с завтраком</t>
        </is>
      </c>
      <c r="T171" t="n">
        <v>0</v>
      </c>
      <c r="U171" t="n">
        <v>9960</v>
      </c>
    </row>
    <row r="172">
      <c r="A172" t="inlineStr">
        <is>
          <t>20260817-8186-454348210</t>
        </is>
      </c>
      <c r="B172" t="n">
        <v>1</v>
      </c>
      <c r="C172" s="2" t="inlineStr">
        <is>
          <t>Андрей Назарьев</t>
        </is>
      </c>
      <c r="D172" s="3" t="n">
        <v>47560</v>
      </c>
      <c r="E172" s="4" t="n">
        <v>18</v>
      </c>
      <c r="F172" t="inlineStr">
        <is>
          <t>ООО "Эй энд Эй" [Чайковский]</t>
        </is>
      </c>
      <c r="G172" s="3">
        <f>ROUND(D172/(100-E172)*100,2)</f>
        <v/>
      </c>
      <c r="H172" s="5" t="n">
        <v>46251.58333333334</v>
      </c>
      <c r="I172" t="n">
        <v>4</v>
      </c>
      <c r="J172" s="3">
        <f>G172/I172</f>
        <v/>
      </c>
      <c r="K172">
        <f>IF(J172&gt;=5100,"ставка","мин.ставка")</f>
        <v/>
      </c>
      <c r="L172" s="3">
        <f>ROUND(IF(K172="мин.ставка",I172*100,G172/102*2),2)</f>
        <v/>
      </c>
      <c r="M172" s="5" t="n">
        <v>46255.5</v>
      </c>
      <c r="N172" t="inlineStr">
        <is>
          <t>TravelLine ANA</t>
        </is>
      </c>
      <c r="O172" s="2" t="inlineStr">
        <is>
          <t>ПОЛУЛЮКС</t>
        </is>
      </c>
      <c r="P172" s="6" t="n"/>
      <c r="R172" t="inlineStr"/>
      <c r="S172" t="inlineStr">
        <is>
          <t>Тариф с завтраком</t>
        </is>
      </c>
      <c r="T172" t="n">
        <v>0</v>
      </c>
      <c r="U172" t="n">
        <v>47560</v>
      </c>
    </row>
    <row r="173">
      <c r="A173" t="inlineStr">
        <is>
          <t>20260713-8186-448221235</t>
        </is>
      </c>
      <c r="B173" t="n">
        <v>1</v>
      </c>
      <c r="C173" s="2" t="inlineStr">
        <is>
          <t>Андрей Оклеев</t>
        </is>
      </c>
      <c r="D173" s="3" t="n">
        <v>45400</v>
      </c>
      <c r="E173" s="4" t="n">
        <v>4</v>
      </c>
      <c r="F173" t="inlineStr">
        <is>
          <t>TravelLine Booking Engine [Чайковский]</t>
        </is>
      </c>
      <c r="G173" s="3">
        <f>ROUND(D173/(100-E173)*100,2)</f>
        <v/>
      </c>
      <c r="H173" s="5" t="n">
        <v>46216.58333333334</v>
      </c>
      <c r="I173" t="n">
        <v>4</v>
      </c>
      <c r="J173" s="3">
        <f>G173/I173</f>
        <v/>
      </c>
      <c r="K173">
        <f>IF(J173&gt;=5100,"ставка","мин.ставка")</f>
        <v/>
      </c>
      <c r="L173" s="3">
        <f>ROUND(IF(K173="мин.ставка",I173*100,G173/102*2),2)</f>
        <v/>
      </c>
      <c r="M173" s="5" t="n">
        <v>46220.5</v>
      </c>
      <c r="N173" t="inlineStr">
        <is>
          <t>TravelLine сайт</t>
        </is>
      </c>
      <c r="O173" s="2" t="inlineStr">
        <is>
          <t>СТАНДАРТНЫЙ ДВУХМЕСТНЫЙ НОМЕР</t>
        </is>
      </c>
      <c r="P173" s="6" t="n"/>
      <c r="R173" t="inlineStr"/>
      <c r="S173" t="inlineStr">
        <is>
          <t>Тариф с завтраком</t>
        </is>
      </c>
      <c r="T173" t="n">
        <v>0</v>
      </c>
      <c r="U173" t="n">
        <v>90800</v>
      </c>
    </row>
    <row r="174">
      <c r="A174" t="inlineStr">
        <is>
          <t>20260817-8186-436077872</t>
        </is>
      </c>
      <c r="B174" t="n">
        <v>1</v>
      </c>
      <c r="C174" s="2" t="inlineStr">
        <is>
          <t>Андрей Полежаев, ТАТЬЯНА ПОЛЕЖАЕВА</t>
        </is>
      </c>
      <c r="D174" s="3" t="n">
        <v>9593.1</v>
      </c>
      <c r="E174" s="4" t="n">
        <v>4</v>
      </c>
      <c r="F174" t="inlineStr">
        <is>
          <t>TravelLine Booking Engine [Чайковский]</t>
        </is>
      </c>
      <c r="G174" s="3">
        <f>ROUND(D174/(100-E174)*100,2)</f>
        <v/>
      </c>
      <c r="H174" s="5" t="n">
        <v>46251.58333333334</v>
      </c>
      <c r="I174" t="n">
        <v>1</v>
      </c>
      <c r="J174" s="3">
        <f>G174/I174</f>
        <v/>
      </c>
      <c r="K174">
        <f>IF(J174&gt;=5100,"ставка","мин.ставка")</f>
        <v/>
      </c>
      <c r="L174" s="3">
        <f>ROUND(IF(K174="мин.ставка",I174*100,G174/102*2),2)</f>
        <v/>
      </c>
      <c r="M174" s="5" t="n">
        <v>46252.5</v>
      </c>
      <c r="N174" t="inlineStr">
        <is>
          <t>TravelLine сайт</t>
        </is>
      </c>
      <c r="O174" s="2" t="inlineStr">
        <is>
          <t>СТАНДАРТНЫЙ ДВУХМЕСТНЫЙ НОМЕР (МАНСАРДА)</t>
        </is>
      </c>
      <c r="P174" s="6" t="n"/>
      <c r="R174" t="inlineStr"/>
      <c r="S174" t="inlineStr">
        <is>
          <t>Тариф с завтраком</t>
        </is>
      </c>
      <c r="T174" t="n">
        <v>0</v>
      </c>
      <c r="U174" t="n">
        <v>9593.1</v>
      </c>
    </row>
    <row r="175">
      <c r="A175" t="inlineStr">
        <is>
          <t>20260908-8186-456428265</t>
        </is>
      </c>
      <c r="B175" t="n">
        <v>1</v>
      </c>
      <c r="C175" s="2" t="inlineStr">
        <is>
          <t>Андрей Ренжин</t>
        </is>
      </c>
      <c r="D175" s="3" t="n">
        <v>67000</v>
      </c>
      <c r="E175" s="4" t="n">
        <v>0</v>
      </c>
      <c r="F175" t="inlineStr">
        <is>
          <t>Прямые бронирования (стойка) [Чайковский]</t>
        </is>
      </c>
      <c r="G175" s="3">
        <f>ROUND(D175/(100-E175)*100,2)</f>
        <v/>
      </c>
      <c r="H175" s="5" t="n">
        <v>46273.58333333334</v>
      </c>
      <c r="I175" t="n">
        <v>5</v>
      </c>
      <c r="J175" s="3">
        <f>G175/I175</f>
        <v/>
      </c>
      <c r="K175">
        <f>IF(J175&gt;=5100,"ставка","мин.ставка")</f>
        <v/>
      </c>
      <c r="L175" s="3">
        <f>ROUND(IF(K175="мин.ставка",I175*100,G175/102*2),2)</f>
        <v/>
      </c>
      <c r="M175" s="5" t="n">
        <v>46278.5</v>
      </c>
      <c r="N175" t="inlineStr">
        <is>
          <t>TravelLine ресепшн</t>
        </is>
      </c>
      <c r="O175" s="2" t="inlineStr">
        <is>
          <t>УЛУЧШЕННЫЙ ДВУХМЕСТНЫЙ НОМЕР</t>
        </is>
      </c>
      <c r="P175" s="6" t="n"/>
      <c r="R175" t="inlineStr"/>
      <c r="S175" t="inlineStr">
        <is>
          <t>Тариф с завтраком</t>
        </is>
      </c>
      <c r="T175" t="n">
        <v>1300</v>
      </c>
      <c r="U175" t="n">
        <v>68300</v>
      </c>
    </row>
    <row r="176">
      <c r="A176" t="inlineStr">
        <is>
          <t>20260829-8186-457112567</t>
        </is>
      </c>
      <c r="B176" t="n">
        <v>1</v>
      </c>
      <c r="C176" s="2" t="inlineStr">
        <is>
          <t>Андрей Садовский, Софья Садовская</t>
        </is>
      </c>
      <c r="D176" s="3" t="n">
        <v>22161</v>
      </c>
      <c r="E176" s="4" t="n">
        <v>18</v>
      </c>
      <c r="F176" t="inlineStr">
        <is>
          <t>Яндекс.Путешествия [Чайковский]</t>
        </is>
      </c>
      <c r="G176" s="3">
        <f>ROUND(D176/(100-E176)*100,2)</f>
        <v/>
      </c>
      <c r="H176" s="5" t="n">
        <v>46263.58333333334</v>
      </c>
      <c r="I176" t="n">
        <v>2</v>
      </c>
      <c r="J176" s="3">
        <f>G176/I176</f>
        <v/>
      </c>
      <c r="K176">
        <f>IF(J176&gt;=5100,"ставка","мин.ставка")</f>
        <v/>
      </c>
      <c r="L176" s="3">
        <f>ROUND(IF(K176="мин.ставка",I176*100,G176/102*2),2)</f>
        <v/>
      </c>
      <c r="M176" s="5" t="n">
        <v>46265.5</v>
      </c>
      <c r="N176" t="inlineStr">
        <is>
          <t>TravelLine YAX</t>
        </is>
      </c>
      <c r="O176" s="2" t="inlineStr">
        <is>
          <t>СТАНДАРТНЫЙ ДВУХМЕСТНЫЙ НОМЕР</t>
        </is>
      </c>
      <c r="P176" s="6" t="n"/>
      <c r="R176" t="inlineStr"/>
      <c r="S176" t="inlineStr">
        <is>
          <t>Тариф с завтраком</t>
        </is>
      </c>
      <c r="T176" t="n">
        <v>0</v>
      </c>
      <c r="U176" t="n">
        <v>22161</v>
      </c>
    </row>
    <row r="177">
      <c r="A177" t="inlineStr">
        <is>
          <t>20260811-8186-423592923</t>
        </is>
      </c>
      <c r="B177" t="n">
        <v>1</v>
      </c>
      <c r="C177" s="2" t="inlineStr">
        <is>
          <t>Андрей Соловьев, Ирина Соловьева</t>
        </is>
      </c>
      <c r="D177" s="3" t="n">
        <v>28182</v>
      </c>
      <c r="E177" s="4" t="n">
        <v>17</v>
      </c>
      <c r="F177" t="inlineStr">
        <is>
          <t>ООО "ОНЛАЙН ИННОВАЦИИ" (101 Отель) [Чайковский]</t>
        </is>
      </c>
      <c r="G177" s="3">
        <f>ROUND(D177/(100-E177)*100,2)</f>
        <v/>
      </c>
      <c r="H177" s="5" t="n">
        <v>46245.58333333334</v>
      </c>
      <c r="I177" t="n">
        <v>2</v>
      </c>
      <c r="J177" s="3">
        <f>G177/I177</f>
        <v/>
      </c>
      <c r="K177">
        <f>IF(J177&gt;=5100,"ставка","мин.ставка")</f>
        <v/>
      </c>
      <c r="L177" s="3">
        <f>ROUND(IF(K177="мин.ставка",I177*100,G177/102*2),2)</f>
        <v/>
      </c>
      <c r="M177" s="5" t="n">
        <v>46247.5</v>
      </c>
      <c r="N177" t="inlineStr">
        <is>
          <t>TravelLine H1C</t>
        </is>
      </c>
      <c r="O177" s="2" t="inlineStr">
        <is>
          <t>УЛУЧШЕННЫЙ ДВУХМЕСТНЫЙ НОМЕР</t>
        </is>
      </c>
      <c r="P177" s="6" t="n"/>
      <c r="R177" t="inlineStr"/>
      <c r="S177" t="inlineStr">
        <is>
          <t>Тариф с завтраком</t>
        </is>
      </c>
      <c r="T177" t="n">
        <v>0</v>
      </c>
      <c r="U177" t="n">
        <v>28182</v>
      </c>
    </row>
    <row r="178">
      <c r="A178" t="inlineStr">
        <is>
          <t>20260818-8186-443505889</t>
        </is>
      </c>
      <c r="B178" t="n">
        <v>1</v>
      </c>
      <c r="C178" s="2" t="inlineStr">
        <is>
          <t>Андрей Федотов, Светлана Федотова</t>
        </is>
      </c>
      <c r="D178" s="3" t="n">
        <v>54480</v>
      </c>
      <c r="E178" s="4" t="n">
        <v>18</v>
      </c>
      <c r="F178" t="inlineStr">
        <is>
          <t>Яндекс.Путешествия [Чайковский]</t>
        </is>
      </c>
      <c r="G178" s="3">
        <f>ROUND(D178/(100-E178)*100,2)</f>
        <v/>
      </c>
      <c r="H178" s="5" t="n">
        <v>46252.58333333334</v>
      </c>
      <c r="I178" t="n">
        <v>6</v>
      </c>
      <c r="J178" s="3">
        <f>G178/I178</f>
        <v/>
      </c>
      <c r="K178">
        <f>IF(J178&gt;=5100,"ставка","мин.ставка")</f>
        <v/>
      </c>
      <c r="L178" s="3">
        <f>ROUND(IF(K178="мин.ставка",I178*100,G178/102*2),2)</f>
        <v/>
      </c>
      <c r="M178" s="5" t="n">
        <v>46258.5</v>
      </c>
      <c r="N178" t="inlineStr">
        <is>
          <t>TravelLine YAX</t>
        </is>
      </c>
      <c r="O178" s="2" t="inlineStr">
        <is>
          <t>СТАНДАРТНЫЙ ДВУХМЕСТНЫЙ НОМЕР</t>
        </is>
      </c>
      <c r="P178" s="6" t="n"/>
      <c r="R178" t="inlineStr"/>
      <c r="S178" t="inlineStr">
        <is>
          <t>Тариф с завтраком</t>
        </is>
      </c>
      <c r="T178" t="n">
        <v>0</v>
      </c>
      <c r="U178" t="n">
        <v>118560</v>
      </c>
    </row>
    <row r="179">
      <c r="A179" t="inlineStr">
        <is>
          <t>20260822-8186-448832829</t>
        </is>
      </c>
      <c r="B179" t="n">
        <v>1</v>
      </c>
      <c r="C179" s="2" t="inlineStr">
        <is>
          <t>Андрей Федянин, ОЛЬГА МИРОНЮК</t>
        </is>
      </c>
      <c r="D179" s="3" t="n">
        <v>88448.2</v>
      </c>
      <c r="E179" s="4" t="n">
        <v>4</v>
      </c>
      <c r="F179" t="inlineStr">
        <is>
          <t>TravelLine Booking Engine [Чайковский]</t>
        </is>
      </c>
      <c r="G179" s="3">
        <f>ROUND(D179/(100-E179)*100,2)</f>
        <v/>
      </c>
      <c r="H179" s="5" t="n">
        <v>46256.58333333334</v>
      </c>
      <c r="I179" t="n">
        <v>5</v>
      </c>
      <c r="J179" s="3">
        <f>G179/I179</f>
        <v/>
      </c>
      <c r="K179">
        <f>IF(J179&gt;=5100,"ставка","мин.ставка")</f>
        <v/>
      </c>
      <c r="L179" s="3">
        <f>ROUND(IF(K179="мин.ставка",I179*100,G179/102*2),2)</f>
        <v/>
      </c>
      <c r="M179" s="5" t="n">
        <v>46261.5</v>
      </c>
      <c r="N179" t="inlineStr">
        <is>
          <t>TravelLine сайт</t>
        </is>
      </c>
      <c r="O179" s="2" t="inlineStr">
        <is>
          <t>ЛЮКС ВТОРОЙ КОРПУС</t>
        </is>
      </c>
      <c r="P179" s="6" t="n"/>
      <c r="R179" t="inlineStr"/>
      <c r="S179" t="inlineStr">
        <is>
          <t>Тариф с завтраком</t>
        </is>
      </c>
      <c r="T179" t="n">
        <v>0</v>
      </c>
      <c r="U179" t="n">
        <v>88448.2</v>
      </c>
    </row>
    <row r="180">
      <c r="A180" t="inlineStr">
        <is>
          <t>20260916-8186-466291736</t>
        </is>
      </c>
      <c r="B180" t="n">
        <v>1</v>
      </c>
      <c r="C180" s="2" t="inlineStr">
        <is>
          <t>Андрей Феоктистов</t>
        </is>
      </c>
      <c r="D180" s="3" t="n">
        <v>12312.5</v>
      </c>
      <c r="E180" s="4" t="n">
        <v>4</v>
      </c>
      <c r="F180" t="inlineStr">
        <is>
          <t>TravelLine Booking Engine [Чайковский]</t>
        </is>
      </c>
      <c r="G180" s="3">
        <f>ROUND(D180/(100-E180)*100,2)</f>
        <v/>
      </c>
      <c r="H180" s="5" t="n">
        <v>46281.58333333334</v>
      </c>
      <c r="I180" t="n">
        <v>1</v>
      </c>
      <c r="J180" s="3">
        <f>G180/I180</f>
        <v/>
      </c>
      <c r="K180">
        <f>IF(J180&gt;=5100,"ставка","мин.ставка")</f>
        <v/>
      </c>
      <c r="L180" s="3">
        <f>ROUND(IF(K180="мин.ставка",I180*100,G180/102*2),2)</f>
        <v/>
      </c>
      <c r="M180" s="5" t="n">
        <v>46282.5</v>
      </c>
      <c r="N180" t="inlineStr">
        <is>
          <t>TravelLine сайт</t>
        </is>
      </c>
      <c r="O180" s="2" t="inlineStr">
        <is>
          <t>ЛЮКС ВТОРОЙ КОРПУС</t>
        </is>
      </c>
      <c r="P180" s="6" t="n"/>
      <c r="R180" t="inlineStr"/>
      <c r="S180" t="inlineStr">
        <is>
          <t>Основной тариф без завтрака</t>
        </is>
      </c>
      <c r="T180" t="n">
        <v>0</v>
      </c>
      <c r="U180" t="n">
        <v>12312.5</v>
      </c>
    </row>
    <row r="181">
      <c r="A181" t="inlineStr">
        <is>
          <t>20260919-8186-466617844</t>
        </is>
      </c>
      <c r="B181" t="n">
        <v>1</v>
      </c>
      <c r="C181" s="2" t="inlineStr">
        <is>
          <t>Андриан Куликов</t>
        </is>
      </c>
      <c r="D181" s="3" t="n">
        <v>11122</v>
      </c>
      <c r="E181" s="4" t="n">
        <v>17</v>
      </c>
      <c r="F181" t="inlineStr">
        <is>
          <t>ООО «Интернет Трэвел» (OZON) [Чайковский]</t>
        </is>
      </c>
      <c r="G181" s="3">
        <f>ROUND(D181/(100-E181)*100,2)</f>
        <v/>
      </c>
      <c r="H181" s="5" t="n">
        <v>46284.58333333334</v>
      </c>
      <c r="I181" t="n">
        <v>1</v>
      </c>
      <c r="J181" s="3">
        <f>G181/I181</f>
        <v/>
      </c>
      <c r="K181">
        <f>IF(J181&gt;=5100,"ставка","мин.ставка")</f>
        <v/>
      </c>
      <c r="L181" s="3">
        <f>ROUND(IF(K181="мин.ставка",I181*100,G181/102*2),2)</f>
        <v/>
      </c>
      <c r="M181" s="5" t="n">
        <v>46285.5</v>
      </c>
      <c r="N181" t="inlineStr">
        <is>
          <t>TravelLine OZ2</t>
        </is>
      </c>
      <c r="O181" s="2" t="inlineStr">
        <is>
          <t>УЛУЧШЕННЫЙ ДВУХМЕСТНЫЙ НОМЕР</t>
        </is>
      </c>
      <c r="P181" s="6" t="n"/>
      <c r="R181" t="inlineStr"/>
      <c r="S181" t="inlineStr">
        <is>
          <t>Тариф с завтраком</t>
        </is>
      </c>
      <c r="T181" t="n">
        <v>0</v>
      </c>
      <c r="U181" t="n">
        <v>11122</v>
      </c>
    </row>
    <row r="182">
      <c r="A182" t="inlineStr">
        <is>
          <t>20260906-8186-459280210</t>
        </is>
      </c>
      <c r="B182" t="n">
        <v>1</v>
      </c>
      <c r="C182" s="2" t="inlineStr">
        <is>
          <t>Анна Александровна Курносова</t>
        </is>
      </c>
      <c r="D182" s="3" t="n">
        <v>9080</v>
      </c>
      <c r="E182" s="4" t="n">
        <v>20</v>
      </c>
      <c r="F182" t="inlineStr">
        <is>
          <t>ООО "КОМПАНИЯ БРОНЕВИК" [Чайковский]</t>
        </is>
      </c>
      <c r="G182" s="3">
        <f>ROUND(D182/(100-E182)*100,2)</f>
        <v/>
      </c>
      <c r="H182" s="5" t="n">
        <v>46271.58333333334</v>
      </c>
      <c r="I182" t="n">
        <v>1</v>
      </c>
      <c r="J182" s="3">
        <f>G182/I182</f>
        <v/>
      </c>
      <c r="K182">
        <f>IF(J182&gt;=5100,"ставка","мин.ставка")</f>
        <v/>
      </c>
      <c r="L182" s="3">
        <f>ROUND(IF(K182="мин.ставка",I182*100,G182/102*2),2)</f>
        <v/>
      </c>
      <c r="M182" s="5" t="n">
        <v>46272.5</v>
      </c>
      <c r="N182" t="inlineStr">
        <is>
          <t>TravelLine BR2</t>
        </is>
      </c>
      <c r="O182" s="2" t="inlineStr">
        <is>
          <t>СТАНДАРТНЫЙ ДВУХМЕСТНЫЙ НОМЕР</t>
        </is>
      </c>
      <c r="P182" s="6" t="n"/>
      <c r="R182" t="inlineStr"/>
      <c r="S182" t="inlineStr">
        <is>
          <t>Тариф с завтраком</t>
        </is>
      </c>
      <c r="T182" t="n">
        <v>0</v>
      </c>
      <c r="U182" t="n">
        <v>9080</v>
      </c>
    </row>
    <row r="183">
      <c r="A183" t="inlineStr">
        <is>
          <t>20260817-8186-442297769</t>
        </is>
      </c>
      <c r="B183" t="n">
        <v>1</v>
      </c>
      <c r="C183" s="2" t="inlineStr">
        <is>
          <t>Анна Андреева</t>
        </is>
      </c>
      <c r="D183" s="3" t="n">
        <v>53399</v>
      </c>
      <c r="E183" s="4" t="n">
        <v>4</v>
      </c>
      <c r="F183" t="inlineStr">
        <is>
          <t>TravelLine Booking Engine [Чайковский]</t>
        </is>
      </c>
      <c r="G183" s="3">
        <f>ROUND(D183/(100-E183)*100,2)</f>
        <v/>
      </c>
      <c r="H183" s="5" t="n">
        <v>46251.58333333334</v>
      </c>
      <c r="I183" t="n">
        <v>4</v>
      </c>
      <c r="J183" s="3">
        <f>G183/I183</f>
        <v/>
      </c>
      <c r="K183">
        <f>IF(J183&gt;=5100,"ставка","мин.ставка")</f>
        <v/>
      </c>
      <c r="L183" s="3">
        <f>ROUND(IF(K183="мин.ставка",I183*100,G183/102*2),2)</f>
        <v/>
      </c>
      <c r="M183" s="5" t="n">
        <v>46255.5</v>
      </c>
      <c r="N183" t="inlineStr">
        <is>
          <t>TravelLine сайт</t>
        </is>
      </c>
      <c r="O183" s="2" t="inlineStr">
        <is>
          <t>УЛУЧШЕННЫЙ ДВУХМЕСТНЫЙ НОМЕР</t>
        </is>
      </c>
      <c r="P183" s="6" t="n"/>
      <c r="R183" t="inlineStr"/>
      <c r="S183" t="inlineStr">
        <is>
          <t>Тариф с завтраком</t>
        </is>
      </c>
      <c r="T183" t="n">
        <v>0</v>
      </c>
      <c r="U183" t="n">
        <v>98628.75</v>
      </c>
    </row>
    <row r="184">
      <c r="A184" t="inlineStr">
        <is>
          <t>20260825-8186-440853437</t>
        </is>
      </c>
      <c r="B184" t="n">
        <v>1</v>
      </c>
      <c r="C184" s="2" t="inlineStr">
        <is>
          <t>Анна Бродская, Михаил Шенбергер</t>
        </is>
      </c>
      <c r="D184" s="3" t="n">
        <v>33660</v>
      </c>
      <c r="E184" s="4" t="n">
        <v>15</v>
      </c>
      <c r="F184" t="inlineStr">
        <is>
          <t>ООО Тинькофф Путешествия [Чайковский]</t>
        </is>
      </c>
      <c r="G184" s="3">
        <f>ROUND(D184/(100-E184)*100,2)</f>
        <v/>
      </c>
      <c r="H184" s="5" t="n">
        <v>46259.58333333334</v>
      </c>
      <c r="I184" t="n">
        <v>4</v>
      </c>
      <c r="J184" s="3">
        <f>G184/I184</f>
        <v/>
      </c>
      <c r="K184">
        <f>IF(J184&gt;=5100,"ставка","мин.ставка")</f>
        <v/>
      </c>
      <c r="L184" s="3">
        <f>ROUND(IF(K184="мин.ставка",I184*100,G184/102*2),2)</f>
        <v/>
      </c>
      <c r="M184" s="5" t="n">
        <v>46263.5</v>
      </c>
      <c r="N184" t="inlineStr">
        <is>
          <t>TravelLine TNK</t>
        </is>
      </c>
      <c r="O184" s="2" t="inlineStr">
        <is>
          <t>СТАНДАРТНЫЙ ДВУХМЕСТНЫЙ НОМЕР (МАНСАРДА)</t>
        </is>
      </c>
      <c r="P184" s="6" t="n"/>
      <c r="R184" t="inlineStr"/>
      <c r="S184" t="inlineStr">
        <is>
          <t>Тариф с завтраком</t>
        </is>
      </c>
      <c r="T184" t="n">
        <v>0</v>
      </c>
      <c r="U184" t="n">
        <v>33660</v>
      </c>
    </row>
    <row r="185">
      <c r="A185" t="inlineStr">
        <is>
          <t>20260926-8186-463824819</t>
        </is>
      </c>
      <c r="B185" t="n">
        <v>1</v>
      </c>
      <c r="C185" s="2" t="inlineStr">
        <is>
          <t>АННА БЫКОВА, ТАТЬЯНА НИКИФОРОВА</t>
        </is>
      </c>
      <c r="D185" s="3" t="n">
        <v>34042.5</v>
      </c>
      <c r="E185" s="4" t="n">
        <v>15</v>
      </c>
      <c r="F185" t="inlineStr">
        <is>
          <t>ООО "Библио-Глобус Туроператор" [Чайковский]</t>
        </is>
      </c>
      <c r="G185" s="3">
        <f>ROUND(D185/(100-E185)*100,2)</f>
        <v/>
      </c>
      <c r="H185" s="5" t="n">
        <v>46291.58333333334</v>
      </c>
      <c r="I185" t="n">
        <v>3</v>
      </c>
      <c r="J185" s="3">
        <f>G185/I185</f>
        <v/>
      </c>
      <c r="K185">
        <f>IF(J185&gt;=5100,"ставка","мин.ставка")</f>
        <v/>
      </c>
      <c r="L185" s="3">
        <f>ROUND(IF(K185="мин.ставка",I185*100,G185/102*2),2)</f>
        <v/>
      </c>
      <c r="M185" s="5" t="n">
        <v>46294.5</v>
      </c>
      <c r="N185" t="inlineStr">
        <is>
          <t>TravelLine BGL</t>
        </is>
      </c>
      <c r="O185" s="2" t="inlineStr">
        <is>
          <t>СТАНДАРТНЫЙ ДВУХМЕСТНЫЙ НОМЕР</t>
        </is>
      </c>
      <c r="P185" s="6" t="n"/>
      <c r="R185" t="inlineStr"/>
      <c r="S185" t="inlineStr">
        <is>
          <t>Тариф с завтраком</t>
        </is>
      </c>
      <c r="T185" t="n">
        <v>0</v>
      </c>
      <c r="U185" t="n">
        <v>34042.5</v>
      </c>
    </row>
    <row r="186">
      <c r="A186" t="inlineStr">
        <is>
          <t>20260710-8186-443768768</t>
        </is>
      </c>
      <c r="B186" t="n">
        <v>1</v>
      </c>
      <c r="C186" s="2" t="inlineStr">
        <is>
          <t>Анна Волхонская, Алиса Ситало</t>
        </is>
      </c>
      <c r="D186" s="3" t="n">
        <v>35048.2</v>
      </c>
      <c r="E186" s="4" t="n">
        <v>4</v>
      </c>
      <c r="F186" t="inlineStr">
        <is>
          <t>TravelLine Booking Engine [Чайковский]</t>
        </is>
      </c>
      <c r="G186" s="3">
        <f>ROUND(D186/(100-E186)*100,2)</f>
        <v/>
      </c>
      <c r="H186" s="5" t="n">
        <v>46213.58333333334</v>
      </c>
      <c r="I186" t="n">
        <v>2</v>
      </c>
      <c r="J186" s="3">
        <f>G186/I186</f>
        <v/>
      </c>
      <c r="K186">
        <f>IF(J186&gt;=5100,"ставка","мин.ставка")</f>
        <v/>
      </c>
      <c r="L186" s="3">
        <f>ROUND(IF(K186="мин.ставка",I186*100,G186/102*2),2)</f>
        <v/>
      </c>
      <c r="M186" s="5" t="n">
        <v>46215.5</v>
      </c>
      <c r="N186" t="inlineStr">
        <is>
          <t>TravelLine сайт</t>
        </is>
      </c>
      <c r="O186" s="2" t="inlineStr">
        <is>
          <t>ЛЮКС ВТОРОЙ КОРПУС</t>
        </is>
      </c>
      <c r="P186" s="6" t="n"/>
      <c r="R186" t="inlineStr"/>
      <c r="S186" t="inlineStr">
        <is>
          <t>Тариф с завтраком</t>
        </is>
      </c>
      <c r="T186" t="n">
        <v>0</v>
      </c>
      <c r="U186" t="n">
        <v>35048.2</v>
      </c>
    </row>
    <row r="187">
      <c r="A187" t="inlineStr">
        <is>
          <t>20260811-8186-417991278</t>
        </is>
      </c>
      <c r="B187" t="n">
        <v>1</v>
      </c>
      <c r="C187" s="2" t="inlineStr">
        <is>
          <t>Анна ГУБАРЕВА</t>
        </is>
      </c>
      <c r="D187" s="3" t="n">
        <v>108960</v>
      </c>
      <c r="E187" s="4" t="n">
        <v>0</v>
      </c>
      <c r="F187" t="inlineStr">
        <is>
          <t>Прямые бронирования (стойка) [Чайковский]</t>
        </is>
      </c>
      <c r="G187" s="3">
        <f>ROUND(D187/(100-E187)*100,2)</f>
        <v/>
      </c>
      <c r="H187" s="5" t="n">
        <v>46245.58333333334</v>
      </c>
      <c r="I187" t="n">
        <v>12</v>
      </c>
      <c r="J187" s="3">
        <f>G187/I187</f>
        <v/>
      </c>
      <c r="K187">
        <f>IF(J187&gt;=5100,"ставка","мин.ставка")</f>
        <v/>
      </c>
      <c r="L187" s="3">
        <f>ROUND(IF(K187="мин.ставка",I187*100,G187/102*2),2)</f>
        <v/>
      </c>
      <c r="M187" s="5" t="n">
        <v>46257.5</v>
      </c>
      <c r="N187" t="inlineStr">
        <is>
          <t>TravelLine ресепшн</t>
        </is>
      </c>
      <c r="O187" s="2" t="inlineStr">
        <is>
          <t>СТАНДАРТНЫЙ ДВУХМЕСТНЫЙ НОМЕР</t>
        </is>
      </c>
      <c r="P187" s="6" t="n"/>
      <c r="R187" t="inlineStr"/>
      <c r="S187" t="inlineStr">
        <is>
          <t>Тариф с завтраком</t>
        </is>
      </c>
      <c r="T187" t="n">
        <v>0</v>
      </c>
      <c r="U187" t="n">
        <v>108960</v>
      </c>
    </row>
    <row r="188">
      <c r="A188" t="inlineStr">
        <is>
          <t>20260814-8186-418482615</t>
        </is>
      </c>
      <c r="B188" t="n">
        <v>1</v>
      </c>
      <c r="C188" s="2" t="inlineStr">
        <is>
          <t>Анна Данченко, Гульнара Мяльдзина</t>
        </is>
      </c>
      <c r="D188" s="3" t="n">
        <v>24640</v>
      </c>
      <c r="E188" s="4" t="n">
        <v>18</v>
      </c>
      <c r="F188" t="inlineStr">
        <is>
          <t>Яндекс.Путешествия [Чайковский]</t>
        </is>
      </c>
      <c r="G188" s="3">
        <f>ROUND(D188/(100-E188)*100,2)</f>
        <v/>
      </c>
      <c r="H188" s="5" t="n">
        <v>46248.58333333334</v>
      </c>
      <c r="I188" t="n">
        <v>2</v>
      </c>
      <c r="J188" s="3">
        <f>G188/I188</f>
        <v/>
      </c>
      <c r="K188">
        <f>IF(J188&gt;=5100,"ставка","мин.ставка")</f>
        <v/>
      </c>
      <c r="L188" s="3">
        <f>ROUND(IF(K188="мин.ставка",I188*100,G188/102*2),2)</f>
        <v/>
      </c>
      <c r="M188" s="5" t="n">
        <v>46250.5</v>
      </c>
      <c r="N188" t="inlineStr">
        <is>
          <t>TravelLine YAX</t>
        </is>
      </c>
      <c r="O188" s="2" t="inlineStr">
        <is>
          <t>УЛУЧШЕННЫЙ ДВУХМЕСТНЫЙ НОМЕР</t>
        </is>
      </c>
      <c r="P188" s="6" t="n"/>
      <c r="R188" t="inlineStr"/>
      <c r="S188" t="inlineStr">
        <is>
          <t>Тариф с завтраком</t>
        </is>
      </c>
      <c r="T188" t="n">
        <v>0</v>
      </c>
      <c r="U188" t="n">
        <v>24640</v>
      </c>
    </row>
    <row r="189">
      <c r="A189" t="inlineStr">
        <is>
          <t>20260826-8186-461070085</t>
        </is>
      </c>
      <c r="B189" t="n">
        <v>1</v>
      </c>
      <c r="C189" s="2" t="inlineStr">
        <is>
          <t>АННА ДЕМИДОВА</t>
        </is>
      </c>
      <c r="D189" s="3" t="n">
        <v>28942.5</v>
      </c>
      <c r="E189" s="4" t="n">
        <v>15</v>
      </c>
      <c r="F189" t="inlineStr">
        <is>
          <t>ООО "АКАДЕМ-ОНЛАЙН" [Чайковский]</t>
        </is>
      </c>
      <c r="G189" s="3">
        <f>ROUND(D189/(100-E189)*100,2)</f>
        <v/>
      </c>
      <c r="H189" s="5" t="n">
        <v>46260.58333333334</v>
      </c>
      <c r="I189" t="n">
        <v>3</v>
      </c>
      <c r="J189" s="3">
        <f>G189/I189</f>
        <v/>
      </c>
      <c r="K189">
        <f>IF(J189&gt;=5100,"ставка","мин.ставка")</f>
        <v/>
      </c>
      <c r="L189" s="3">
        <f>ROUND(IF(K189="мин.ставка",I189*100,G189/102*2),2)</f>
        <v/>
      </c>
      <c r="M189" s="5" t="n">
        <v>46263.5</v>
      </c>
      <c r="N189" t="inlineStr">
        <is>
          <t>TravelLine ACS</t>
        </is>
      </c>
      <c r="O189" s="2" t="inlineStr">
        <is>
          <t>СТАНДАРТНЫЙ ДВУХМЕСТНЫЙ НОМЕР</t>
        </is>
      </c>
      <c r="P189" s="6" t="n"/>
      <c r="R189" t="inlineStr"/>
      <c r="S189" t="inlineStr">
        <is>
          <t>Тариф с завтраком</t>
        </is>
      </c>
      <c r="T189" t="n">
        <v>0</v>
      </c>
      <c r="U189" t="n">
        <v>28942.5</v>
      </c>
    </row>
    <row r="190">
      <c r="A190" t="inlineStr">
        <is>
          <t>20260820-8186-455185910</t>
        </is>
      </c>
      <c r="B190" t="n">
        <v>1</v>
      </c>
      <c r="C190" s="2" t="inlineStr">
        <is>
          <t>Анна Дмитриева</t>
        </is>
      </c>
      <c r="D190" s="3" t="n">
        <v>6320</v>
      </c>
      <c r="E190" s="4" t="n">
        <v>20</v>
      </c>
      <c r="F190" t="inlineStr">
        <is>
          <t>ООО «Дубль Гис» (OTELLO) [Чайковский]</t>
        </is>
      </c>
      <c r="G190" s="3">
        <f>ROUND(D190/(100-E190)*100,2)</f>
        <v/>
      </c>
      <c r="H190" s="5" t="n">
        <v>46254.58333333334</v>
      </c>
      <c r="I190" t="n">
        <v>1</v>
      </c>
      <c r="J190" s="3">
        <f>G190/I190</f>
        <v/>
      </c>
      <c r="K190">
        <f>IF(J190&gt;=5100,"ставка","мин.ставка")</f>
        <v/>
      </c>
      <c r="L190" s="3">
        <f>ROUND(IF(K190="мин.ставка",I190*100,G190/102*2),2)</f>
        <v/>
      </c>
      <c r="M190" s="5" t="n">
        <v>46255.5</v>
      </c>
      <c r="N190" t="inlineStr">
        <is>
          <t>TravelLine OL2</t>
        </is>
      </c>
      <c r="O190" s="2" t="inlineStr">
        <is>
          <t>СТАНДАРТНЫЙ ДВУХМЕСТНЫЙ НОМЕР (МАНСАРДА)</t>
        </is>
      </c>
      <c r="P190" s="6" t="n"/>
      <c r="R190" t="inlineStr"/>
      <c r="S190" t="inlineStr">
        <is>
          <t>Тариф с завтраком</t>
        </is>
      </c>
      <c r="T190" t="n">
        <v>0</v>
      </c>
      <c r="U190" t="n">
        <v>6320</v>
      </c>
    </row>
    <row r="191">
      <c r="A191" t="inlineStr">
        <is>
          <t>20260729-8186-446530199</t>
        </is>
      </c>
      <c r="B191" t="n">
        <v>1</v>
      </c>
      <c r="C191" s="2" t="inlineStr">
        <is>
          <t>АННА ЖУКОВА, Мария Жукова</t>
        </is>
      </c>
      <c r="D191" s="3" t="n">
        <v>12015</v>
      </c>
      <c r="E191" s="4" t="n">
        <v>0</v>
      </c>
      <c r="F191" t="inlineStr">
        <is>
          <t>Прямые бронирования (стойка) [Чайковский]</t>
        </is>
      </c>
      <c r="G191" s="3">
        <f>ROUND(D191/(100-E191)*100,2)</f>
        <v/>
      </c>
      <c r="H191" s="5" t="n">
        <v>46232.58333333334</v>
      </c>
      <c r="I191" t="n">
        <v>1</v>
      </c>
      <c r="J191" s="3">
        <f>G191/I191</f>
        <v/>
      </c>
      <c r="K191">
        <f>IF(J191&gt;=5100,"ставка","мин.ставка")</f>
        <v/>
      </c>
      <c r="L191" s="3">
        <f>ROUND(IF(K191="мин.ставка",I191*100,G191/102*2),2)</f>
        <v/>
      </c>
      <c r="M191" s="5" t="n">
        <v>46233.5</v>
      </c>
      <c r="N191" t="inlineStr">
        <is>
          <t>TravelLine ресепшн</t>
        </is>
      </c>
      <c r="O191" s="2" t="inlineStr">
        <is>
          <t>СТАНДАРТНЫЙ ДВУХМЕСТНЫЙ НОМЕР</t>
        </is>
      </c>
      <c r="P191" s="6" t="n"/>
      <c r="R191" t="inlineStr"/>
      <c r="S191" t="inlineStr">
        <is>
          <t>Тариф с завтраком</t>
        </is>
      </c>
      <c r="T191" t="n">
        <v>0</v>
      </c>
      <c r="U191" t="n">
        <v>12015</v>
      </c>
    </row>
    <row r="192">
      <c r="A192" t="inlineStr">
        <is>
          <t>20260713-8186-440314213</t>
        </is>
      </c>
      <c r="B192" t="n">
        <v>1</v>
      </c>
      <c r="C192" s="2" t="inlineStr">
        <is>
          <t>АННА ЗАВИДОВА, ЗОЯ ЗАВИДОВА</t>
        </is>
      </c>
      <c r="D192" s="3" t="n">
        <v>68085</v>
      </c>
      <c r="E192" s="4" t="n">
        <v>0</v>
      </c>
      <c r="F192" t="inlineStr">
        <is>
          <t>ООО "АЛЕАН ОТДЫХ" [Чайковский]</t>
        </is>
      </c>
      <c r="G192" s="3">
        <f>ROUND(D192/(100-E192)*100,2)</f>
        <v/>
      </c>
      <c r="H192" s="5" t="n">
        <v>46216.58333333334</v>
      </c>
      <c r="I192" t="n">
        <v>6</v>
      </c>
      <c r="J192" s="3">
        <f>G192/I192</f>
        <v/>
      </c>
      <c r="K192">
        <f>IF(J192&gt;=5100,"ставка","мин.ставка")</f>
        <v/>
      </c>
      <c r="L192" s="3">
        <f>ROUND(IF(K192="мин.ставка",I192*100,G192/102*2),2)</f>
        <v/>
      </c>
      <c r="M192" s="5" t="n">
        <v>46222.5</v>
      </c>
      <c r="N192" t="inlineStr">
        <is>
          <t>TravelLine ALN</t>
        </is>
      </c>
      <c r="O192" s="2" t="inlineStr">
        <is>
          <t>СТАНДАРТНЫЙ ДВУХМЕСТНЫЙ НОМЕР</t>
        </is>
      </c>
      <c r="P192" s="6" t="n"/>
      <c r="R192" t="inlineStr"/>
      <c r="S192" t="inlineStr">
        <is>
          <t>Тариф с завтраком</t>
        </is>
      </c>
      <c r="T192" t="n">
        <v>0</v>
      </c>
      <c r="U192" t="n">
        <v>68085</v>
      </c>
    </row>
    <row r="193">
      <c r="A193" t="inlineStr">
        <is>
          <t>20260711-8186-449029236</t>
        </is>
      </c>
      <c r="B193" t="n">
        <v>1</v>
      </c>
      <c r="C193" s="2" t="inlineStr">
        <is>
          <t>Анна Иохим</t>
        </is>
      </c>
      <c r="D193" s="3" t="n">
        <v>14085.5</v>
      </c>
      <c r="E193" s="4" t="n">
        <v>4</v>
      </c>
      <c r="F193" t="inlineStr">
        <is>
          <t>TravelLine Booking Engine [Чайковский]</t>
        </is>
      </c>
      <c r="G193" s="3">
        <f>ROUND(D193/(100-E193)*100,2)</f>
        <v/>
      </c>
      <c r="H193" s="5" t="n">
        <v>46214.58333333334</v>
      </c>
      <c r="I193" t="n">
        <v>1</v>
      </c>
      <c r="J193" s="3">
        <f>G193/I193</f>
        <v/>
      </c>
      <c r="K193">
        <f>IF(J193&gt;=5100,"ставка","мин.ставка")</f>
        <v/>
      </c>
      <c r="L193" s="3">
        <f>ROUND(IF(K193="мин.ставка",I193*100,G193/102*2),2)</f>
        <v/>
      </c>
      <c r="M193" s="5" t="n">
        <v>46215.5</v>
      </c>
      <c r="N193" t="inlineStr">
        <is>
          <t>TravelLine сайт</t>
        </is>
      </c>
      <c r="O193" s="2" t="inlineStr">
        <is>
          <t>ЛЮКС ВТОРОЙ КОРПУС</t>
        </is>
      </c>
      <c r="P193" s="6" t="n"/>
      <c r="R193" t="inlineStr"/>
      <c r="S193" t="inlineStr">
        <is>
          <t>Основной тариф без завтрака</t>
        </is>
      </c>
      <c r="T193" t="n">
        <v>500</v>
      </c>
      <c r="U193" t="n">
        <v>14585.5</v>
      </c>
    </row>
    <row r="194">
      <c r="A194" t="inlineStr">
        <is>
          <t>20260824-8186-427406859</t>
        </is>
      </c>
      <c r="B194" t="n">
        <v>1</v>
      </c>
      <c r="C194" s="2" t="inlineStr">
        <is>
          <t>Анна Киташина, Ксения Киташина</t>
        </is>
      </c>
      <c r="D194" s="3" t="n">
        <v>59661.15</v>
      </c>
      <c r="E194" s="4" t="n">
        <v>4</v>
      </c>
      <c r="F194" t="inlineStr">
        <is>
          <t>TravelLine Booking Engine [Чайковский]</t>
        </is>
      </c>
      <c r="G194" s="3">
        <f>ROUND(D194/(100-E194)*100,2)</f>
        <v/>
      </c>
      <c r="H194" s="5" t="n">
        <v>46258.58333333334</v>
      </c>
      <c r="I194" t="n">
        <v>4</v>
      </c>
      <c r="J194" s="3">
        <f>G194/I194</f>
        <v/>
      </c>
      <c r="K194">
        <f>IF(J194&gt;=5100,"ставка","мин.ставка")</f>
        <v/>
      </c>
      <c r="L194" s="3">
        <f>ROUND(IF(K194="мин.ставка",I194*100,G194/102*2),2)</f>
        <v/>
      </c>
      <c r="M194" s="5" t="n">
        <v>46262.79166666666</v>
      </c>
      <c r="N194" t="inlineStr">
        <is>
          <t>TravelLine сайт</t>
        </is>
      </c>
      <c r="O194" s="2" t="inlineStr">
        <is>
          <t>СТАНДАРТНЫЙ ДВУХМЕСТНЫЙ НОМЕР</t>
        </is>
      </c>
      <c r="P194" s="6" t="n"/>
      <c r="R194" t="inlineStr"/>
      <c r="S194" t="inlineStr">
        <is>
          <t>Тариф с завтраком</t>
        </is>
      </c>
      <c r="T194" t="n">
        <v>0</v>
      </c>
      <c r="U194" t="n">
        <v>72597.3</v>
      </c>
    </row>
    <row r="195">
      <c r="A195" t="inlineStr">
        <is>
          <t>20260711-8186-428824372</t>
        </is>
      </c>
      <c r="B195" t="n">
        <v>1</v>
      </c>
      <c r="C195" s="2" t="inlineStr">
        <is>
          <t>Анна Кубышкина, Татьяна Жукова</t>
        </is>
      </c>
      <c r="D195" s="3" t="n">
        <v>10680</v>
      </c>
      <c r="E195" s="4" t="n">
        <v>18</v>
      </c>
      <c r="F195" t="inlineStr">
        <is>
          <t>Яндекс.Путешествия [Чайковский]</t>
        </is>
      </c>
      <c r="G195" s="3">
        <f>ROUND(D195/(100-E195)*100,2)</f>
        <v/>
      </c>
      <c r="H195" s="5" t="n">
        <v>46214.58333333334</v>
      </c>
      <c r="I195" t="n">
        <v>1</v>
      </c>
      <c r="J195" s="3">
        <f>G195/I195</f>
        <v/>
      </c>
      <c r="K195">
        <f>IF(J195&gt;=5100,"ставка","мин.ставка")</f>
        <v/>
      </c>
      <c r="L195" s="3">
        <f>ROUND(IF(K195="мин.ставка",I195*100,G195/102*2),2)</f>
        <v/>
      </c>
      <c r="M195" s="5" t="n">
        <v>46215.5</v>
      </c>
      <c r="N195" t="inlineStr">
        <is>
          <t>TravelLine YAX</t>
        </is>
      </c>
      <c r="O195" s="2" t="inlineStr">
        <is>
          <t>СТАНДАРТНЫЙ ДВУХМЕСТНЫЙ НОМЕР</t>
        </is>
      </c>
      <c r="P195" s="6" t="n"/>
      <c r="R195" t="inlineStr"/>
      <c r="S195" t="inlineStr">
        <is>
          <t>Тариф с завтраком</t>
        </is>
      </c>
      <c r="T195" t="n">
        <v>0</v>
      </c>
      <c r="U195" t="n">
        <v>10680</v>
      </c>
    </row>
    <row r="196">
      <c r="A196" t="inlineStr">
        <is>
          <t>20260825-8186-456275651</t>
        </is>
      </c>
      <c r="B196" t="n">
        <v>1</v>
      </c>
      <c r="C196" s="2" t="inlineStr">
        <is>
          <t>Анна Курносова</t>
        </is>
      </c>
      <c r="D196" s="3" t="n">
        <v>6320</v>
      </c>
      <c r="E196" s="4" t="n">
        <v>20</v>
      </c>
      <c r="F196" t="inlineStr">
        <is>
          <t>ООО "КОМПАНИЯ БРОНЕВИК" [Чайковский]</t>
        </is>
      </c>
      <c r="G196" s="3">
        <f>ROUND(D196/(100-E196)*100,2)</f>
        <v/>
      </c>
      <c r="H196" s="5" t="n">
        <v>46259.58333333334</v>
      </c>
      <c r="I196" t="n">
        <v>1</v>
      </c>
      <c r="J196" s="3">
        <f>G196/I196</f>
        <v/>
      </c>
      <c r="K196">
        <f>IF(J196&gt;=5100,"ставка","мин.ставка")</f>
        <v/>
      </c>
      <c r="L196" s="3">
        <f>ROUND(IF(K196="мин.ставка",I196*100,G196/102*2),2)</f>
        <v/>
      </c>
      <c r="M196" s="5" t="n">
        <v>46260.5</v>
      </c>
      <c r="N196" t="inlineStr">
        <is>
          <t>TravelLine BR2</t>
        </is>
      </c>
      <c r="O196" s="2" t="inlineStr">
        <is>
          <t>СТАНДАРТНЫЙ ДВУХМЕСТНЫЙ НОМЕР (МАНСАРДА)</t>
        </is>
      </c>
      <c r="P196" s="6" t="n"/>
      <c r="R196" t="inlineStr"/>
      <c r="S196" t="inlineStr">
        <is>
          <t>Тариф с завтраком</t>
        </is>
      </c>
      <c r="T196" t="n">
        <v>0</v>
      </c>
      <c r="U196" t="n">
        <v>6320</v>
      </c>
    </row>
    <row r="197">
      <c r="A197" t="inlineStr">
        <is>
          <t>20260726-8186-434777679</t>
        </is>
      </c>
      <c r="B197" t="n">
        <v>1</v>
      </c>
      <c r="C197" s="2" t="inlineStr">
        <is>
          <t>Анна Леер, Владимир Леер</t>
        </is>
      </c>
      <c r="D197" s="3" t="n">
        <v>14002.05</v>
      </c>
      <c r="E197" s="4" t="n">
        <v>4</v>
      </c>
      <c r="F197" t="inlineStr">
        <is>
          <t>TravelLine Booking Engine [Чайковский]</t>
        </is>
      </c>
      <c r="G197" s="3">
        <f>ROUND(D197/(100-E197)*100,2)</f>
        <v/>
      </c>
      <c r="H197" s="5" t="n">
        <v>46229.58333333334</v>
      </c>
      <c r="I197" t="n">
        <v>1</v>
      </c>
      <c r="J197" s="3">
        <f>G197/I197</f>
        <v/>
      </c>
      <c r="K197">
        <f>IF(J197&gt;=5100,"ставка","мин.ставка")</f>
        <v/>
      </c>
      <c r="L197" s="3">
        <f>ROUND(IF(K197="мин.ставка",I197*100,G197/102*2),2)</f>
        <v/>
      </c>
      <c r="M197" s="5" t="n">
        <v>46230.5</v>
      </c>
      <c r="N197" t="inlineStr">
        <is>
          <t>TravelLine сайт</t>
        </is>
      </c>
      <c r="O197" s="2" t="inlineStr">
        <is>
          <t>СЕМЕЙНЫЙ НОМЕР КАТЕГОРИИ "СТАНДАРТ" ВТОРОЙ КОРПУС</t>
        </is>
      </c>
      <c r="P197" s="6" t="n"/>
      <c r="R197" t="inlineStr"/>
      <c r="S197" t="inlineStr">
        <is>
          <t>Тариф с завтраком</t>
        </is>
      </c>
      <c r="T197" t="n">
        <v>0</v>
      </c>
      <c r="U197" t="n">
        <v>14002.05</v>
      </c>
    </row>
    <row r="198">
      <c r="A198" t="inlineStr">
        <is>
          <t>20260710-8186-441330666</t>
        </is>
      </c>
      <c r="B198" t="n">
        <v>1</v>
      </c>
      <c r="C198" s="2" t="inlineStr">
        <is>
          <t>Анна Лейнер</t>
        </is>
      </c>
      <c r="D198" s="3" t="n">
        <v>12782</v>
      </c>
      <c r="E198" s="4" t="n">
        <v>17</v>
      </c>
      <c r="F198" t="inlineStr">
        <is>
          <t>ООО "ОНЛАЙН ИННОВАЦИИ" (101 Отель) [Чайковский]</t>
        </is>
      </c>
      <c r="G198" s="3">
        <f>ROUND(D198/(100-E198)*100,2)</f>
        <v/>
      </c>
      <c r="H198" s="5" t="n">
        <v>46213.58333333334</v>
      </c>
      <c r="I198" t="n">
        <v>2</v>
      </c>
      <c r="J198" s="3">
        <f>G198/I198</f>
        <v/>
      </c>
      <c r="K198">
        <f>IF(J198&gt;=5100,"ставка","мин.ставка")</f>
        <v/>
      </c>
      <c r="L198" s="3">
        <f>ROUND(IF(K198="мин.ставка",I198*100,G198/102*2),2)</f>
        <v/>
      </c>
      <c r="M198" s="5" t="n">
        <v>46215.5</v>
      </c>
      <c r="N198" t="inlineStr">
        <is>
          <t>TravelLine H1C</t>
        </is>
      </c>
      <c r="O198" s="2" t="inlineStr">
        <is>
          <t>СТАНДАРТНЫЙ ОДНОМЕСТНЫЙ НОМЕР</t>
        </is>
      </c>
      <c r="P198" s="6" t="n"/>
      <c r="R198" t="inlineStr"/>
      <c r="S198" t="inlineStr">
        <is>
          <t>Тариф с завтраком</t>
        </is>
      </c>
      <c r="T198" t="n">
        <v>0</v>
      </c>
      <c r="U198" t="n">
        <v>12782</v>
      </c>
    </row>
    <row r="199">
      <c r="A199" t="inlineStr">
        <is>
          <t>20260924-8186-458488381</t>
        </is>
      </c>
      <c r="B199" t="n">
        <v>1</v>
      </c>
      <c r="C199" s="2" t="inlineStr">
        <is>
          <t>АННА МАНСУР</t>
        </is>
      </c>
      <c r="D199" s="3" t="n">
        <v>17252</v>
      </c>
      <c r="E199" s="4" t="n">
        <v>18</v>
      </c>
      <c r="F199" t="inlineStr">
        <is>
          <t>Яндекс.Путешествия [Чайковский]</t>
        </is>
      </c>
      <c r="G199" s="3">
        <f>ROUND(D199/(100-E199)*100,2)</f>
        <v/>
      </c>
      <c r="H199" s="5" t="n">
        <v>46289.58333333334</v>
      </c>
      <c r="I199" t="n">
        <v>2</v>
      </c>
      <c r="J199" s="3">
        <f>G199/I199</f>
        <v/>
      </c>
      <c r="K199">
        <f>IF(J199&gt;=5100,"ставка","мин.ставка")</f>
        <v/>
      </c>
      <c r="L199" s="3">
        <f>ROUND(IF(K199="мин.ставка",I199*100,G199/102*2),2)</f>
        <v/>
      </c>
      <c r="M199" s="5" t="n">
        <v>46291.5</v>
      </c>
      <c r="N199" t="inlineStr">
        <is>
          <t>TravelLine YAX</t>
        </is>
      </c>
      <c r="O199" s="2" t="inlineStr">
        <is>
          <t>СТАНДАРТНЫЙ ДВУХМЕСТНЫЙ НОМЕР</t>
        </is>
      </c>
      <c r="P199" s="6" t="n"/>
      <c r="R199" t="inlineStr"/>
      <c r="S199" t="inlineStr">
        <is>
          <t>Тариф с завтраком</t>
        </is>
      </c>
      <c r="T199" t="n">
        <v>0</v>
      </c>
      <c r="U199" t="n">
        <v>17252</v>
      </c>
    </row>
    <row r="200">
      <c r="A200" t="inlineStr">
        <is>
          <t>20260925-8186-465097921</t>
        </is>
      </c>
      <c r="B200" t="n">
        <v>1</v>
      </c>
      <c r="C200" s="2" t="inlineStr">
        <is>
          <t>Анна Милова, Георгий ТИМОФЕЕВ</t>
        </is>
      </c>
      <c r="D200" s="3" t="n">
        <v>32040</v>
      </c>
      <c r="E200" s="4" t="n">
        <v>0</v>
      </c>
      <c r="F200" t="inlineStr">
        <is>
          <t>Прямые бронирования (стойка) [Чайковский]</t>
        </is>
      </c>
      <c r="G200" s="3">
        <f>ROUND(D200/(100-E200)*100,2)</f>
        <v/>
      </c>
      <c r="H200" s="5" t="n">
        <v>46290.58333333334</v>
      </c>
      <c r="I200" t="n">
        <v>3</v>
      </c>
      <c r="J200" s="3">
        <f>G200/I200</f>
        <v/>
      </c>
      <c r="K200">
        <f>IF(J200&gt;=5100,"ставка","мин.ставка")</f>
        <v/>
      </c>
      <c r="L200" s="3">
        <f>ROUND(IF(K200="мин.ставка",I200*100,G200/102*2),2)</f>
        <v/>
      </c>
      <c r="M200" s="5" t="n">
        <v>46293.5</v>
      </c>
      <c r="N200" t="inlineStr">
        <is>
          <t>TravelLine ресепшн</t>
        </is>
      </c>
      <c r="O200" s="2" t="inlineStr">
        <is>
          <t>СТАНДАРТНЫЙ ДВУХМЕСТНЫЙ НОМЕР</t>
        </is>
      </c>
      <c r="P200" s="6" t="n"/>
      <c r="R200" t="inlineStr"/>
      <c r="S200" t="inlineStr">
        <is>
          <t>Тариф с завтраком</t>
        </is>
      </c>
      <c r="T200" t="n">
        <v>0</v>
      </c>
      <c r="U200" t="n">
        <v>32040</v>
      </c>
    </row>
    <row r="201">
      <c r="A201" t="inlineStr">
        <is>
          <t>20260924-8186-464881072</t>
        </is>
      </c>
      <c r="B201" t="n">
        <v>1</v>
      </c>
      <c r="C201" s="2" t="inlineStr">
        <is>
          <t>Анна Назаркина</t>
        </is>
      </c>
      <c r="D201" s="3" t="n">
        <v>17025</v>
      </c>
      <c r="E201" s="4" t="n">
        <v>18</v>
      </c>
      <c r="F201" t="inlineStr">
        <is>
          <t>Яндекс.Путешествия [Чайковский]</t>
        </is>
      </c>
      <c r="G201" s="3">
        <f>ROUND(D201/(100-E201)*100,2)</f>
        <v/>
      </c>
      <c r="H201" s="5" t="n">
        <v>46289.58333333334</v>
      </c>
      <c r="I201" t="n">
        <v>2</v>
      </c>
      <c r="J201" s="3">
        <f>G201/I201</f>
        <v/>
      </c>
      <c r="K201">
        <f>IF(J201&gt;=5100,"ставка","мин.ставка")</f>
        <v/>
      </c>
      <c r="L201" s="3">
        <f>ROUND(IF(K201="мин.ставка",I201*100,G201/102*2),2)</f>
        <v/>
      </c>
      <c r="M201" s="5" t="n">
        <v>46291.5</v>
      </c>
      <c r="N201" t="inlineStr">
        <is>
          <t>TravelLine YAX</t>
        </is>
      </c>
      <c r="O201" s="2" t="inlineStr">
        <is>
          <t>СТАНДАРТНЫЙ ДВУХМЕСТНЫЙ НОМЕР</t>
        </is>
      </c>
      <c r="P201" s="6" t="n"/>
      <c r="R201" t="inlineStr"/>
      <c r="S201" t="inlineStr">
        <is>
          <t>Тариф с завтраком</t>
        </is>
      </c>
      <c r="T201" t="n">
        <v>0</v>
      </c>
      <c r="U201" t="n">
        <v>17025</v>
      </c>
    </row>
    <row r="202">
      <c r="A202" t="inlineStr">
        <is>
          <t>20260818-8186-448584820</t>
        </is>
      </c>
      <c r="B202" t="n">
        <v>1</v>
      </c>
      <c r="C202" s="2" t="inlineStr">
        <is>
          <t>Анна Наумова, Кирилл Шокарев</t>
        </is>
      </c>
      <c r="D202" s="3" t="n">
        <v>8415</v>
      </c>
      <c r="E202" s="4" t="n">
        <v>15</v>
      </c>
      <c r="F202" t="inlineStr">
        <is>
          <t>ООО Тинькофф Путешествия [Чайковский]</t>
        </is>
      </c>
      <c r="G202" s="3">
        <f>ROUND(D202/(100-E202)*100,2)</f>
        <v/>
      </c>
      <c r="H202" s="5" t="n">
        <v>46252.58333333334</v>
      </c>
      <c r="I202" t="n">
        <v>1</v>
      </c>
      <c r="J202" s="3">
        <f>G202/I202</f>
        <v/>
      </c>
      <c r="K202">
        <f>IF(J202&gt;=5100,"ставка","мин.ставка")</f>
        <v/>
      </c>
      <c r="L202" s="3">
        <f>ROUND(IF(K202="мин.ставка",I202*100,G202/102*2),2)</f>
        <v/>
      </c>
      <c r="M202" s="5" t="n">
        <v>46253.5</v>
      </c>
      <c r="N202" t="inlineStr">
        <is>
          <t>TravelLine TNK</t>
        </is>
      </c>
      <c r="O202" s="2" t="inlineStr">
        <is>
          <t>СТАНДАРТНЫЙ ДВУХМЕСТНЫЙ НОМЕР (МАНСАРДА)</t>
        </is>
      </c>
      <c r="P202" s="6" t="n"/>
      <c r="R202" t="inlineStr"/>
      <c r="S202" t="inlineStr">
        <is>
          <t>Тариф с завтраком</t>
        </is>
      </c>
      <c r="T202" t="n">
        <v>0</v>
      </c>
      <c r="U202" t="n">
        <v>8415</v>
      </c>
    </row>
    <row r="203">
      <c r="A203" t="inlineStr">
        <is>
          <t>20260925-8186-464768138</t>
        </is>
      </c>
      <c r="B203" t="n">
        <v>1</v>
      </c>
      <c r="C203" s="2" t="inlineStr">
        <is>
          <t>Анна Новикова</t>
        </is>
      </c>
      <c r="D203" s="3" t="n">
        <v>6468</v>
      </c>
      <c r="E203" s="4" t="n">
        <v>16</v>
      </c>
      <c r="F203" t="inlineStr">
        <is>
          <t>ООО "БРОНИРОВАНИЕ ГОСТИНИЦ" (OSTROVOK) [Чайковский]</t>
        </is>
      </c>
      <c r="G203" s="3">
        <f>ROUND(D203/(100-E203)*100,2)</f>
        <v/>
      </c>
      <c r="H203" s="5" t="n">
        <v>46290.58333333334</v>
      </c>
      <c r="I203" t="n">
        <v>1</v>
      </c>
      <c r="J203" s="3">
        <f>G203/I203</f>
        <v/>
      </c>
      <c r="K203">
        <f>IF(J203&gt;=5100,"ставка","мин.ставка")</f>
        <v/>
      </c>
      <c r="L203" s="3">
        <f>ROUND(IF(K203="мин.ставка",I203*100,G203/102*2),2)</f>
        <v/>
      </c>
      <c r="M203" s="5" t="n">
        <v>46291.5</v>
      </c>
      <c r="N203" t="inlineStr">
        <is>
          <t>TravelLine OTK</t>
        </is>
      </c>
      <c r="O203" s="2" t="inlineStr">
        <is>
          <t>СТАНДАРТНЫЙ ОДНОМЕСТНЫЙ НОМЕР</t>
        </is>
      </c>
      <c r="P203" s="6" t="n"/>
      <c r="R203" t="inlineStr"/>
      <c r="S203" t="inlineStr">
        <is>
          <t>Тариф с завтраком</t>
        </is>
      </c>
      <c r="T203" t="n">
        <v>0</v>
      </c>
      <c r="U203" t="n">
        <v>6468</v>
      </c>
    </row>
    <row r="204">
      <c r="A204" t="inlineStr">
        <is>
          <t>20260730-8186-451556670</t>
        </is>
      </c>
      <c r="B204" t="n">
        <v>1</v>
      </c>
      <c r="C204" s="2" t="inlineStr">
        <is>
          <t>Анна Огородникова</t>
        </is>
      </c>
      <c r="D204" s="3" t="n">
        <v>22348.15</v>
      </c>
      <c r="E204" s="4" t="n">
        <v>4</v>
      </c>
      <c r="F204" t="inlineStr">
        <is>
          <t>TravelLine Booking Engine [Чайковский]</t>
        </is>
      </c>
      <c r="G204" s="3">
        <f>ROUND(D204/(100-E204)*100,2)</f>
        <v/>
      </c>
      <c r="H204" s="5" t="n">
        <v>46233.58333333334</v>
      </c>
      <c r="I204" t="n">
        <v>2</v>
      </c>
      <c r="J204" s="3">
        <f>G204/I204</f>
        <v/>
      </c>
      <c r="K204">
        <f>IF(J204&gt;=5100,"ставка","мин.ставка")</f>
        <v/>
      </c>
      <c r="L204" s="3">
        <f>ROUND(IF(K204="мин.ставка",I204*100,G204/102*2),2)</f>
        <v/>
      </c>
      <c r="M204" s="5" t="n">
        <v>46235.5</v>
      </c>
      <c r="N204" t="inlineStr">
        <is>
          <t>TravelLine сайт</t>
        </is>
      </c>
      <c r="O204" s="2" t="inlineStr">
        <is>
          <t>СТАНДАРТНЫЙ ДВУХМЕСТНЫЙ НОМЕР</t>
        </is>
      </c>
      <c r="P204" s="6" t="n"/>
      <c r="R204" t="inlineStr"/>
      <c r="S204" t="inlineStr">
        <is>
          <t>Тариф с завтраком</t>
        </is>
      </c>
      <c r="T204" t="n">
        <v>0</v>
      </c>
      <c r="U204" t="n">
        <v>22348.15</v>
      </c>
    </row>
    <row r="205">
      <c r="A205" t="inlineStr">
        <is>
          <t>20260813-8186-449476892</t>
        </is>
      </c>
      <c r="B205" t="n">
        <v>1</v>
      </c>
      <c r="C205" s="2" t="inlineStr">
        <is>
          <t>Анна Поздеева</t>
        </is>
      </c>
      <c r="D205" s="3" t="n">
        <v>24640</v>
      </c>
      <c r="E205" s="4" t="n">
        <v>18</v>
      </c>
      <c r="F205" t="inlineStr">
        <is>
          <t>Яндекс.Путешествия [Чайковский]</t>
        </is>
      </c>
      <c r="G205" s="3">
        <f>ROUND(D205/(100-E205)*100,2)</f>
        <v/>
      </c>
      <c r="H205" s="5" t="n">
        <v>46247.58333333334</v>
      </c>
      <c r="I205" t="n">
        <v>4</v>
      </c>
      <c r="J205" s="3">
        <f>G205/I205</f>
        <v/>
      </c>
      <c r="K205">
        <f>IF(J205&gt;=5100,"ставка","мин.ставка")</f>
        <v/>
      </c>
      <c r="L205" s="3">
        <f>ROUND(IF(K205="мин.ставка",I205*100,G205/102*2),2)</f>
        <v/>
      </c>
      <c r="M205" s="5" t="n">
        <v>46251.5</v>
      </c>
      <c r="N205" t="inlineStr">
        <is>
          <t>TravelLine YAX</t>
        </is>
      </c>
      <c r="O205" s="2" t="inlineStr">
        <is>
          <t>СТАНДАРТНЫЙ ОДНОМЕСТНЫЙ НОМЕР</t>
        </is>
      </c>
      <c r="P205" s="6" t="n"/>
      <c r="R205" t="inlineStr"/>
      <c r="S205" t="inlineStr">
        <is>
          <t>Тариф с завтраком</t>
        </is>
      </c>
      <c r="T205" t="n">
        <v>0</v>
      </c>
      <c r="U205" t="n">
        <v>24640</v>
      </c>
    </row>
    <row r="206">
      <c r="A206" t="inlineStr">
        <is>
          <t>20260921-8186-467014328</t>
        </is>
      </c>
      <c r="B206" t="n">
        <v>1</v>
      </c>
      <c r="C206" s="2" t="inlineStr">
        <is>
          <t>Анна Резинько, Михаил Резинько</t>
        </is>
      </c>
      <c r="D206" s="3" t="n">
        <v>11550</v>
      </c>
      <c r="E206" s="4" t="n">
        <v>18</v>
      </c>
      <c r="F206" t="inlineStr">
        <is>
          <t>Яндекс.Путешествия [Чайковский]</t>
        </is>
      </c>
      <c r="G206" s="3">
        <f>ROUND(D206/(100-E206)*100,2)</f>
        <v/>
      </c>
      <c r="H206" s="5" t="n">
        <v>46286.58333333334</v>
      </c>
      <c r="I206" t="n">
        <v>1</v>
      </c>
      <c r="J206" s="3">
        <f>G206/I206</f>
        <v/>
      </c>
      <c r="K206">
        <f>IF(J206&gt;=5100,"ставка","мин.ставка")</f>
        <v/>
      </c>
      <c r="L206" s="3">
        <f>ROUND(IF(K206="мин.ставка",I206*100,G206/102*2),2)</f>
        <v/>
      </c>
      <c r="M206" s="5" t="n">
        <v>46287.5</v>
      </c>
      <c r="N206" t="inlineStr">
        <is>
          <t>TravelLine YAX</t>
        </is>
      </c>
      <c r="O206" s="2" t="inlineStr">
        <is>
          <t>УЛУЧШЕННЫЙ ДВУХМЕСТНЫЙ НОМЕР</t>
        </is>
      </c>
      <c r="P206" s="6" t="n"/>
      <c r="R206" t="inlineStr"/>
      <c r="S206" t="inlineStr">
        <is>
          <t>Тариф с завтраком</t>
        </is>
      </c>
      <c r="T206" t="n">
        <v>0</v>
      </c>
      <c r="U206" t="n">
        <v>11550</v>
      </c>
    </row>
    <row r="207">
      <c r="A207" t="inlineStr">
        <is>
          <t>20260723-8186-449951672</t>
        </is>
      </c>
      <c r="B207" t="n">
        <v>1</v>
      </c>
      <c r="C207" s="2" t="inlineStr">
        <is>
          <t>Анна Семашко, Кирилл Михайлов</t>
        </is>
      </c>
      <c r="D207" s="3" t="n">
        <v>49252.5</v>
      </c>
      <c r="E207" s="4" t="n">
        <v>4</v>
      </c>
      <c r="F207" t="inlineStr">
        <is>
          <t>TravelLine Booking Engine [Чайковский]</t>
        </is>
      </c>
      <c r="G207" s="3">
        <f>ROUND(D207/(100-E207)*100,2)</f>
        <v/>
      </c>
      <c r="H207" s="5" t="n">
        <v>46226.58333333334</v>
      </c>
      <c r="I207" t="n">
        <v>3</v>
      </c>
      <c r="J207" s="3">
        <f>G207/I207</f>
        <v/>
      </c>
      <c r="K207">
        <f>IF(J207&gt;=5100,"ставка","мин.ставка")</f>
        <v/>
      </c>
      <c r="L207" s="3">
        <f>ROUND(IF(K207="мин.ставка",I207*100,G207/102*2),2)</f>
        <v/>
      </c>
      <c r="M207" s="5" t="n">
        <v>46229.5</v>
      </c>
      <c r="N207" t="inlineStr">
        <is>
          <t>TravelLine сайт</t>
        </is>
      </c>
      <c r="O207" s="2" t="inlineStr">
        <is>
          <t>ПОЛУЛЮКС</t>
        </is>
      </c>
      <c r="P207" s="6" t="n"/>
      <c r="R207" t="inlineStr"/>
      <c r="S207" t="inlineStr">
        <is>
          <t>Тариф с завтраком</t>
        </is>
      </c>
      <c r="T207" t="n">
        <v>3560</v>
      </c>
      <c r="U207" t="n">
        <v>52812.5</v>
      </c>
    </row>
    <row r="208">
      <c r="A208" t="inlineStr">
        <is>
          <t>20260907-8186-434979957</t>
        </is>
      </c>
      <c r="B208" t="n">
        <v>1</v>
      </c>
      <c r="C208" s="2" t="inlineStr">
        <is>
          <t>Анна Стом</t>
        </is>
      </c>
      <c r="D208" s="3" t="n">
        <v>31600</v>
      </c>
      <c r="E208" s="4" t="n">
        <v>0</v>
      </c>
      <c r="F208" t="inlineStr">
        <is>
          <t>Прямые бронирования (стойка) [Чайковский]</t>
        </is>
      </c>
      <c r="G208" s="3">
        <f>ROUND(D208/(100-E208)*100,2)</f>
        <v/>
      </c>
      <c r="H208" s="5" t="n">
        <v>46272.58333333334</v>
      </c>
      <c r="I208" t="n">
        <v>4</v>
      </c>
      <c r="J208" s="3">
        <f>G208/I208</f>
        <v/>
      </c>
      <c r="K208">
        <f>IF(J208&gt;=5100,"ставка","мин.ставка")</f>
        <v/>
      </c>
      <c r="L208" s="3">
        <f>ROUND(IF(K208="мин.ставка",I208*100,G208/102*2),2)</f>
        <v/>
      </c>
      <c r="M208" s="5" t="n">
        <v>46276.5</v>
      </c>
      <c r="N208" t="inlineStr">
        <is>
          <t>TravelLine ресепшн</t>
        </is>
      </c>
      <c r="O208" s="2" t="inlineStr">
        <is>
          <t>СТАНДАРТНЫЙ ДВУХМЕСТНЫЙ НОМЕР</t>
        </is>
      </c>
      <c r="P208" s="6" t="n"/>
      <c r="R208" t="inlineStr"/>
      <c r="S208" t="inlineStr">
        <is>
          <t>Тариф с завтраком</t>
        </is>
      </c>
      <c r="T208" t="n">
        <v>0</v>
      </c>
      <c r="U208" t="n">
        <v>31600</v>
      </c>
    </row>
    <row r="209">
      <c r="A209" t="inlineStr">
        <is>
          <t>20260701-8186-445465297</t>
        </is>
      </c>
      <c r="B209" t="n">
        <v>1</v>
      </c>
      <c r="C209" s="2" t="inlineStr">
        <is>
          <t>АННА ТЕЛЕГИНА</t>
        </is>
      </c>
      <c r="D209" s="3" t="n">
        <v>23200</v>
      </c>
      <c r="E209" s="4" t="n">
        <v>20</v>
      </c>
      <c r="F209" t="inlineStr">
        <is>
          <t>ООО "ХБ-ПРО" [Чайковский]</t>
        </is>
      </c>
      <c r="G209" s="3">
        <f>ROUND(D209/(100-E209)*100,2)</f>
        <v/>
      </c>
      <c r="H209" s="5" t="n">
        <v>46204.58333333334</v>
      </c>
      <c r="I209" t="n">
        <v>2</v>
      </c>
      <c r="J209" s="3">
        <f>G209/I209</f>
        <v/>
      </c>
      <c r="K209">
        <f>IF(J209&gt;=5100,"ставка","мин.ставка")</f>
        <v/>
      </c>
      <c r="L209" s="3">
        <f>ROUND(IF(K209="мин.ставка",I209*100,G209/102*2),2)</f>
        <v/>
      </c>
      <c r="M209" s="5" t="n">
        <v>46206.5</v>
      </c>
      <c r="N209" t="inlineStr">
        <is>
          <t>TravelLine UTS</t>
        </is>
      </c>
      <c r="O209" s="2" t="inlineStr">
        <is>
          <t>ПОЛУЛЮКС</t>
        </is>
      </c>
      <c r="P209" s="6" t="n"/>
      <c r="R209" t="inlineStr"/>
      <c r="S209" t="inlineStr">
        <is>
          <t>Тариф с завтраком</t>
        </is>
      </c>
      <c r="T209" t="n">
        <v>0</v>
      </c>
      <c r="U209" t="n">
        <v>23200</v>
      </c>
    </row>
    <row r="210">
      <c r="A210" t="inlineStr">
        <is>
          <t>20260817-8186-436203098</t>
        </is>
      </c>
      <c r="B210" t="n">
        <v>1</v>
      </c>
      <c r="C210" s="2" t="inlineStr">
        <is>
          <t>Анна Третьякова</t>
        </is>
      </c>
      <c r="D210" s="3" t="n">
        <v>25245</v>
      </c>
      <c r="E210" s="4" t="n">
        <v>15</v>
      </c>
      <c r="F210" t="inlineStr">
        <is>
          <t>ООО Тинькофф Путешествия [Чайковский]</t>
        </is>
      </c>
      <c r="G210" s="3">
        <f>ROUND(D210/(100-E210)*100,2)</f>
        <v/>
      </c>
      <c r="H210" s="5" t="n">
        <v>46251.58333333334</v>
      </c>
      <c r="I210" t="n">
        <v>3</v>
      </c>
      <c r="J210" s="3">
        <f>G210/I210</f>
        <v/>
      </c>
      <c r="K210">
        <f>IF(J210&gt;=5100,"ставка","мин.ставка")</f>
        <v/>
      </c>
      <c r="L210" s="3">
        <f>ROUND(IF(K210="мин.ставка",I210*100,G210/102*2),2)</f>
        <v/>
      </c>
      <c r="M210" s="5" t="n">
        <v>46254.5</v>
      </c>
      <c r="N210" t="inlineStr">
        <is>
          <t>TravelLine TNK</t>
        </is>
      </c>
      <c r="O210" s="2" t="inlineStr">
        <is>
          <t>СТАНДАРТНЫЙ ДВУХМЕСТНЫЙ НОМЕР (МАНСАРДА)</t>
        </is>
      </c>
      <c r="P210" s="6" t="n"/>
      <c r="R210" t="inlineStr"/>
      <c r="S210" t="inlineStr">
        <is>
          <t>Тариф с завтраком</t>
        </is>
      </c>
      <c r="T210" t="n">
        <v>4500</v>
      </c>
      <c r="U210" t="n">
        <v>29745</v>
      </c>
    </row>
    <row r="211">
      <c r="A211" t="inlineStr">
        <is>
          <t>20260831-8186-454299326</t>
        </is>
      </c>
      <c r="B211" t="n">
        <v>1</v>
      </c>
      <c r="C211" s="2" t="inlineStr">
        <is>
          <t>Анна Цыркова</t>
        </is>
      </c>
      <c r="D211" s="3" t="n">
        <v>12320</v>
      </c>
      <c r="E211" s="4" t="n">
        <v>18</v>
      </c>
      <c r="F211" t="inlineStr">
        <is>
          <t>Яндекс.Путешествия [Чайковский]</t>
        </is>
      </c>
      <c r="G211" s="3">
        <f>ROUND(D211/(100-E211)*100,2)</f>
        <v/>
      </c>
      <c r="H211" s="5" t="n">
        <v>46265.58333333334</v>
      </c>
      <c r="I211" t="n">
        <v>2</v>
      </c>
      <c r="J211" s="3">
        <f>G211/I211</f>
        <v/>
      </c>
      <c r="K211">
        <f>IF(J211&gt;=5100,"ставка","мин.ставка")</f>
        <v/>
      </c>
      <c r="L211" s="3">
        <f>ROUND(IF(K211="мин.ставка",I211*100,G211/102*2),2)</f>
        <v/>
      </c>
      <c r="M211" s="5" t="n">
        <v>46267.5</v>
      </c>
      <c r="N211" t="inlineStr">
        <is>
          <t>TravelLine YAX</t>
        </is>
      </c>
      <c r="O211" s="2" t="inlineStr">
        <is>
          <t>СТАНДАРТНЫЙ ОДНОМЕСТНЫЙ НОМЕР</t>
        </is>
      </c>
      <c r="P211" s="6" t="n"/>
      <c r="R211" t="inlineStr"/>
      <c r="S211" t="inlineStr">
        <is>
          <t>Тариф с завтраком</t>
        </is>
      </c>
      <c r="T211" t="n">
        <v>0</v>
      </c>
      <c r="U211" t="n">
        <v>12320</v>
      </c>
    </row>
    <row r="212">
      <c r="A212" t="inlineStr">
        <is>
          <t>20260727-8186-452904323</t>
        </is>
      </c>
      <c r="B212" t="n">
        <v>1</v>
      </c>
      <c r="C212" s="2" t="inlineStr">
        <is>
          <t>Анна Чернова</t>
        </is>
      </c>
      <c r="D212" s="3" t="n">
        <v>6320</v>
      </c>
      <c r="E212" s="4" t="n">
        <v>18</v>
      </c>
      <c r="F212" t="inlineStr">
        <is>
          <t>Яндекс.Путешествия [Чайковский]</t>
        </is>
      </c>
      <c r="G212" s="3">
        <f>ROUND(D212/(100-E212)*100,2)</f>
        <v/>
      </c>
      <c r="H212" s="5" t="n">
        <v>46230.58333333334</v>
      </c>
      <c r="I212" t="n">
        <v>1</v>
      </c>
      <c r="J212" s="3">
        <f>G212/I212</f>
        <v/>
      </c>
      <c r="K212">
        <f>IF(J212&gt;=5100,"ставка","мин.ставка")</f>
        <v/>
      </c>
      <c r="L212" s="3">
        <f>ROUND(IF(K212="мин.ставка",I212*100,G212/102*2),2)</f>
        <v/>
      </c>
      <c r="M212" s="5" t="n">
        <v>46231.5</v>
      </c>
      <c r="N212" t="inlineStr">
        <is>
          <t>TravelLine YAX</t>
        </is>
      </c>
      <c r="O212" s="2" t="inlineStr">
        <is>
          <t>СТАНДАРТНЫЙ ДВУХМЕСТНЫЙ НОМЕР (МАНСАРДА)</t>
        </is>
      </c>
      <c r="P212" s="6" t="n"/>
      <c r="R212" t="inlineStr"/>
      <c r="S212" t="inlineStr">
        <is>
          <t>Тариф с завтраком</t>
        </is>
      </c>
      <c r="T212" t="n">
        <v>0</v>
      </c>
      <c r="U212" t="n">
        <v>6320</v>
      </c>
    </row>
    <row r="213">
      <c r="A213" t="inlineStr">
        <is>
          <t>20260902-8186-463008969</t>
        </is>
      </c>
      <c r="B213" t="n">
        <v>1</v>
      </c>
      <c r="C213" s="2" t="inlineStr">
        <is>
          <t>АННА ЧЕРНОВА</t>
        </is>
      </c>
      <c r="D213" s="3" t="n">
        <v>9960</v>
      </c>
      <c r="E213" s="4" t="n">
        <v>18</v>
      </c>
      <c r="F213" t="inlineStr">
        <is>
          <t>Яндекс.Путешествия [Чайковский]</t>
        </is>
      </c>
      <c r="G213" s="3">
        <f>ROUND(D213/(100-E213)*100,2)</f>
        <v/>
      </c>
      <c r="H213" s="5" t="n">
        <v>46267.58333333334</v>
      </c>
      <c r="I213" t="n">
        <v>1</v>
      </c>
      <c r="J213" s="3">
        <f>G213/I213</f>
        <v/>
      </c>
      <c r="K213">
        <f>IF(J213&gt;=5100,"ставка","мин.ставка")</f>
        <v/>
      </c>
      <c r="L213" s="3">
        <f>ROUND(IF(K213="мин.ставка",I213*100,G213/102*2),2)</f>
        <v/>
      </c>
      <c r="M213" s="5" t="n">
        <v>46268.5</v>
      </c>
      <c r="N213" t="inlineStr">
        <is>
          <t>TravelLine YAX</t>
        </is>
      </c>
      <c r="O213" s="2" t="inlineStr">
        <is>
          <t>СЕМЕЙНЫЙ НОМЕР КАТЕГОРИИ "СТАНДАРТ" ВТОРОЙ КОРПУС</t>
        </is>
      </c>
      <c r="P213" s="6" t="n"/>
      <c r="R213" t="inlineStr"/>
      <c r="S213" t="inlineStr">
        <is>
          <t>Тариф с завтраком</t>
        </is>
      </c>
      <c r="T213" t="n">
        <v>0</v>
      </c>
      <c r="U213" t="n">
        <v>9960</v>
      </c>
    </row>
    <row r="214">
      <c r="A214" t="inlineStr">
        <is>
          <t>20260929-8186-469009651</t>
        </is>
      </c>
      <c r="B214" t="n">
        <v>1</v>
      </c>
      <c r="C214" s="2" t="inlineStr">
        <is>
          <t>АННА ЧЕРНОВА</t>
        </is>
      </c>
      <c r="D214" s="3" t="n">
        <v>10720</v>
      </c>
      <c r="E214" s="4" t="n">
        <v>18</v>
      </c>
      <c r="F214" t="inlineStr">
        <is>
          <t>Яндекс.Путешествия [Чайковский]</t>
        </is>
      </c>
      <c r="G214" s="3">
        <f>ROUND(D214/(100-E214)*100,2)</f>
        <v/>
      </c>
      <c r="H214" s="5" t="n">
        <v>46294.58333333334</v>
      </c>
      <c r="I214" t="n">
        <v>1</v>
      </c>
      <c r="J214" s="3">
        <f>G214/I214</f>
        <v/>
      </c>
      <c r="K214">
        <f>IF(J214&gt;=5100,"ставка","мин.ставка")</f>
        <v/>
      </c>
      <c r="L214" s="3">
        <f>ROUND(IF(K214="мин.ставка",I214*100,G214/102*2),2)</f>
        <v/>
      </c>
      <c r="M214" s="5" t="n">
        <v>46295.5</v>
      </c>
      <c r="N214" t="inlineStr">
        <is>
          <t>TravelLine YAX</t>
        </is>
      </c>
      <c r="O214" s="2" t="inlineStr">
        <is>
          <t>УЛУЧШЕННЫЙ ДВУХМЕСТНЫЙ НОМЕР</t>
        </is>
      </c>
      <c r="P214" s="6" t="n"/>
      <c r="R214" t="inlineStr"/>
      <c r="S214" t="inlineStr">
        <is>
          <t>Тариф с завтраком</t>
        </is>
      </c>
      <c r="T214" t="n">
        <v>0</v>
      </c>
      <c r="U214" t="n">
        <v>10720</v>
      </c>
    </row>
    <row r="215">
      <c r="A215" t="inlineStr">
        <is>
          <t>20260922-8186-467585284</t>
        </is>
      </c>
      <c r="B215" t="n">
        <v>1</v>
      </c>
      <c r="C215" s="2" t="inlineStr">
        <is>
          <t>Антон Кальвинов</t>
        </is>
      </c>
      <c r="D215" s="3" t="n">
        <v>18160</v>
      </c>
      <c r="E215" s="4" t="n">
        <v>20</v>
      </c>
      <c r="F215" t="inlineStr">
        <is>
          <t>ООО "КОМПАНИЯ БРОНЕВИК" [Чайковский]</t>
        </is>
      </c>
      <c r="G215" s="3">
        <f>ROUND(D215/(100-E215)*100,2)</f>
        <v/>
      </c>
      <c r="H215" s="5" t="n">
        <v>46287.58333333334</v>
      </c>
      <c r="I215" t="n">
        <v>2</v>
      </c>
      <c r="J215" s="3">
        <f>G215/I215</f>
        <v/>
      </c>
      <c r="K215">
        <f>IF(J215&gt;=5100,"ставка","мин.ставка")</f>
        <v/>
      </c>
      <c r="L215" s="3">
        <f>ROUND(IF(K215="мин.ставка",I215*100,G215/102*2),2)</f>
        <v/>
      </c>
      <c r="M215" s="5" t="n">
        <v>46289.5</v>
      </c>
      <c r="N215" t="inlineStr">
        <is>
          <t>TravelLine BR2</t>
        </is>
      </c>
      <c r="O215" s="2" t="inlineStr">
        <is>
          <t>СТАНДАРТНЫЙ ДВУХМЕСТНЫЙ НОМЕР</t>
        </is>
      </c>
      <c r="P215" s="6" t="n"/>
      <c r="R215" t="inlineStr"/>
      <c r="S215" t="inlineStr">
        <is>
          <t>Тариф с завтраком</t>
        </is>
      </c>
      <c r="T215" t="n">
        <v>0</v>
      </c>
      <c r="U215" t="n">
        <v>18160</v>
      </c>
    </row>
    <row r="216">
      <c r="A216" t="inlineStr">
        <is>
          <t>20260807-8186-454714281</t>
        </is>
      </c>
      <c r="B216" t="n">
        <v>1</v>
      </c>
      <c r="C216" s="2" t="inlineStr">
        <is>
          <t>Антон Климин</t>
        </is>
      </c>
      <c r="D216" s="3" t="n">
        <v>12782</v>
      </c>
      <c r="E216" s="4" t="n">
        <v>0</v>
      </c>
      <c r="F216" t="inlineStr">
        <is>
          <t>Прямые бронирования (стойка) [Чайковский]</t>
        </is>
      </c>
      <c r="G216" s="3">
        <f>ROUND(D216/(100-E216)*100,2)</f>
        <v/>
      </c>
      <c r="H216" s="5" t="n">
        <v>46241.58333333334</v>
      </c>
      <c r="I216" t="n">
        <v>2</v>
      </c>
      <c r="J216" s="3">
        <f>G216/I216</f>
        <v/>
      </c>
      <c r="K216">
        <f>IF(J216&gt;=5100,"ставка","мин.ставка")</f>
        <v/>
      </c>
      <c r="L216" s="3">
        <f>ROUND(IF(K216="мин.ставка",I216*100,G216/102*2),2)</f>
        <v/>
      </c>
      <c r="M216" s="5" t="n">
        <v>46243.5</v>
      </c>
      <c r="N216" t="inlineStr">
        <is>
          <t>TravelLine CMB</t>
        </is>
      </c>
      <c r="O216" s="2" t="inlineStr">
        <is>
          <t>СТАНДАРТНЫЙ ОДНОМЕСТНЫЙ НОМЕР</t>
        </is>
      </c>
      <c r="P216" s="6" t="n"/>
      <c r="R216" t="inlineStr"/>
      <c r="S216" t="inlineStr">
        <is>
          <t>Тариф с завтраком</t>
        </is>
      </c>
      <c r="T216" t="n">
        <v>0</v>
      </c>
      <c r="U216" t="n">
        <v>12782</v>
      </c>
    </row>
    <row r="217">
      <c r="A217" t="inlineStr">
        <is>
          <t>20260922-8186-466199429</t>
        </is>
      </c>
      <c r="B217" t="n">
        <v>1</v>
      </c>
      <c r="C217" s="2" t="inlineStr">
        <is>
          <t>АНТОН КУЗЬМИН</t>
        </is>
      </c>
      <c r="D217" s="3" t="n">
        <v>27921</v>
      </c>
      <c r="E217" s="4" t="n">
        <v>18</v>
      </c>
      <c r="F217" t="inlineStr">
        <is>
          <t>ООО "ТРИВИО СЕРВИС" [Чайковский]</t>
        </is>
      </c>
      <c r="G217" s="3">
        <f>ROUND(D217/(100-E217)*100,2)</f>
        <v/>
      </c>
      <c r="H217" s="5" t="n">
        <v>46287.29166666666</v>
      </c>
      <c r="I217" t="n">
        <v>3</v>
      </c>
      <c r="J217" s="3">
        <f>G217/I217</f>
        <v/>
      </c>
      <c r="K217">
        <f>IF(J217&gt;=5100,"ставка","мин.ставка")</f>
        <v/>
      </c>
      <c r="L217" s="3">
        <f>ROUND(IF(K217="мин.ставка",I217*100,G217/102*2),2)</f>
        <v/>
      </c>
      <c r="M217" s="5" t="n">
        <v>46290.5</v>
      </c>
      <c r="N217" t="inlineStr">
        <is>
          <t>TravelLine TIO</t>
        </is>
      </c>
      <c r="O217" s="2" t="inlineStr">
        <is>
          <t>СТАНДАРТНЫЙ ДВУХМЕСТНЫЙ НОМЕР</t>
        </is>
      </c>
      <c r="P217" s="6" t="n"/>
      <c r="R217" t="inlineStr"/>
      <c r="S217" t="inlineStr">
        <is>
          <t>Тариф с завтраком</t>
        </is>
      </c>
      <c r="T217" t="n">
        <v>9307</v>
      </c>
      <c r="U217" t="n">
        <v>37228</v>
      </c>
    </row>
    <row r="218">
      <c r="A218" t="inlineStr">
        <is>
          <t>20260712-8186-420926544</t>
        </is>
      </c>
      <c r="B218" t="n">
        <v>1</v>
      </c>
      <c r="C218" s="2" t="inlineStr">
        <is>
          <t>Антон Левкович, ИРИНА ЛЕВКОВИЧ</t>
        </is>
      </c>
      <c r="D218" s="3" t="n">
        <v>64080</v>
      </c>
      <c r="E218" s="4" t="n">
        <v>18</v>
      </c>
      <c r="F218" t="inlineStr">
        <is>
          <t>Яндекс.Путешествия [Чайковский]</t>
        </is>
      </c>
      <c r="G218" s="3">
        <f>ROUND(D218/(100-E218)*100,2)</f>
        <v/>
      </c>
      <c r="H218" s="5" t="n">
        <v>46215.58333333334</v>
      </c>
      <c r="I218" t="n">
        <v>6</v>
      </c>
      <c r="J218" s="3">
        <f>G218/I218</f>
        <v/>
      </c>
      <c r="K218">
        <f>IF(J218&gt;=5100,"ставка","мин.ставка")</f>
        <v/>
      </c>
      <c r="L218" s="3">
        <f>ROUND(IF(K218="мин.ставка",I218*100,G218/102*2),2)</f>
        <v/>
      </c>
      <c r="M218" s="5" t="n">
        <v>46221.5</v>
      </c>
      <c r="N218" t="inlineStr">
        <is>
          <t>TravelLine YAX</t>
        </is>
      </c>
      <c r="O218" s="2" t="inlineStr">
        <is>
          <t>СТАНДАРТНЫЙ ДВУХМЕСТНЫЙ НОМЕР</t>
        </is>
      </c>
      <c r="P218" s="6" t="n"/>
      <c r="R218" t="inlineStr"/>
      <c r="S218" t="inlineStr">
        <is>
          <t>Тариф с завтраком</t>
        </is>
      </c>
      <c r="T218" t="n">
        <v>0</v>
      </c>
      <c r="U218" t="n">
        <v>64080</v>
      </c>
    </row>
    <row r="219">
      <c r="A219" t="inlineStr">
        <is>
          <t>20260915-8186-462867776</t>
        </is>
      </c>
      <c r="B219" t="n">
        <v>1</v>
      </c>
      <c r="C219" s="2" t="inlineStr">
        <is>
          <t>Антон Панарин, Елена Гущина</t>
        </is>
      </c>
      <c r="D219" s="3" t="n">
        <v>26180</v>
      </c>
      <c r="E219" s="4" t="n">
        <v>15</v>
      </c>
      <c r="F219" t="inlineStr">
        <is>
          <t>ООО Тинькофф Путешествия [Чайковский]</t>
        </is>
      </c>
      <c r="G219" s="3">
        <f>ROUND(D219/(100-E219)*100,2)</f>
        <v/>
      </c>
      <c r="H219" s="5" t="n">
        <v>46280.91666666666</v>
      </c>
      <c r="I219" t="n">
        <v>2</v>
      </c>
      <c r="J219" s="3">
        <f>G219/I219</f>
        <v/>
      </c>
      <c r="K219">
        <f>IF(J219&gt;=5100,"ставка","мин.ставка")</f>
        <v/>
      </c>
      <c r="L219" s="3">
        <f>ROUND(IF(K219="мин.ставка",I219*100,G219/102*2),2)</f>
        <v/>
      </c>
      <c r="M219" s="5" t="n">
        <v>46282.5</v>
      </c>
      <c r="N219" t="inlineStr">
        <is>
          <t>TravelLine TNK</t>
        </is>
      </c>
      <c r="O219" s="2" t="inlineStr">
        <is>
          <t>УЛУЧШЕННЫЙ ДВУХМЕСТНЫЙ НОМЕР</t>
        </is>
      </c>
      <c r="P219" s="6" t="n"/>
      <c r="R219" t="inlineStr"/>
      <c r="S219" t="inlineStr">
        <is>
          <t>Тариф с завтраком</t>
        </is>
      </c>
      <c r="T219" t="n">
        <v>0</v>
      </c>
      <c r="U219" t="n">
        <v>26180</v>
      </c>
    </row>
    <row r="220">
      <c r="A220" t="inlineStr">
        <is>
          <t>20260713-8186-448881093</t>
        </is>
      </c>
      <c r="B220" t="n">
        <v>1</v>
      </c>
      <c r="C220" s="2" t="inlineStr">
        <is>
          <t>Антон Порядин</t>
        </is>
      </c>
      <c r="D220" s="3" t="n">
        <v>6478</v>
      </c>
      <c r="E220" s="4" t="n">
        <v>18</v>
      </c>
      <c r="F220" t="inlineStr">
        <is>
          <t>ООО "Эй энд Эй" [Чайковский]</t>
        </is>
      </c>
      <c r="G220" s="3">
        <f>ROUND(D220/(100-E220)*100,2)</f>
        <v/>
      </c>
      <c r="H220" s="5" t="n">
        <v>46216.58333333334</v>
      </c>
      <c r="I220" t="n">
        <v>1</v>
      </c>
      <c r="J220" s="3">
        <f>G220/I220</f>
        <v/>
      </c>
      <c r="K220">
        <f>IF(J220&gt;=5100,"ставка","мин.ставка")</f>
        <v/>
      </c>
      <c r="L220" s="3">
        <f>ROUND(IF(K220="мин.ставка",I220*100,G220/102*2),2)</f>
        <v/>
      </c>
      <c r="M220" s="5" t="n">
        <v>46217.5</v>
      </c>
      <c r="N220" t="inlineStr">
        <is>
          <t>TravelLine ANA</t>
        </is>
      </c>
      <c r="O220" s="2" t="inlineStr">
        <is>
          <t>СТАНДАРТНЫЙ ДВУХМЕСТНЫЙ НОМЕР (МАНСАРДА)</t>
        </is>
      </c>
      <c r="P220" s="6" t="n"/>
      <c r="R220" t="inlineStr"/>
      <c r="S220" t="inlineStr">
        <is>
          <t>Тариф с завтраком</t>
        </is>
      </c>
      <c r="T220" t="n">
        <v>0</v>
      </c>
      <c r="U220" t="n">
        <v>6478</v>
      </c>
    </row>
    <row r="221">
      <c r="A221" t="inlineStr">
        <is>
          <t>20260806-8186-450640950</t>
        </is>
      </c>
      <c r="B221" t="n">
        <v>1</v>
      </c>
      <c r="C221" s="2" t="inlineStr">
        <is>
          <t>АНТОН СЕМЕНЦОВ</t>
        </is>
      </c>
      <c r="D221" s="3" t="n">
        <v>28942.5</v>
      </c>
      <c r="E221" s="4" t="n">
        <v>15</v>
      </c>
      <c r="F221" t="inlineStr">
        <is>
          <t>ООО «12Т» (ранее ONE TWO TRIP) [Чайковский]</t>
        </is>
      </c>
      <c r="G221" s="3">
        <f>ROUND(D221/(100-E221)*100,2)</f>
        <v/>
      </c>
      <c r="H221" s="5" t="n">
        <v>46240.58333333334</v>
      </c>
      <c r="I221" t="n">
        <v>3</v>
      </c>
      <c r="J221" s="3">
        <f>G221/I221</f>
        <v/>
      </c>
      <c r="K221">
        <f>IF(J221&gt;=5100,"ставка","мин.ставка")</f>
        <v/>
      </c>
      <c r="L221" s="3">
        <f>ROUND(IF(K221="мин.ставка",I221*100,G221/102*2),2)</f>
        <v/>
      </c>
      <c r="M221" s="5" t="n">
        <v>46243.5</v>
      </c>
      <c r="N221" t="inlineStr">
        <is>
          <t>TravelLine OTT</t>
        </is>
      </c>
      <c r="O221" s="2" t="inlineStr">
        <is>
          <t>СТАНДАРТНЫЙ ДВУХМЕСТНЫЙ НОМЕР</t>
        </is>
      </c>
      <c r="P221" s="6" t="n"/>
      <c r="R221" t="inlineStr"/>
      <c r="S221" t="inlineStr">
        <is>
          <t>Тариф с завтраком</t>
        </is>
      </c>
      <c r="T221" t="n">
        <v>0</v>
      </c>
      <c r="U221" t="n">
        <v>86827.5</v>
      </c>
    </row>
    <row r="222">
      <c r="A222" t="inlineStr">
        <is>
          <t>20260728-8186-452928899</t>
        </is>
      </c>
      <c r="B222" t="n">
        <v>1</v>
      </c>
      <c r="C222" s="2" t="inlineStr">
        <is>
          <t>Антон Тузов</t>
        </is>
      </c>
      <c r="D222" s="3" t="n">
        <v>6320</v>
      </c>
      <c r="E222" s="4" t="n">
        <v>20</v>
      </c>
      <c r="F222" t="inlineStr">
        <is>
          <t>ООО "УК ГЦБ и Т" [Чайковский]</t>
        </is>
      </c>
      <c r="G222" s="3">
        <f>ROUND(D222/(100-E222)*100,2)</f>
        <v/>
      </c>
      <c r="H222" s="5" t="n">
        <v>46231.58333333334</v>
      </c>
      <c r="I222" t="n">
        <v>1</v>
      </c>
      <c r="J222" s="3">
        <f>G222/I222</f>
        <v/>
      </c>
      <c r="K222">
        <f>IF(J222&gt;=5100,"ставка","мин.ставка")</f>
        <v/>
      </c>
      <c r="L222" s="3">
        <f>ROUND(IF(K222="мин.ставка",I222*100,G222/102*2),2)</f>
        <v/>
      </c>
      <c r="M222" s="5" t="n">
        <v>46232.5</v>
      </c>
      <c r="N222" t="inlineStr">
        <is>
          <t>TravelLine CBC</t>
        </is>
      </c>
      <c r="O222" s="2" t="inlineStr">
        <is>
          <t>СТАНДАРТНЫЙ ДВУХМЕСТНЫЙ НОМЕР (МАНСАРДА)</t>
        </is>
      </c>
      <c r="P222" s="6" t="n"/>
      <c r="R222" t="inlineStr"/>
      <c r="S222" t="inlineStr">
        <is>
          <t>Тариф с завтраком</t>
        </is>
      </c>
      <c r="T222" t="n">
        <v>0</v>
      </c>
      <c r="U222" t="n">
        <v>6320</v>
      </c>
    </row>
    <row r="223">
      <c r="A223" t="inlineStr">
        <is>
          <t>20260723-8186-439560864</t>
        </is>
      </c>
      <c r="B223" t="n">
        <v>1</v>
      </c>
      <c r="C223" s="2" t="inlineStr">
        <is>
          <t>Антон Чуйко, Варвара Соловьева</t>
        </is>
      </c>
      <c r="D223" s="3" t="n">
        <v>22695</v>
      </c>
      <c r="E223" s="4" t="n">
        <v>15</v>
      </c>
      <c r="F223" t="inlineStr">
        <is>
          <t>ООО "БРОНИРОВАНИЕ ГОСТИНИЦ" (OSTROVOK) [Чайковский]</t>
        </is>
      </c>
      <c r="G223" s="3">
        <f>ROUND(D223/(100-E223)*100,2)</f>
        <v/>
      </c>
      <c r="H223" s="5" t="n">
        <v>46226.58333333334</v>
      </c>
      <c r="I223" t="n">
        <v>2</v>
      </c>
      <c r="J223" s="3">
        <f>G223/I223</f>
        <v/>
      </c>
      <c r="K223">
        <f>IF(J223&gt;=5100,"ставка","мин.ставка")</f>
        <v/>
      </c>
      <c r="L223" s="3">
        <f>ROUND(IF(K223="мин.ставка",I223*100,G223/102*2),2)</f>
        <v/>
      </c>
      <c r="M223" s="5" t="n">
        <v>46228.5</v>
      </c>
      <c r="N223" t="inlineStr">
        <is>
          <t>TravelLine OTK</t>
        </is>
      </c>
      <c r="O223" s="2" t="inlineStr">
        <is>
          <t>СТАНДАРТНЫЙ ДВУХМЕСТНЫЙ НОМЕР</t>
        </is>
      </c>
      <c r="P223" s="6" t="n"/>
      <c r="R223" t="inlineStr"/>
      <c r="S223" t="inlineStr">
        <is>
          <t>Тариф с завтраком</t>
        </is>
      </c>
      <c r="T223" t="n">
        <v>0</v>
      </c>
      <c r="U223" t="n">
        <v>22695</v>
      </c>
    </row>
    <row r="224">
      <c r="A224" t="inlineStr">
        <is>
          <t>20260711-8186-447668511</t>
        </is>
      </c>
      <c r="B224" t="n">
        <v>1</v>
      </c>
      <c r="C224" s="2" t="inlineStr">
        <is>
          <t>Ариадна Рокоссовская, Юрий Лепский</t>
        </is>
      </c>
      <c r="D224" s="3" t="n">
        <v>12282.5</v>
      </c>
      <c r="E224" s="4" t="n">
        <v>15</v>
      </c>
      <c r="F224" t="inlineStr">
        <is>
          <t>ООО "БРОНИРОВАНИЕ ГОСТИНИЦ" (OSTROVOK) [Чайковский]</t>
        </is>
      </c>
      <c r="G224" s="3">
        <f>ROUND(D224/(100-E224)*100,2)</f>
        <v/>
      </c>
      <c r="H224" s="5" t="n">
        <v>46214.58333333334</v>
      </c>
      <c r="I224" t="n">
        <v>1</v>
      </c>
      <c r="J224" s="3">
        <f>G224/I224</f>
        <v/>
      </c>
      <c r="K224">
        <f>IF(J224&gt;=5100,"ставка","мин.ставка")</f>
        <v/>
      </c>
      <c r="L224" s="3">
        <f>ROUND(IF(K224="мин.ставка",I224*100,G224/102*2),2)</f>
        <v/>
      </c>
      <c r="M224" s="5" t="n">
        <v>46215.5</v>
      </c>
      <c r="N224" t="inlineStr">
        <is>
          <t>TravelLine OTK</t>
        </is>
      </c>
      <c r="O224" s="2" t="inlineStr">
        <is>
          <t>СЕМЕЙНЫЙ НОМЕР КАТЕГОРИИ "СТАНДАРТ" ВТОРОЙ КОРПУС</t>
        </is>
      </c>
      <c r="P224" s="6" t="n"/>
      <c r="R224" t="inlineStr"/>
      <c r="S224" t="inlineStr">
        <is>
          <t>Тариф с завтраком</t>
        </is>
      </c>
      <c r="T224" t="n">
        <v>0</v>
      </c>
      <c r="U224" t="n">
        <v>12282.5</v>
      </c>
    </row>
    <row r="225">
      <c r="A225" t="inlineStr">
        <is>
          <t>20260904-8186-461720395</t>
        </is>
      </c>
      <c r="B225" t="n">
        <v>1</v>
      </c>
      <c r="C225" s="2" t="inlineStr">
        <is>
          <t>Арина Глебова</t>
        </is>
      </c>
      <c r="D225" s="3" t="n">
        <v>36320</v>
      </c>
      <c r="E225" s="4" t="n">
        <v>20</v>
      </c>
      <c r="F225" t="inlineStr">
        <is>
          <t>ООО "КОМПАНИЯ БРОНЕВИК" [Чайковский]</t>
        </is>
      </c>
      <c r="G225" s="3">
        <f>ROUND(D225/(100-E225)*100,2)</f>
        <v/>
      </c>
      <c r="H225" s="5" t="n">
        <v>46269.58333333334</v>
      </c>
      <c r="I225" t="n">
        <v>4</v>
      </c>
      <c r="J225" s="3">
        <f>G225/I225</f>
        <v/>
      </c>
      <c r="K225">
        <f>IF(J225&gt;=5100,"ставка","мин.ставка")</f>
        <v/>
      </c>
      <c r="L225" s="3">
        <f>ROUND(IF(K225="мин.ставка",I225*100,G225/102*2),2)</f>
        <v/>
      </c>
      <c r="M225" s="5" t="n">
        <v>46273.5</v>
      </c>
      <c r="N225" t="inlineStr">
        <is>
          <t>TravelLine BR2</t>
        </is>
      </c>
      <c r="O225" s="2" t="inlineStr">
        <is>
          <t>СТАНДАРТНЫЙ ДВУХМЕСТНЫЙ НОМЕР</t>
        </is>
      </c>
      <c r="P225" s="6" t="n"/>
      <c r="R225" t="inlineStr"/>
      <c r="S225" t="inlineStr">
        <is>
          <t>Тариф с завтраком</t>
        </is>
      </c>
      <c r="T225" t="n">
        <v>0</v>
      </c>
      <c r="U225" t="n">
        <v>36320</v>
      </c>
    </row>
    <row r="226">
      <c r="A226" t="inlineStr">
        <is>
          <t>20260824-8186-408385125</t>
        </is>
      </c>
      <c r="B226" t="n">
        <v>1</v>
      </c>
      <c r="C226" s="2" t="inlineStr">
        <is>
          <t>Арина Николаенкова</t>
        </is>
      </c>
      <c r="D226" s="3" t="n">
        <v>47281.5</v>
      </c>
      <c r="E226" s="4" t="n">
        <v>4</v>
      </c>
      <c r="F226" t="inlineStr">
        <is>
          <t>TravelLine Booking Engine [Чайковский]</t>
        </is>
      </c>
      <c r="G226" s="3">
        <f>ROUND(D226/(100-E226)*100,2)</f>
        <v/>
      </c>
      <c r="H226" s="5" t="n">
        <v>46258.58333333334</v>
      </c>
      <c r="I226" t="n">
        <v>6</v>
      </c>
      <c r="J226" s="3">
        <f>G226/I226</f>
        <v/>
      </c>
      <c r="K226">
        <f>IF(J226&gt;=5100,"ставка","мин.ставка")</f>
        <v/>
      </c>
      <c r="L226" s="3">
        <f>ROUND(IF(K226="мин.ставка",I226*100,G226/102*2),2)</f>
        <v/>
      </c>
      <c r="M226" s="5" t="n">
        <v>46264.5</v>
      </c>
      <c r="N226" t="inlineStr">
        <is>
          <t>TravelLine сайт</t>
        </is>
      </c>
      <c r="O226" s="2" t="inlineStr">
        <is>
          <t>СТАНДАРТНЫЙ ДВУХМЕСТНЫЙ НОМЕР (МАНСАРДА)</t>
        </is>
      </c>
      <c r="P226" s="6" t="n"/>
      <c r="R226" t="inlineStr"/>
      <c r="S226" t="inlineStr">
        <is>
          <t>Тариф с завтраком</t>
        </is>
      </c>
      <c r="T226" t="n">
        <v>0</v>
      </c>
      <c r="U226" t="n">
        <v>47281.5</v>
      </c>
    </row>
    <row r="227">
      <c r="A227" t="inlineStr">
        <is>
          <t>20260929-8186-467723154</t>
        </is>
      </c>
      <c r="B227" t="n">
        <v>1</v>
      </c>
      <c r="C227" s="2" t="inlineStr">
        <is>
          <t>Аркадий Лурье, Ангелина Лурье</t>
        </is>
      </c>
      <c r="D227" s="3" t="n">
        <v>61625</v>
      </c>
      <c r="E227" s="4" t="n">
        <v>0</v>
      </c>
      <c r="F227" t="inlineStr">
        <is>
          <t>ООО "АЛЕАН ОТДЫХ" [Чайковский]</t>
        </is>
      </c>
      <c r="G227" s="3">
        <f>ROUND(D227/(100-E227)*100,2)</f>
        <v/>
      </c>
      <c r="H227" s="5" t="n">
        <v>46294.58333333334</v>
      </c>
      <c r="I227" t="n">
        <v>6</v>
      </c>
      <c r="J227" s="3">
        <f>G227/I227</f>
        <v/>
      </c>
      <c r="K227">
        <f>IF(J227&gt;=5100,"ставка","мин.ставка")</f>
        <v/>
      </c>
      <c r="L227" s="3">
        <f>ROUND(IF(K227="мин.ставка",I227*100,G227/102*2),2)</f>
        <v/>
      </c>
      <c r="M227" s="5" t="n">
        <v>46300.5</v>
      </c>
      <c r="N227" t="inlineStr">
        <is>
          <t>TravelLine ALN</t>
        </is>
      </c>
      <c r="O227" s="2" t="inlineStr">
        <is>
          <t>СТАНДАРТНЫЙ ДВУХМЕСТНЫЙ НОМЕР</t>
        </is>
      </c>
      <c r="P227" s="6" t="n"/>
      <c r="R227" t="inlineStr"/>
      <c r="S227" t="inlineStr">
        <is>
          <t>Тариф с завтраком</t>
        </is>
      </c>
      <c r="T227" t="n">
        <v>0</v>
      </c>
      <c r="U227" t="n">
        <v>61625</v>
      </c>
    </row>
    <row r="228">
      <c r="A228" t="inlineStr">
        <is>
          <t>20260728-8186-453751353</t>
        </is>
      </c>
      <c r="B228" t="n">
        <v>1</v>
      </c>
      <c r="C228" s="2" t="inlineStr">
        <is>
          <t>аркадий плява</t>
        </is>
      </c>
      <c r="D228" s="3" t="n">
        <v>8900</v>
      </c>
      <c r="E228" s="4" t="n">
        <v>0</v>
      </c>
      <c r="F228" t="inlineStr">
        <is>
          <t>Прямые бронирования (стойка) [Чайковский]</t>
        </is>
      </c>
      <c r="G228" s="3">
        <f>ROUND(D228/(100-E228)*100,2)</f>
        <v/>
      </c>
      <c r="H228" s="5" t="n">
        <v>46231.58333333334</v>
      </c>
      <c r="I228" t="n">
        <v>1</v>
      </c>
      <c r="J228" s="3">
        <f>G228/I228</f>
        <v/>
      </c>
      <c r="K228">
        <f>IF(J228&gt;=5100,"ставка","мин.ставка")</f>
        <v/>
      </c>
      <c r="L228" s="3">
        <f>ROUND(IF(K228="мин.ставка",I228*100,G228/102*2),2)</f>
        <v/>
      </c>
      <c r="M228" s="5" t="n">
        <v>46232.5</v>
      </c>
      <c r="N228" t="inlineStr">
        <is>
          <t>TravelLine ресепшн</t>
        </is>
      </c>
      <c r="O228" s="2" t="inlineStr">
        <is>
          <t>СТАНДАРТНЫЙ ДВУХМЕСТНЫЙ НОМЕР</t>
        </is>
      </c>
      <c r="P228" s="6" t="n"/>
      <c r="R228" t="inlineStr"/>
      <c r="S228" t="inlineStr">
        <is>
          <t>Тариф с завтраком</t>
        </is>
      </c>
      <c r="T228" t="n">
        <v>0</v>
      </c>
      <c r="U228" t="n">
        <v>8900</v>
      </c>
    </row>
    <row r="229">
      <c r="A229" t="inlineStr">
        <is>
          <t>20260925-8186-468345543</t>
        </is>
      </c>
      <c r="B229" t="n">
        <v>1</v>
      </c>
      <c r="C229" s="2" t="inlineStr">
        <is>
          <t>Арсен Силанян, Юлия Егорова</t>
        </is>
      </c>
      <c r="D229" s="3" t="n">
        <v>14002.05</v>
      </c>
      <c r="E229" s="4" t="n">
        <v>4</v>
      </c>
      <c r="F229" t="inlineStr">
        <is>
          <t>TravelLine Booking Engine [Чайковский]</t>
        </is>
      </c>
      <c r="G229" s="3">
        <f>ROUND(D229/(100-E229)*100,2)</f>
        <v/>
      </c>
      <c r="H229" s="5" t="n">
        <v>46290.58333333334</v>
      </c>
      <c r="I229" t="n">
        <v>1</v>
      </c>
      <c r="J229" s="3">
        <f>G229/I229</f>
        <v/>
      </c>
      <c r="K229">
        <f>IF(J229&gt;=5100,"ставка","мин.ставка")</f>
        <v/>
      </c>
      <c r="L229" s="3">
        <f>ROUND(IF(K229="мин.ставка",I229*100,G229/102*2),2)</f>
        <v/>
      </c>
      <c r="M229" s="5" t="n">
        <v>46291.5</v>
      </c>
      <c r="N229" t="inlineStr">
        <is>
          <t>TravelLine сайт</t>
        </is>
      </c>
      <c r="O229" s="2" t="inlineStr">
        <is>
          <t>СЕМЕЙНЫЙ НОМЕР КАТЕГОРИИ "СТАНДАРТ" ВТОРОЙ КОРПУС</t>
        </is>
      </c>
      <c r="P229" s="6" t="n"/>
      <c r="R229" t="inlineStr"/>
      <c r="S229" t="inlineStr">
        <is>
          <t>Тариф с завтраком</t>
        </is>
      </c>
      <c r="T229" t="n">
        <v>0</v>
      </c>
      <c r="U229" t="n">
        <v>14002.05</v>
      </c>
    </row>
    <row r="230">
      <c r="A230" t="inlineStr">
        <is>
          <t>20260807-8186-455506727</t>
        </is>
      </c>
      <c r="B230" t="n">
        <v>1</v>
      </c>
      <c r="C230" s="2" t="inlineStr">
        <is>
          <t>Арсений Молотков, Екатерина Молоткова</t>
        </is>
      </c>
      <c r="D230" s="3" t="n">
        <v>8217</v>
      </c>
      <c r="E230" s="4" t="n">
        <v>18</v>
      </c>
      <c r="F230" t="inlineStr">
        <is>
          <t>Яндекс.Путешествия [Чайковский]</t>
        </is>
      </c>
      <c r="G230" s="3">
        <f>ROUND(D230/(100-E230)*100,2)</f>
        <v/>
      </c>
      <c r="H230" s="5" t="n">
        <v>46241.58333333334</v>
      </c>
      <c r="I230" t="n">
        <v>1</v>
      </c>
      <c r="J230" s="3">
        <f>G230/I230</f>
        <v/>
      </c>
      <c r="K230">
        <f>IF(J230&gt;=5100,"ставка","мин.ставка")</f>
        <v/>
      </c>
      <c r="L230" s="3">
        <f>ROUND(IF(K230="мин.ставка",I230*100,G230/102*2),2)</f>
        <v/>
      </c>
      <c r="M230" s="5" t="n">
        <v>46242.5</v>
      </c>
      <c r="N230" t="inlineStr">
        <is>
          <t>TravelLine YAX</t>
        </is>
      </c>
      <c r="O230" s="2" t="inlineStr">
        <is>
          <t>СТАНДАРТНЫЙ ДВУХМЕСТНЫЙ НОМЕР (МАНСАРДА)</t>
        </is>
      </c>
      <c r="P230" s="6" t="n"/>
      <c r="R230" t="inlineStr"/>
      <c r="S230" t="inlineStr">
        <is>
          <t>Тариф с завтраком</t>
        </is>
      </c>
      <c r="T230" t="n">
        <v>0</v>
      </c>
      <c r="U230" t="n">
        <v>8217</v>
      </c>
    </row>
    <row r="231">
      <c r="A231" t="inlineStr">
        <is>
          <t>20260821-8186-445193379</t>
        </is>
      </c>
      <c r="B231" t="n">
        <v>1</v>
      </c>
      <c r="C231" s="2" t="inlineStr">
        <is>
          <t>Артем Белоногов</t>
        </is>
      </c>
      <c r="D231" s="3" t="n">
        <v>6764</v>
      </c>
      <c r="E231" s="4" t="n">
        <v>17</v>
      </c>
      <c r="F231" t="inlineStr">
        <is>
          <t>ООО «Интернет Трэвел» (OZON) [Чайковский]</t>
        </is>
      </c>
      <c r="G231" s="3">
        <f>ROUND(D231/(100-E231)*100,2)</f>
        <v/>
      </c>
      <c r="H231" s="5" t="n">
        <v>46255.58333333334</v>
      </c>
      <c r="I231" t="n">
        <v>1</v>
      </c>
      <c r="J231" s="3">
        <f>G231/I231</f>
        <v/>
      </c>
      <c r="K231">
        <f>IF(J231&gt;=5100,"ставка","мин.ставка")</f>
        <v/>
      </c>
      <c r="L231" s="3">
        <f>ROUND(IF(K231="мин.ставка",I231*100,G231/102*2),2)</f>
        <v/>
      </c>
      <c r="M231" s="5" t="n">
        <v>46256.5</v>
      </c>
      <c r="N231" t="inlineStr">
        <is>
          <t>TravelLine OZ2</t>
        </is>
      </c>
      <c r="O231" s="2" t="inlineStr">
        <is>
          <t>СТАНДАРТНЫЙ ДВУХМЕСТНЫЙ НОМЕР (МАНСАРДА)</t>
        </is>
      </c>
      <c r="P231" s="6" t="n"/>
      <c r="R231" t="inlineStr"/>
      <c r="S231" t="inlineStr">
        <is>
          <t>Тариф с завтраком</t>
        </is>
      </c>
      <c r="T231" t="n">
        <v>0</v>
      </c>
      <c r="U231" t="n">
        <v>6764</v>
      </c>
    </row>
    <row r="232">
      <c r="A232" t="inlineStr">
        <is>
          <t>20260822-8186-445188441</t>
        </is>
      </c>
      <c r="B232" t="n">
        <v>1</v>
      </c>
      <c r="C232" s="2" t="inlineStr">
        <is>
          <t>Артем Белоногов</t>
        </is>
      </c>
      <c r="D232" s="3" t="n">
        <v>6557</v>
      </c>
      <c r="E232" s="4" t="n">
        <v>17</v>
      </c>
      <c r="F232" t="inlineStr">
        <is>
          <t>ООО «Интернет Трэвел» (OZON) [Чайковский]</t>
        </is>
      </c>
      <c r="G232" s="3">
        <f>ROUND(D232/(100-E232)*100,2)</f>
        <v/>
      </c>
      <c r="H232" s="5" t="n">
        <v>46256.58333333334</v>
      </c>
      <c r="I232" t="n">
        <v>1</v>
      </c>
      <c r="J232" s="3">
        <f>G232/I232</f>
        <v/>
      </c>
      <c r="K232">
        <f>IF(J232&gt;=5100,"ставка","мин.ставка")</f>
        <v/>
      </c>
      <c r="L232" s="3">
        <f>ROUND(IF(K232="мин.ставка",I232*100,G232/102*2),2)</f>
        <v/>
      </c>
      <c r="M232" s="5" t="n">
        <v>46257.5</v>
      </c>
      <c r="N232" t="inlineStr">
        <is>
          <t>TravelLine OZ2</t>
        </is>
      </c>
      <c r="O232" s="2" t="inlineStr">
        <is>
          <t>СТАНДАРТНЫЙ ДВУХМЕСТНЫЙ НОМЕР (МАНСАРДА)</t>
        </is>
      </c>
      <c r="P232" s="6" t="n"/>
      <c r="R232" t="inlineStr"/>
      <c r="S232" t="inlineStr">
        <is>
          <t>Тариф с завтраком</t>
        </is>
      </c>
      <c r="T232" t="n">
        <v>0</v>
      </c>
      <c r="U232" t="n">
        <v>6557</v>
      </c>
    </row>
    <row r="233">
      <c r="A233" t="inlineStr">
        <is>
          <t>20260930-8186-466726157</t>
        </is>
      </c>
      <c r="B233" t="n">
        <v>1</v>
      </c>
      <c r="C233" s="2" t="inlineStr">
        <is>
          <t>АРТЕМ ВОРОБЕЙ-РОМАНОВ</t>
        </is>
      </c>
      <c r="D233" s="3" t="n">
        <v>11680</v>
      </c>
      <c r="E233" s="4" t="n">
        <v>20</v>
      </c>
      <c r="F233" t="inlineStr">
        <is>
          <t>ООО "ХБ-ПРО" [Чайковский]</t>
        </is>
      </c>
      <c r="G233" s="3">
        <f>ROUND(D233/(100-E233)*100,2)</f>
        <v/>
      </c>
      <c r="H233" s="5" t="n">
        <v>46295.58333333334</v>
      </c>
      <c r="I233" t="n">
        <v>2</v>
      </c>
      <c r="J233" s="3">
        <f>G233/I233</f>
        <v/>
      </c>
      <c r="K233">
        <f>IF(J233&gt;=5100,"ставка","мин.ставка")</f>
        <v/>
      </c>
      <c r="L233" s="3">
        <f>ROUND(IF(K233="мин.ставка",I233*100,G233/102*2),2)</f>
        <v/>
      </c>
      <c r="M233" s="5" t="n">
        <v>46297.5</v>
      </c>
      <c r="N233" t="inlineStr">
        <is>
          <t>TravelLine UTS</t>
        </is>
      </c>
      <c r="O233" s="2" t="inlineStr">
        <is>
          <t>СТАНДАРТНЫЙ ОДНОМЕСТНЫЙ НОМЕР</t>
        </is>
      </c>
      <c r="P233" s="6" t="n"/>
      <c r="R233" t="inlineStr"/>
      <c r="S233" t="inlineStr">
        <is>
          <t>Тариф с завтраком</t>
        </is>
      </c>
      <c r="T233" t="n">
        <v>0</v>
      </c>
      <c r="U233" t="n">
        <v>11680</v>
      </c>
    </row>
    <row r="234">
      <c r="A234" t="inlineStr">
        <is>
          <t>20260922-8186-467596417</t>
        </is>
      </c>
      <c r="B234" t="n">
        <v>1</v>
      </c>
      <c r="C234" s="2" t="inlineStr">
        <is>
          <t>Артем Дертев, Виринея Дертева</t>
        </is>
      </c>
      <c r="D234" s="3" t="n">
        <v>21945</v>
      </c>
      <c r="E234" s="4" t="n">
        <v>18</v>
      </c>
      <c r="F234" t="inlineStr">
        <is>
          <t>Яндекс.Путешествия [Чайковский]</t>
        </is>
      </c>
      <c r="G234" s="3">
        <f>ROUND(D234/(100-E234)*100,2)</f>
        <v/>
      </c>
      <c r="H234" s="5" t="n">
        <v>46287.58333333334</v>
      </c>
      <c r="I234" t="n">
        <v>2</v>
      </c>
      <c r="J234" s="3">
        <f>G234/I234</f>
        <v/>
      </c>
      <c r="K234">
        <f>IF(J234&gt;=5100,"ставка","мин.ставка")</f>
        <v/>
      </c>
      <c r="L234" s="3">
        <f>ROUND(IF(K234="мин.ставка",I234*100,G234/102*2),2)</f>
        <v/>
      </c>
      <c r="M234" s="5" t="n">
        <v>46289.5</v>
      </c>
      <c r="N234" t="inlineStr">
        <is>
          <t>TravelLine YAX</t>
        </is>
      </c>
      <c r="O234" s="2" t="inlineStr">
        <is>
          <t>УЛУЧШЕННЫЙ ДВУХМЕСТНЫЙ НОМЕР</t>
        </is>
      </c>
      <c r="P234" s="6" t="n"/>
      <c r="R234" t="inlineStr"/>
      <c r="S234" t="inlineStr">
        <is>
          <t>Тариф с завтраком</t>
        </is>
      </c>
      <c r="T234" t="n">
        <v>0</v>
      </c>
      <c r="U234" t="n">
        <v>21945</v>
      </c>
    </row>
    <row r="235">
      <c r="A235" t="inlineStr">
        <is>
          <t>20260727-8186-447561905</t>
        </is>
      </c>
      <c r="B235" t="n">
        <v>1</v>
      </c>
      <c r="C235" s="2" t="inlineStr">
        <is>
          <t>Артём Зельдич, Анастасия Кондратьева</t>
        </is>
      </c>
      <c r="D235" s="3" t="n">
        <v>40584</v>
      </c>
      <c r="E235" s="4" t="n">
        <v>18</v>
      </c>
      <c r="F235" t="inlineStr">
        <is>
          <t>Яндекс.Путешествия [Чайковский]</t>
        </is>
      </c>
      <c r="G235" s="3">
        <f>ROUND(D235/(100-E235)*100,2)</f>
        <v/>
      </c>
      <c r="H235" s="5" t="n">
        <v>46230.58333333334</v>
      </c>
      <c r="I235" t="n">
        <v>4</v>
      </c>
      <c r="J235" s="3">
        <f>G235/I235</f>
        <v/>
      </c>
      <c r="K235">
        <f>IF(J235&gt;=5100,"ставка","мин.ставка")</f>
        <v/>
      </c>
      <c r="L235" s="3">
        <f>ROUND(IF(K235="мин.ставка",I235*100,G235/102*2),2)</f>
        <v/>
      </c>
      <c r="M235" s="5" t="n">
        <v>46234.5</v>
      </c>
      <c r="N235" t="inlineStr">
        <is>
          <t>TravelLine YAX</t>
        </is>
      </c>
      <c r="O235" s="2" t="inlineStr">
        <is>
          <t>СТАНДАРТНЫЙ ДВУХМЕСТНЫЙ НОМЕР</t>
        </is>
      </c>
      <c r="P235" s="6" t="n"/>
      <c r="R235" t="inlineStr"/>
      <c r="S235" t="inlineStr">
        <is>
          <t>Тариф с завтраком</t>
        </is>
      </c>
      <c r="T235" t="n">
        <v>0</v>
      </c>
      <c r="U235" t="n">
        <v>40584</v>
      </c>
    </row>
    <row r="236">
      <c r="A236" t="inlineStr">
        <is>
          <t>20260803-8186-450274713</t>
        </is>
      </c>
      <c r="B236" t="n">
        <v>1</v>
      </c>
      <c r="C236" s="2" t="inlineStr">
        <is>
          <t>Артем Кавалерян</t>
        </is>
      </c>
      <c r="D236" s="3" t="n">
        <v>124679.75</v>
      </c>
      <c r="E236" s="4" t="n">
        <v>4</v>
      </c>
      <c r="F236" t="inlineStr">
        <is>
          <t>TravelLine Booking Engine [Чайковский]</t>
        </is>
      </c>
      <c r="G236" s="3">
        <f>ROUND(D236/(100-E236)*100,2)</f>
        <v/>
      </c>
      <c r="H236" s="5" t="n">
        <v>46237.58333333334</v>
      </c>
      <c r="I236" t="n">
        <v>11</v>
      </c>
      <c r="J236" s="3">
        <f>G236/I236</f>
        <v/>
      </c>
      <c r="K236">
        <f>IF(J236&gt;=5100,"ставка","мин.ставка")</f>
        <v/>
      </c>
      <c r="L236" s="3">
        <f>ROUND(IF(K236="мин.ставка",I236*100,G236/102*2),2)</f>
        <v/>
      </c>
      <c r="M236" s="5" t="n">
        <v>46248.5</v>
      </c>
      <c r="N236" t="inlineStr">
        <is>
          <t>TravelLine сайт</t>
        </is>
      </c>
      <c r="O236" s="2" t="inlineStr">
        <is>
          <t>СТАНДАРТНЫЙ ДВУХМЕСТНЫЙ НОМЕР</t>
        </is>
      </c>
      <c r="P236" s="6" t="n"/>
      <c r="R236" t="inlineStr"/>
      <c r="S236" t="inlineStr">
        <is>
          <t>Тариф с завтраком</t>
        </is>
      </c>
      <c r="T236" t="n">
        <v>2640</v>
      </c>
      <c r="U236" t="n">
        <v>127319.75</v>
      </c>
    </row>
    <row r="237">
      <c r="A237" t="inlineStr">
        <is>
          <t>20260828-8186-459849342</t>
        </is>
      </c>
      <c r="B237" t="n">
        <v>1</v>
      </c>
      <c r="C237" s="2" t="inlineStr">
        <is>
          <t>Артём Калинин, Александра Конторина</t>
        </is>
      </c>
      <c r="D237" s="3" t="n">
        <v>21360</v>
      </c>
      <c r="E237" s="4" t="n">
        <v>20</v>
      </c>
      <c r="F237" t="inlineStr">
        <is>
          <t>ООО "КОМПАНИЯ БРОНЕВИК" [Чайковский]</t>
        </is>
      </c>
      <c r="G237" s="3">
        <f>ROUND(D237/(100-E237)*100,2)</f>
        <v/>
      </c>
      <c r="H237" s="5" t="n">
        <v>46262.58333333334</v>
      </c>
      <c r="I237" t="n">
        <v>2</v>
      </c>
      <c r="J237" s="3">
        <f>G237/I237</f>
        <v/>
      </c>
      <c r="K237">
        <f>IF(J237&gt;=5100,"ставка","мин.ставка")</f>
        <v/>
      </c>
      <c r="L237" s="3">
        <f>ROUND(IF(K237="мин.ставка",I237*100,G237/102*2),2)</f>
        <v/>
      </c>
      <c r="M237" s="5" t="n">
        <v>46264.5</v>
      </c>
      <c r="N237" t="inlineStr">
        <is>
          <t>TravelLine BR2</t>
        </is>
      </c>
      <c r="O237" s="2" t="inlineStr">
        <is>
          <t>СТАНДАРТНЫЙ ДВУХМЕСТНЫЙ НОМЕР</t>
        </is>
      </c>
      <c r="P237" s="6" t="n"/>
      <c r="R237" t="inlineStr"/>
      <c r="S237" t="inlineStr">
        <is>
          <t>Тариф с завтраком</t>
        </is>
      </c>
      <c r="T237" t="n">
        <v>0</v>
      </c>
      <c r="U237" t="n">
        <v>21360</v>
      </c>
    </row>
    <row r="238">
      <c r="A238" t="inlineStr">
        <is>
          <t>20260918-8186-466399590</t>
        </is>
      </c>
      <c r="B238" t="n">
        <v>1</v>
      </c>
      <c r="C238" s="2" t="inlineStr">
        <is>
          <t>АРТЁМ КИРИЧЕНКО, Виолетта Хисамова</t>
        </is>
      </c>
      <c r="D238" s="3" t="n">
        <v>17248.2</v>
      </c>
      <c r="E238" s="4" t="n">
        <v>4</v>
      </c>
      <c r="F238" t="inlineStr">
        <is>
          <t>TravelLine Booking Engine [Чайковский]</t>
        </is>
      </c>
      <c r="G238" s="3">
        <f>ROUND(D238/(100-E238)*100,2)</f>
        <v/>
      </c>
      <c r="H238" s="5" t="n">
        <v>46283.58333333334</v>
      </c>
      <c r="I238" t="n">
        <v>1</v>
      </c>
      <c r="J238" s="3">
        <f>G238/I238</f>
        <v/>
      </c>
      <c r="K238">
        <f>IF(J238&gt;=5100,"ставка","мин.ставка")</f>
        <v/>
      </c>
      <c r="L238" s="3">
        <f>ROUND(IF(K238="мин.ставка",I238*100,G238/102*2),2)</f>
        <v/>
      </c>
      <c r="M238" s="5" t="n">
        <v>46284.5</v>
      </c>
      <c r="N238" t="inlineStr">
        <is>
          <t>TravelLine сайт</t>
        </is>
      </c>
      <c r="O238" s="2" t="inlineStr">
        <is>
          <t>ЛЮКС ВТОРОЙ КОРПУС</t>
        </is>
      </c>
      <c r="P238" s="6" t="n"/>
      <c r="R238" t="inlineStr"/>
      <c r="S238" t="inlineStr">
        <is>
          <t>Тариф с завтраком</t>
        </is>
      </c>
      <c r="T238" t="n">
        <v>0</v>
      </c>
      <c r="U238" t="n">
        <v>17248.2</v>
      </c>
    </row>
    <row r="239">
      <c r="A239" t="inlineStr">
        <is>
          <t>20260727-8186-449472645</t>
        </is>
      </c>
      <c r="B239" t="n">
        <v>1</v>
      </c>
      <c r="C239" s="2" t="inlineStr">
        <is>
          <t>Артем Лисичкин, Полина Григорьева</t>
        </is>
      </c>
      <c r="D239" s="3" t="n">
        <v>8217</v>
      </c>
      <c r="E239" s="4" t="n">
        <v>17</v>
      </c>
      <c r="F239" t="inlineStr">
        <is>
          <t>ООО «Дубль Гис» (OTELLO) [Чайковский]</t>
        </is>
      </c>
      <c r="G239" s="3">
        <f>ROUND(D239/(100-E239)*100,2)</f>
        <v/>
      </c>
      <c r="H239" s="5" t="n">
        <v>46230.58333333334</v>
      </c>
      <c r="I239" t="n">
        <v>1</v>
      </c>
      <c r="J239" s="3">
        <f>G239/I239</f>
        <v/>
      </c>
      <c r="K239">
        <f>IF(J239&gt;=5100,"ставка","мин.ставка")</f>
        <v/>
      </c>
      <c r="L239" s="3">
        <f>ROUND(IF(K239="мин.ставка",I239*100,G239/102*2),2)</f>
        <v/>
      </c>
      <c r="M239" s="5" t="n">
        <v>46231.5</v>
      </c>
      <c r="N239" t="inlineStr">
        <is>
          <t>TravelLine OL2</t>
        </is>
      </c>
      <c r="O239" s="2" t="inlineStr">
        <is>
          <t>СТАНДАРТНЫЙ ДВУХМЕСТНЫЙ НОМЕР (МАНСАРДА)</t>
        </is>
      </c>
      <c r="P239" s="6" t="n"/>
      <c r="R239" t="inlineStr"/>
      <c r="S239" t="inlineStr">
        <is>
          <t>Тариф с завтраком</t>
        </is>
      </c>
      <c r="T239" t="n">
        <v>0</v>
      </c>
      <c r="U239" t="n">
        <v>8217</v>
      </c>
    </row>
    <row r="240">
      <c r="A240" t="inlineStr">
        <is>
          <t>20260829-8186-462311294</t>
        </is>
      </c>
      <c r="B240" t="n">
        <v>1</v>
      </c>
      <c r="C240" s="2" t="inlineStr">
        <is>
          <t>Артем Соколовский, ЮЛИЯ СОКОЛОВСКАЯ</t>
        </is>
      </c>
      <c r="D240" s="3" t="n">
        <v>12015</v>
      </c>
      <c r="E240" s="4" t="n">
        <v>0</v>
      </c>
      <c r="F240" t="inlineStr">
        <is>
          <t>Прямые бронирования (стойка) [Чайковский]</t>
        </is>
      </c>
      <c r="G240" s="3">
        <f>ROUND(D240/(100-E240)*100,2)</f>
        <v/>
      </c>
      <c r="H240" s="5" t="n">
        <v>46263.58333333334</v>
      </c>
      <c r="I240" t="n">
        <v>1</v>
      </c>
      <c r="J240" s="3">
        <f>G240/I240</f>
        <v/>
      </c>
      <c r="K240">
        <f>IF(J240&gt;=5100,"ставка","мин.ставка")</f>
        <v/>
      </c>
      <c r="L240" s="3">
        <f>ROUND(IF(K240="мин.ставка",I240*100,G240/102*2),2)</f>
        <v/>
      </c>
      <c r="M240" s="5" t="n">
        <v>46264.5</v>
      </c>
      <c r="N240" t="inlineStr">
        <is>
          <t>TravelLine ресепшн</t>
        </is>
      </c>
      <c r="O240" s="2" t="inlineStr">
        <is>
          <t>СТАНДАРТНЫЙ ДВУХМЕСТНЫЙ НОМЕР</t>
        </is>
      </c>
      <c r="P240" s="6" t="n"/>
      <c r="R240" t="inlineStr"/>
      <c r="S240" t="inlineStr">
        <is>
          <t>Тариф с завтраком</t>
        </is>
      </c>
      <c r="T240" t="n">
        <v>0</v>
      </c>
      <c r="U240" t="n">
        <v>12015</v>
      </c>
    </row>
    <row r="241">
      <c r="A241" t="inlineStr">
        <is>
          <t>20260717-8186-443674528</t>
        </is>
      </c>
      <c r="B241" t="n">
        <v>1</v>
      </c>
      <c r="C241" s="2" t="inlineStr">
        <is>
          <t>АРТЕМ СПИВАКОВ, ЭММА СПИВАКОВА</t>
        </is>
      </c>
      <c r="D241" s="3" t="n">
        <v>21360</v>
      </c>
      <c r="E241" s="4" t="n">
        <v>18</v>
      </c>
      <c r="F241" t="inlineStr">
        <is>
          <t>Яндекс.Путешествия [Чайковский]</t>
        </is>
      </c>
      <c r="G241" s="3">
        <f>ROUND(D241/(100-E241)*100,2)</f>
        <v/>
      </c>
      <c r="H241" s="5" t="n">
        <v>46220.58333333334</v>
      </c>
      <c r="I241" t="n">
        <v>2</v>
      </c>
      <c r="J241" s="3">
        <f>G241/I241</f>
        <v/>
      </c>
      <c r="K241">
        <f>IF(J241&gt;=5100,"ставка","мин.ставка")</f>
        <v/>
      </c>
      <c r="L241" s="3">
        <f>ROUND(IF(K241="мин.ставка",I241*100,G241/102*2),2)</f>
        <v/>
      </c>
      <c r="M241" s="5" t="n">
        <v>46222.5</v>
      </c>
      <c r="N241" t="inlineStr">
        <is>
          <t>TravelLine YAX</t>
        </is>
      </c>
      <c r="O241" s="2" t="inlineStr">
        <is>
          <t>СТАНДАРТНЫЙ ДВУХМЕСТНЫЙ НОМЕР</t>
        </is>
      </c>
      <c r="P241" s="6" t="n"/>
      <c r="R241" t="inlineStr"/>
      <c r="S241" t="inlineStr">
        <is>
          <t>Тариф с завтраком</t>
        </is>
      </c>
      <c r="T241" t="n">
        <v>0</v>
      </c>
      <c r="U241" t="n">
        <v>21360</v>
      </c>
    </row>
    <row r="242">
      <c r="A242" t="inlineStr">
        <is>
          <t>20260730-8186-451142955</t>
        </is>
      </c>
      <c r="B242" t="n">
        <v>1</v>
      </c>
      <c r="C242" s="2" t="inlineStr">
        <is>
          <t>Артём Шкилёв</t>
        </is>
      </c>
      <c r="D242" s="3" t="n">
        <v>33000</v>
      </c>
      <c r="E242" s="4" t="n">
        <v>0</v>
      </c>
      <c r="F242" t="inlineStr">
        <is>
          <t>Прямые бронирования (стойка) [Чайковский]</t>
        </is>
      </c>
      <c r="G242" s="3">
        <f>ROUND(D242/(100-E242)*100,2)</f>
        <v/>
      </c>
      <c r="H242" s="5" t="n">
        <v>46233.58333333334</v>
      </c>
      <c r="I242" t="n">
        <v>2</v>
      </c>
      <c r="J242" s="3">
        <f>G242/I242</f>
        <v/>
      </c>
      <c r="K242">
        <f>IF(J242&gt;=5100,"ставка","мин.ставка")</f>
        <v/>
      </c>
      <c r="L242" s="3">
        <f>ROUND(IF(K242="мин.ставка",I242*100,G242/102*2),2)</f>
        <v/>
      </c>
      <c r="M242" s="5" t="n">
        <v>46235.5</v>
      </c>
      <c r="N242" t="inlineStr">
        <is>
          <t>TravelLine ресепшн</t>
        </is>
      </c>
      <c r="O242" s="2" t="inlineStr">
        <is>
          <t>ПОЛУЛЮКС</t>
        </is>
      </c>
      <c r="P242" s="6" t="n"/>
      <c r="R242" t="inlineStr"/>
      <c r="S242" t="inlineStr">
        <is>
          <t>Тариф с завтраком</t>
        </is>
      </c>
      <c r="T242" t="n">
        <v>0</v>
      </c>
      <c r="U242" t="n">
        <v>33000</v>
      </c>
    </row>
    <row r="243">
      <c r="A243" t="inlineStr">
        <is>
          <t>20260911-8186-464717084</t>
        </is>
      </c>
      <c r="B243" t="n">
        <v>1</v>
      </c>
      <c r="C243" s="2" t="inlineStr">
        <is>
          <t>Артур Абуляев</t>
        </is>
      </c>
      <c r="D243" s="3" t="n">
        <v>20000</v>
      </c>
      <c r="E243" s="4" t="n">
        <v>20</v>
      </c>
      <c r="F243" t="inlineStr">
        <is>
          <t>ООО «Дубль Гис» (OTELLO) [Чайковский]</t>
        </is>
      </c>
      <c r="G243" s="3">
        <f>ROUND(D243/(100-E243)*100,2)</f>
        <v/>
      </c>
      <c r="H243" s="5" t="n">
        <v>46276.58333333334</v>
      </c>
      <c r="I243" t="n">
        <v>2</v>
      </c>
      <c r="J243" s="3">
        <f>G243/I243</f>
        <v/>
      </c>
      <c r="K243">
        <f>IF(J243&gt;=5100,"ставка","мин.ставка")</f>
        <v/>
      </c>
      <c r="L243" s="3">
        <f>ROUND(IF(K243="мин.ставка",I243*100,G243/102*2),2)</f>
        <v/>
      </c>
      <c r="M243" s="5" t="n">
        <v>46278.5</v>
      </c>
      <c r="N243" t="inlineStr">
        <is>
          <t>TravelLine OL2</t>
        </is>
      </c>
      <c r="O243" s="2" t="inlineStr">
        <is>
          <t>ЛЮКС ВТОРОЙ КОРПУС</t>
        </is>
      </c>
      <c r="P243" s="6" t="n"/>
      <c r="R243" t="inlineStr"/>
      <c r="S243" t="inlineStr">
        <is>
          <t>Основной тариф без завтрака</t>
        </is>
      </c>
      <c r="T243" t="n">
        <v>0</v>
      </c>
      <c r="U243" t="n">
        <v>20000</v>
      </c>
    </row>
    <row r="244">
      <c r="A244" t="inlineStr">
        <is>
          <t>20260830-8186-462320006</t>
        </is>
      </c>
      <c r="B244" t="n">
        <v>1</v>
      </c>
      <c r="C244" s="2" t="inlineStr">
        <is>
          <t>АРХИП ЗАМОСКОВНЫЙ</t>
        </is>
      </c>
      <c r="D244" s="3" t="n">
        <v>6636</v>
      </c>
      <c r="E244" s="4" t="n">
        <v>16</v>
      </c>
      <c r="F244" t="inlineStr">
        <is>
          <t>ООО "БРОНИРОВАНИЕ ГОСТИНИЦ" (OSTROVOK) [Чайковский]</t>
        </is>
      </c>
      <c r="G244" s="3">
        <f>ROUND(D244/(100-E244)*100,2)</f>
        <v/>
      </c>
      <c r="H244" s="5" t="n">
        <v>46264.58333333334</v>
      </c>
      <c r="I244" t="n">
        <v>1</v>
      </c>
      <c r="J244" s="3">
        <f>G244/I244</f>
        <v/>
      </c>
      <c r="K244">
        <f>IF(J244&gt;=5100,"ставка","мин.ставка")</f>
        <v/>
      </c>
      <c r="L244" s="3">
        <f>ROUND(IF(K244="мин.ставка",I244*100,G244/102*2),2)</f>
        <v/>
      </c>
      <c r="M244" s="5" t="n">
        <v>46265.5</v>
      </c>
      <c r="N244" t="inlineStr">
        <is>
          <t>TravelLine OTK</t>
        </is>
      </c>
      <c r="O244" s="2" t="inlineStr">
        <is>
          <t>СТАНДАРТНЫЙ ДВУХМЕСТНЫЙ НОМЕР</t>
        </is>
      </c>
      <c r="P244" s="6" t="n"/>
      <c r="R244" t="inlineStr"/>
      <c r="S244" t="inlineStr">
        <is>
          <t>Тариф с завтраком</t>
        </is>
      </c>
      <c r="T244" t="n">
        <v>0</v>
      </c>
      <c r="U244" t="n">
        <v>6636</v>
      </c>
    </row>
    <row r="245">
      <c r="A245" t="inlineStr">
        <is>
          <t>20260830-8186-462361686</t>
        </is>
      </c>
      <c r="B245" t="n">
        <v>1</v>
      </c>
      <c r="C245" s="2" t="inlineStr">
        <is>
          <t>Ася Абрамова</t>
        </is>
      </c>
      <c r="D245" s="3" t="n">
        <v>11122</v>
      </c>
      <c r="E245" s="4" t="n">
        <v>18</v>
      </c>
      <c r="F245" t="inlineStr">
        <is>
          <t>Яндекс.Путешествия [Чайковский]</t>
        </is>
      </c>
      <c r="G245" s="3">
        <f>ROUND(D245/(100-E245)*100,2)</f>
        <v/>
      </c>
      <c r="H245" s="5" t="n">
        <v>46264.58333333334</v>
      </c>
      <c r="I245" t="n">
        <v>1</v>
      </c>
      <c r="J245" s="3">
        <f>G245/I245</f>
        <v/>
      </c>
      <c r="K245">
        <f>IF(J245&gt;=5100,"ставка","мин.ставка")</f>
        <v/>
      </c>
      <c r="L245" s="3">
        <f>ROUND(IF(K245="мин.ставка",I245*100,G245/102*2),2)</f>
        <v/>
      </c>
      <c r="M245" s="5" t="n">
        <v>46265.66666666666</v>
      </c>
      <c r="N245" t="inlineStr">
        <is>
          <t>TravelLine YAX</t>
        </is>
      </c>
      <c r="O245" s="2" t="inlineStr">
        <is>
          <t>ЛЮКС ВТОРОЙ КОРПУС</t>
        </is>
      </c>
      <c r="P245" s="6" t="n"/>
      <c r="R245" t="inlineStr"/>
      <c r="S245" t="inlineStr">
        <is>
          <t>Тариф с завтраком</t>
        </is>
      </c>
      <c r="T245" t="n">
        <v>2560</v>
      </c>
      <c r="U245" t="n">
        <v>13682</v>
      </c>
    </row>
    <row r="246">
      <c r="A246" t="inlineStr">
        <is>
          <t>20260816-8186-458968810</t>
        </is>
      </c>
      <c r="B246" t="n">
        <v>1</v>
      </c>
      <c r="C246" s="2" t="inlineStr">
        <is>
          <t>Ахмед Гамзатов, Наталья Воробьёва</t>
        </is>
      </c>
      <c r="D246" s="3" t="n">
        <v>32752.5</v>
      </c>
      <c r="E246" s="4" t="n">
        <v>4</v>
      </c>
      <c r="F246" t="inlineStr">
        <is>
          <t>TravelLine Booking Engine [Чайковский]</t>
        </is>
      </c>
      <c r="G246" s="3">
        <f>ROUND(D246/(100-E246)*100,2)</f>
        <v/>
      </c>
      <c r="H246" s="5" t="n">
        <v>46250.58333333334</v>
      </c>
      <c r="I246" t="n">
        <v>2</v>
      </c>
      <c r="J246" s="3">
        <f>G246/I246</f>
        <v/>
      </c>
      <c r="K246">
        <f>IF(J246&gt;=5100,"ставка","мин.ставка")</f>
        <v/>
      </c>
      <c r="L246" s="3">
        <f>ROUND(IF(K246="мин.ставка",I246*100,G246/102*2),2)</f>
        <v/>
      </c>
      <c r="M246" s="5" t="n">
        <v>46252.5</v>
      </c>
      <c r="N246" t="inlineStr">
        <is>
          <t>TravelLine сайт</t>
        </is>
      </c>
      <c r="O246" s="2" t="inlineStr">
        <is>
          <t>ПОЛУЛЮКС</t>
        </is>
      </c>
      <c r="P246" s="6" t="n"/>
      <c r="R246" t="inlineStr"/>
      <c r="S246" t="inlineStr">
        <is>
          <t>Тариф с завтраком</t>
        </is>
      </c>
      <c r="T246" t="n">
        <v>0</v>
      </c>
      <c r="U246" t="n">
        <v>32752.5</v>
      </c>
    </row>
    <row r="247">
      <c r="A247" t="inlineStr">
        <is>
          <t>20260703-8186-447441430</t>
        </is>
      </c>
      <c r="B247" t="n">
        <v>1</v>
      </c>
      <c r="C247" s="2" t="inlineStr">
        <is>
          <t>Баатр Лиджиев, Виктория Лиджиева</t>
        </is>
      </c>
      <c r="D247" s="3" t="n">
        <v>5880</v>
      </c>
      <c r="E247" s="4" t="n">
        <v>18</v>
      </c>
      <c r="F247" t="inlineStr">
        <is>
          <t>Яндекс.Путешествия [Чайковский]</t>
        </is>
      </c>
      <c r="G247" s="3">
        <f>ROUND(D247/(100-E247)*100,2)</f>
        <v/>
      </c>
      <c r="H247" s="5" t="n">
        <v>46206.58333333334</v>
      </c>
      <c r="I247" t="n">
        <v>1</v>
      </c>
      <c r="J247" s="3">
        <f>G247/I247</f>
        <v/>
      </c>
      <c r="K247">
        <f>IF(J247&gt;=5100,"ставка","мин.ставка")</f>
        <v/>
      </c>
      <c r="L247" s="3">
        <f>ROUND(IF(K247="мин.ставка",I247*100,G247/102*2),2)</f>
        <v/>
      </c>
      <c r="M247" s="5" t="n">
        <v>46207.5</v>
      </c>
      <c r="N247" t="inlineStr">
        <is>
          <t>TravelLine YAX</t>
        </is>
      </c>
      <c r="O247" s="2" t="inlineStr">
        <is>
          <t>СЕМЕЙНЫЙ НОМЕР КАТЕГОРИИ "СТАНДАРТ" ВТОРОЙ КОРПУС</t>
        </is>
      </c>
      <c r="P247" s="6" t="n"/>
      <c r="R247" t="inlineStr"/>
      <c r="S247" t="inlineStr">
        <is>
          <t>Основной тариф без завтрака</t>
        </is>
      </c>
      <c r="T247" t="n">
        <v>0</v>
      </c>
      <c r="U247" t="n">
        <v>5880</v>
      </c>
    </row>
    <row r="248">
      <c r="A248" t="inlineStr">
        <is>
          <t>20260630-8186-444910095</t>
        </is>
      </c>
      <c r="B248" t="n">
        <v>1</v>
      </c>
      <c r="C248" s="2" t="inlineStr">
        <is>
          <t>Булат Зарипов, САФИНА ЗАРИПОВА</t>
        </is>
      </c>
      <c r="D248" s="3" t="n">
        <v>32160</v>
      </c>
      <c r="E248" s="4" t="n">
        <v>20</v>
      </c>
      <c r="F248" t="inlineStr">
        <is>
          <t>ООО "УК ГЦБ и Т" [Чайковский]</t>
        </is>
      </c>
      <c r="G248" s="3">
        <f>ROUND(D248/(100-E248)*100,2)</f>
        <v/>
      </c>
      <c r="H248" s="5" t="n">
        <v>46203.58333333334</v>
      </c>
      <c r="I248" t="n">
        <v>3</v>
      </c>
      <c r="J248" s="3">
        <f>G248/I248</f>
        <v/>
      </c>
      <c r="K248">
        <f>IF(J248&gt;=5100,"ставка","мин.ставка")</f>
        <v/>
      </c>
      <c r="L248" s="3">
        <f>ROUND(IF(K248="мин.ставка",I248*100,G248/102*2),2)</f>
        <v/>
      </c>
      <c r="M248" s="5" t="n">
        <v>46206.5</v>
      </c>
      <c r="N248" t="inlineStr">
        <is>
          <t>TravelLine CBC</t>
        </is>
      </c>
      <c r="O248" s="2" t="inlineStr">
        <is>
          <t>ПОЛУЛЮКС</t>
        </is>
      </c>
      <c r="P248" s="6" t="n"/>
      <c r="R248" t="inlineStr"/>
      <c r="S248" t="inlineStr">
        <is>
          <t>Тариф с завтраком</t>
        </is>
      </c>
      <c r="T248" t="n">
        <v>6000</v>
      </c>
      <c r="U248" t="n">
        <v>38160</v>
      </c>
    </row>
    <row r="249">
      <c r="A249" t="inlineStr">
        <is>
          <t>20260903-8186-463232143</t>
        </is>
      </c>
      <c r="B249" t="n">
        <v>1</v>
      </c>
      <c r="C249" s="2" t="inlineStr">
        <is>
          <t>Вадим Галий</t>
        </is>
      </c>
      <c r="D249" s="3" t="n">
        <v>9080</v>
      </c>
      <c r="E249" s="4" t="n">
        <v>20</v>
      </c>
      <c r="F249" t="inlineStr">
        <is>
          <t>ООО "КОМПАНИЯ БРОНЕВИК" [Чайковский]</t>
        </is>
      </c>
      <c r="G249" s="3">
        <f>ROUND(D249/(100-E249)*100,2)</f>
        <v/>
      </c>
      <c r="H249" s="5" t="n">
        <v>46268.58333333334</v>
      </c>
      <c r="I249" t="n">
        <v>1</v>
      </c>
      <c r="J249" s="3">
        <f>G249/I249</f>
        <v/>
      </c>
      <c r="K249">
        <f>IF(J249&gt;=5100,"ставка","мин.ставка")</f>
        <v/>
      </c>
      <c r="L249" s="3">
        <f>ROUND(IF(K249="мин.ставка",I249*100,G249/102*2),2)</f>
        <v/>
      </c>
      <c r="M249" s="5" t="n">
        <v>46269.5</v>
      </c>
      <c r="N249" t="inlineStr">
        <is>
          <t>TravelLine BR2</t>
        </is>
      </c>
      <c r="O249" s="2" t="inlineStr">
        <is>
          <t>СТАНДАРТНЫЙ ДВУХМЕСТНЫЙ НОМЕР</t>
        </is>
      </c>
      <c r="P249" s="6" t="n"/>
      <c r="R249" t="inlineStr"/>
      <c r="S249" t="inlineStr">
        <is>
          <t>Тариф с завтраком</t>
        </is>
      </c>
      <c r="T249" t="n">
        <v>0</v>
      </c>
      <c r="U249" t="n">
        <v>9080</v>
      </c>
    </row>
    <row r="250">
      <c r="A250" t="inlineStr">
        <is>
          <t>20260905-8186-462987029</t>
        </is>
      </c>
      <c r="B250" t="n">
        <v>1</v>
      </c>
      <c r="C250" s="2" t="inlineStr">
        <is>
          <t>Вадим Заречный, Мария Заречная</t>
        </is>
      </c>
      <c r="D250" s="3" t="n">
        <v>13200</v>
      </c>
      <c r="E250" s="4" t="n">
        <v>18</v>
      </c>
      <c r="F250" t="inlineStr">
        <is>
          <t>Яндекс.Путешествия [Чайковский]</t>
        </is>
      </c>
      <c r="G250" s="3">
        <f>ROUND(D250/(100-E250)*100,2)</f>
        <v/>
      </c>
      <c r="H250" s="5" t="n">
        <v>46270.58333333334</v>
      </c>
      <c r="I250" t="n">
        <v>1</v>
      </c>
      <c r="J250" s="3">
        <f>G250/I250</f>
        <v/>
      </c>
      <c r="K250">
        <f>IF(J250&gt;=5100,"ставка","мин.ставка")</f>
        <v/>
      </c>
      <c r="L250" s="3">
        <f>ROUND(IF(K250="мин.ставка",I250*100,G250/102*2),2)</f>
        <v/>
      </c>
      <c r="M250" s="5" t="n">
        <v>46271.5</v>
      </c>
      <c r="N250" t="inlineStr">
        <is>
          <t>TravelLine YAX</t>
        </is>
      </c>
      <c r="O250" s="2" t="inlineStr">
        <is>
          <t>ПОЛУЛЮКС</t>
        </is>
      </c>
      <c r="P250" s="6" t="n"/>
      <c r="R250" t="inlineStr"/>
      <c r="S250" t="inlineStr">
        <is>
          <t>Тариф с завтраком</t>
        </is>
      </c>
      <c r="T250" t="n">
        <v>0</v>
      </c>
      <c r="U250" t="n">
        <v>13200</v>
      </c>
    </row>
    <row r="251">
      <c r="A251" t="inlineStr">
        <is>
          <t>20260808-8186-430692839</t>
        </is>
      </c>
      <c r="B251" t="n">
        <v>1</v>
      </c>
      <c r="C251" s="2" t="inlineStr">
        <is>
          <t>Вадим Кравков, Ольга Добродеева</t>
        </is>
      </c>
      <c r="D251" s="3" t="n">
        <v>55402.5</v>
      </c>
      <c r="E251" s="4" t="n">
        <v>17</v>
      </c>
      <c r="F251" t="inlineStr">
        <is>
          <t>ООО «Интернет Трэвел» (OZON) [Чайковский]</t>
        </is>
      </c>
      <c r="G251" s="3">
        <f>ROUND(D251/(100-E251)*100,2)</f>
        <v/>
      </c>
      <c r="H251" s="5" t="n">
        <v>46242.58333333334</v>
      </c>
      <c r="I251" t="n">
        <v>5</v>
      </c>
      <c r="J251" s="3">
        <f>G251/I251</f>
        <v/>
      </c>
      <c r="K251">
        <f>IF(J251&gt;=5100,"ставка","мин.ставка")</f>
        <v/>
      </c>
      <c r="L251" s="3">
        <f>ROUND(IF(K251="мин.ставка",I251*100,G251/102*2),2)</f>
        <v/>
      </c>
      <c r="M251" s="5" t="n">
        <v>46247.5</v>
      </c>
      <c r="N251" t="inlineStr">
        <is>
          <t>TravelLine OZ2</t>
        </is>
      </c>
      <c r="O251" s="2" t="inlineStr">
        <is>
          <t>СТАНДАРТНЫЙ ДВУХМЕСТНЫЙ НОМЕР</t>
        </is>
      </c>
      <c r="P251" s="6" t="n"/>
      <c r="R251" t="inlineStr"/>
      <c r="S251" t="inlineStr">
        <is>
          <t>Тариф с завтраком</t>
        </is>
      </c>
      <c r="T251" t="n">
        <v>600</v>
      </c>
      <c r="U251" t="n">
        <v>56002.5</v>
      </c>
    </row>
    <row r="252">
      <c r="A252" t="inlineStr">
        <is>
          <t>20260710-8186-449282931</t>
        </is>
      </c>
      <c r="B252" t="n">
        <v>1</v>
      </c>
      <c r="C252" s="2" t="inlineStr">
        <is>
          <t>вадим Макаренко</t>
        </is>
      </c>
      <c r="D252" s="3" t="n">
        <v>12350</v>
      </c>
      <c r="E252" s="4" t="n">
        <v>0</v>
      </c>
      <c r="F252" t="inlineStr">
        <is>
          <t>Прямые бронирования (стойка) [Чайковский]</t>
        </is>
      </c>
      <c r="G252" s="3">
        <f>ROUND(D252/(100-E252)*100,2)</f>
        <v/>
      </c>
      <c r="H252" s="5" t="n">
        <v>46213.58333333334</v>
      </c>
      <c r="I252" t="n">
        <v>1</v>
      </c>
      <c r="J252" s="3">
        <f>G252/I252</f>
        <v/>
      </c>
      <c r="K252">
        <f>IF(J252&gt;=5100,"ставка","мин.ставка")</f>
        <v/>
      </c>
      <c r="L252" s="3">
        <f>ROUND(IF(K252="мин.ставка",I252*100,G252/102*2),2)</f>
        <v/>
      </c>
      <c r="M252" s="5" t="n">
        <v>46214.5</v>
      </c>
      <c r="N252" t="inlineStr">
        <is>
          <t>TravelLine ресепшн</t>
        </is>
      </c>
      <c r="O252" s="2" t="inlineStr">
        <is>
          <t>СТАНДАРТНЫЙ ДВУХМЕСТНЫЙ НОМЕР</t>
        </is>
      </c>
      <c r="P252" s="6" t="n"/>
      <c r="R252" t="inlineStr"/>
      <c r="S252" t="inlineStr">
        <is>
          <t>Тариф с завтраком</t>
        </is>
      </c>
      <c r="T252" t="n">
        <v>0</v>
      </c>
      <c r="U252" t="n">
        <v>12350</v>
      </c>
    </row>
    <row r="253">
      <c r="A253" t="inlineStr">
        <is>
          <t>20260731-8186-450013552</t>
        </is>
      </c>
      <c r="B253" t="n">
        <v>1</v>
      </c>
      <c r="C253" s="2" t="inlineStr">
        <is>
          <t>Вадим Сосков, Кирилл Балуев</t>
        </is>
      </c>
      <c r="D253" s="3" t="n">
        <v>7920</v>
      </c>
      <c r="E253" s="4" t="n">
        <v>18</v>
      </c>
      <c r="F253" t="inlineStr">
        <is>
          <t>Яндекс.Путешествия [Чайковский]</t>
        </is>
      </c>
      <c r="G253" s="3">
        <f>ROUND(D253/(100-E253)*100,2)</f>
        <v/>
      </c>
      <c r="H253" s="5" t="n">
        <v>46234.58333333334</v>
      </c>
      <c r="I253" t="n">
        <v>1</v>
      </c>
      <c r="J253" s="3">
        <f>G253/I253</f>
        <v/>
      </c>
      <c r="K253">
        <f>IF(J253&gt;=5100,"ставка","мин.ставка")</f>
        <v/>
      </c>
      <c r="L253" s="3">
        <f>ROUND(IF(K253="мин.ставка",I253*100,G253/102*2),2)</f>
        <v/>
      </c>
      <c r="M253" s="5" t="n">
        <v>46235.5</v>
      </c>
      <c r="N253" t="inlineStr">
        <is>
          <t>TravelLine YAX</t>
        </is>
      </c>
      <c r="O253" s="2" t="inlineStr">
        <is>
          <t>СТАНДАРТНЫЙ ДВУХМЕСТНЫЙ НОМЕР (МАНСАРДА)</t>
        </is>
      </c>
      <c r="P253" s="6" t="n"/>
      <c r="R253" t="inlineStr"/>
      <c r="S253" t="inlineStr">
        <is>
          <t>Тариф с завтраком</t>
        </is>
      </c>
      <c r="T253" t="n">
        <v>0</v>
      </c>
      <c r="U253" t="n">
        <v>7920</v>
      </c>
    </row>
    <row r="254">
      <c r="A254" t="inlineStr">
        <is>
          <t>20260717-8186-450249391</t>
        </is>
      </c>
      <c r="B254" t="n">
        <v>1</v>
      </c>
      <c r="C254" s="2" t="inlineStr">
        <is>
          <t>Вадим Стародубов</t>
        </is>
      </c>
      <c r="D254" s="3" t="n">
        <v>8624.1</v>
      </c>
      <c r="E254" s="4" t="n">
        <v>4</v>
      </c>
      <c r="F254" t="inlineStr">
        <is>
          <t>TravelLine Booking Engine [Чайковский]</t>
        </is>
      </c>
      <c r="G254" s="3">
        <f>ROUND(D254/(100-E254)*100,2)</f>
        <v/>
      </c>
      <c r="H254" s="5" t="n">
        <v>46220.89583333334</v>
      </c>
      <c r="I254" t="n">
        <v>1</v>
      </c>
      <c r="J254" s="3">
        <f>G254/I254</f>
        <v/>
      </c>
      <c r="K254">
        <f>IF(J254&gt;=5100,"ставка","мин.ставка")</f>
        <v/>
      </c>
      <c r="L254" s="3">
        <f>ROUND(IF(K254="мин.ставка",I254*100,G254/102*2),2)</f>
        <v/>
      </c>
      <c r="M254" s="5" t="n">
        <v>46221.5</v>
      </c>
      <c r="N254" t="inlineStr">
        <is>
          <t>TravelLine сайт</t>
        </is>
      </c>
      <c r="O254" s="2" t="inlineStr">
        <is>
          <t>СЕМЕЙНЫЙ НОМЕР КАТЕГОРИИ "СТАНДАРТ" ВТОРОЙ КОРПУС</t>
        </is>
      </c>
      <c r="P254" s="6" t="n"/>
      <c r="R254" t="inlineStr"/>
      <c r="S254" t="inlineStr">
        <is>
          <t>Тариф с завтраком</t>
        </is>
      </c>
      <c r="T254" t="n">
        <v>0</v>
      </c>
      <c r="U254" t="n">
        <v>16324.1</v>
      </c>
    </row>
    <row r="255">
      <c r="A255" t="inlineStr">
        <is>
          <t>20260717-8186-450249391</t>
        </is>
      </c>
      <c r="B255" t="n">
        <v>1</v>
      </c>
      <c r="C255" s="2" t="inlineStr">
        <is>
          <t>Вадим Стародубов</t>
        </is>
      </c>
      <c r="D255" s="3" t="n">
        <v>7700</v>
      </c>
      <c r="E255" s="4" t="n">
        <v>4</v>
      </c>
      <c r="F255" t="inlineStr">
        <is>
          <t>TravelLine Booking Engine [Чайковский]</t>
        </is>
      </c>
      <c r="G255" s="3">
        <f>ROUND(D255/(100-E255)*100,2)</f>
        <v/>
      </c>
      <c r="H255" s="5" t="n">
        <v>46221.89583333334</v>
      </c>
      <c r="I255" t="n">
        <v>1</v>
      </c>
      <c r="J255" s="3">
        <f>G255/I255</f>
        <v/>
      </c>
      <c r="K255">
        <f>IF(J255&gt;=5100,"ставка","мин.ставка")</f>
        <v/>
      </c>
      <c r="L255" s="3">
        <f>ROUND(IF(K255="мин.ставка",I255*100,G255/102*2),2)</f>
        <v/>
      </c>
      <c r="M255" s="5" t="n">
        <v>46222.5</v>
      </c>
      <c r="N255" t="inlineStr">
        <is>
          <t>TravelLine сайт</t>
        </is>
      </c>
      <c r="O255" s="2" t="inlineStr">
        <is>
          <t>СТАНДАРТНЫЙ ОДНОМЕСТНЫЙ НОМЕР</t>
        </is>
      </c>
      <c r="P255" s="6" t="n"/>
      <c r="R255" t="inlineStr"/>
      <c r="S255" t="inlineStr">
        <is>
          <t>Тариф с завтраком</t>
        </is>
      </c>
      <c r="T255" t="n">
        <v>0</v>
      </c>
      <c r="U255" t="n">
        <v>16324.1</v>
      </c>
    </row>
    <row r="256">
      <c r="A256" t="inlineStr">
        <is>
          <t>20260820-8186-429042947</t>
        </is>
      </c>
      <c r="B256" t="n">
        <v>1</v>
      </c>
      <c r="C256" s="2" t="inlineStr">
        <is>
          <t>Валентин Классен, Светлана Классен</t>
        </is>
      </c>
      <c r="D256" s="3" t="n">
        <v>11347.5</v>
      </c>
      <c r="E256" s="4" t="n">
        <v>20</v>
      </c>
      <c r="F256" t="inlineStr">
        <is>
          <t>ООО «Дубль Гис» (OTELLO) [Чайковский]</t>
        </is>
      </c>
      <c r="G256" s="3">
        <f>ROUND(D256/(100-E256)*100,2)</f>
        <v/>
      </c>
      <c r="H256" s="5" t="n">
        <v>46254.58333333334</v>
      </c>
      <c r="I256" t="n">
        <v>1</v>
      </c>
      <c r="J256" s="3">
        <f>G256/I256</f>
        <v/>
      </c>
      <c r="K256">
        <f>IF(J256&gt;=5100,"ставка","мин.ставка")</f>
        <v/>
      </c>
      <c r="L256" s="3">
        <f>ROUND(IF(K256="мин.ставка",I256*100,G256/102*2),2)</f>
        <v/>
      </c>
      <c r="M256" s="5" t="n">
        <v>46255.5</v>
      </c>
      <c r="N256" t="inlineStr">
        <is>
          <t>TravelLine OL2</t>
        </is>
      </c>
      <c r="O256" s="2" t="inlineStr">
        <is>
          <t>СТАНДАРТНЫЙ ДВУХМЕСТНЫЙ НОМЕР</t>
        </is>
      </c>
      <c r="P256" s="6" t="n"/>
      <c r="R256" t="inlineStr"/>
      <c r="S256" t="inlineStr">
        <is>
          <t>Тариф с завтраком</t>
        </is>
      </c>
      <c r="T256" t="n">
        <v>0</v>
      </c>
      <c r="U256" t="n">
        <v>11347.5</v>
      </c>
    </row>
    <row r="257">
      <c r="A257" t="inlineStr">
        <is>
          <t>20260907-8186-418353081</t>
        </is>
      </c>
      <c r="B257" t="n">
        <v>1</v>
      </c>
      <c r="C257" s="2" t="inlineStr">
        <is>
          <t>Валентина Кустарева</t>
        </is>
      </c>
      <c r="D257" s="3" t="n">
        <v>26180</v>
      </c>
      <c r="E257" s="4" t="n">
        <v>15</v>
      </c>
      <c r="F257" t="inlineStr">
        <is>
          <t>ООО Тинькофф Путешествия [Чайковский]</t>
        </is>
      </c>
      <c r="G257" s="3">
        <f>ROUND(D257/(100-E257)*100,2)</f>
        <v/>
      </c>
      <c r="H257" s="5" t="n">
        <v>46272.58333333334</v>
      </c>
      <c r="I257" t="n">
        <v>4</v>
      </c>
      <c r="J257" s="3">
        <f>G257/I257</f>
        <v/>
      </c>
      <c r="K257">
        <f>IF(J257&gt;=5100,"ставка","мин.ставка")</f>
        <v/>
      </c>
      <c r="L257" s="3">
        <f>ROUND(IF(K257="мин.ставка",I257*100,G257/102*2),2)</f>
        <v/>
      </c>
      <c r="M257" s="5" t="n">
        <v>46276.5</v>
      </c>
      <c r="N257" t="inlineStr">
        <is>
          <t>TravelLine TNK</t>
        </is>
      </c>
      <c r="O257" s="2" t="inlineStr">
        <is>
          <t>СТАНДАРТНЫЙ ОДНОМЕСТНЫЙ НОМЕР</t>
        </is>
      </c>
      <c r="P257" s="6" t="n"/>
      <c r="R257" t="inlineStr"/>
      <c r="S257" t="inlineStr">
        <is>
          <t>Тариф с завтраком</t>
        </is>
      </c>
      <c r="T257" t="n">
        <v>0</v>
      </c>
      <c r="U257" t="n">
        <v>26180</v>
      </c>
    </row>
    <row r="258">
      <c r="A258" t="inlineStr">
        <is>
          <t>20260907-8186-452894032</t>
        </is>
      </c>
      <c r="B258" t="n">
        <v>1</v>
      </c>
      <c r="C258" s="2" t="inlineStr">
        <is>
          <t>ВАЛЕНТИНА ХРОМОВА, ИРИНА ШАФИЕВА</t>
        </is>
      </c>
      <c r="D258" s="3" t="n">
        <v>18160</v>
      </c>
      <c r="E258" s="4" t="n">
        <v>20</v>
      </c>
      <c r="F258" t="inlineStr">
        <is>
          <t>ООО "ХБ-ПРО" [Чайковский]</t>
        </is>
      </c>
      <c r="G258" s="3">
        <f>ROUND(D258/(100-E258)*100,2)</f>
        <v/>
      </c>
      <c r="H258" s="5" t="n">
        <v>46272.58333333334</v>
      </c>
      <c r="I258" t="n">
        <v>2</v>
      </c>
      <c r="J258" s="3">
        <f>G258/I258</f>
        <v/>
      </c>
      <c r="K258">
        <f>IF(J258&gt;=5100,"ставка","мин.ставка")</f>
        <v/>
      </c>
      <c r="L258" s="3">
        <f>ROUND(IF(K258="мин.ставка",I258*100,G258/102*2),2)</f>
        <v/>
      </c>
      <c r="M258" s="5" t="n">
        <v>46274.5</v>
      </c>
      <c r="N258" t="inlineStr">
        <is>
          <t>TravelLine UTS</t>
        </is>
      </c>
      <c r="O258" s="2" t="inlineStr">
        <is>
          <t>СТАНДАРТНЫЙ ДВУХМЕСТНЫЙ НОМЕР</t>
        </is>
      </c>
      <c r="P258" s="6" t="n"/>
      <c r="R258" t="inlineStr"/>
      <c r="S258" t="inlineStr">
        <is>
          <t>Тариф с завтраком</t>
        </is>
      </c>
      <c r="T258" t="n">
        <v>4000</v>
      </c>
      <c r="U258" t="n">
        <v>22160</v>
      </c>
    </row>
    <row r="259">
      <c r="A259" t="inlineStr">
        <is>
          <t>20260807-8186-443876865</t>
        </is>
      </c>
      <c r="B259" t="n">
        <v>1</v>
      </c>
      <c r="C259" s="2" t="inlineStr">
        <is>
          <t>ВАЛЕРИЙ ЖИЛИН, Марина Жилина</t>
        </is>
      </c>
      <c r="D259" s="3" t="n">
        <v>26700</v>
      </c>
      <c r="E259" s="4" t="n">
        <v>0</v>
      </c>
      <c r="F259" t="inlineStr">
        <is>
          <t>Прямые бронирования (стойка) [Чайковский]</t>
        </is>
      </c>
      <c r="G259" s="3">
        <f>ROUND(D259/(100-E259)*100,2)</f>
        <v/>
      </c>
      <c r="H259" s="5" t="n">
        <v>46241.58333333334</v>
      </c>
      <c r="I259" t="n">
        <v>2</v>
      </c>
      <c r="J259" s="3">
        <f>G259/I259</f>
        <v/>
      </c>
      <c r="K259">
        <f>IF(J259&gt;=5100,"ставка","мин.ставка")</f>
        <v/>
      </c>
      <c r="L259" s="3">
        <f>ROUND(IF(K259="мин.ставка",I259*100,G259/102*2),2)</f>
        <v/>
      </c>
      <c r="M259" s="5" t="n">
        <v>46243.5</v>
      </c>
      <c r="N259" t="inlineStr">
        <is>
          <t>TravelLine ресепшн</t>
        </is>
      </c>
      <c r="O259" s="2" t="inlineStr">
        <is>
          <t>СТАНДАРТНЫЙ ДВУХМЕСТНЫЙ НОМЕР</t>
        </is>
      </c>
      <c r="P259" s="6" t="n"/>
      <c r="R259" t="inlineStr"/>
      <c r="S259" t="inlineStr">
        <is>
          <t>Тариф с завтраком</t>
        </is>
      </c>
      <c r="T259" t="n">
        <v>0</v>
      </c>
      <c r="U259" t="n">
        <v>26700</v>
      </c>
    </row>
    <row r="260">
      <c r="A260" t="inlineStr">
        <is>
          <t>20260629-8186-437245802</t>
        </is>
      </c>
      <c r="B260" t="n">
        <v>1</v>
      </c>
      <c r="C260" s="2" t="inlineStr">
        <is>
          <t>Валерий Марунич</t>
        </is>
      </c>
      <c r="D260" s="3" t="n">
        <v>36320</v>
      </c>
      <c r="E260" s="4" t="n">
        <v>20</v>
      </c>
      <c r="F260" t="inlineStr">
        <is>
          <t>ООО "УК ГЦБ и Т" [Чайковский]</t>
        </is>
      </c>
      <c r="G260" s="3">
        <f>ROUND(D260/(100-E260)*100,2)</f>
        <v/>
      </c>
      <c r="H260" s="5" t="n">
        <v>46202.58333333334</v>
      </c>
      <c r="I260" t="n">
        <v>4</v>
      </c>
      <c r="J260" s="3">
        <f>G260/I260</f>
        <v/>
      </c>
      <c r="K260">
        <f>IF(J260&gt;=5100,"ставка","мин.ставка")</f>
        <v/>
      </c>
      <c r="L260" s="3">
        <f>ROUND(IF(K260="мин.ставка",I260*100,G260/102*2),2)</f>
        <v/>
      </c>
      <c r="M260" s="5" t="n">
        <v>46206.5</v>
      </c>
      <c r="N260" t="inlineStr">
        <is>
          <t>TravelLine CBC</t>
        </is>
      </c>
      <c r="O260" s="2" t="inlineStr">
        <is>
          <t>СТАНДАРТНЫЙ ДВУХМЕСТНЫЙ НОМЕР</t>
        </is>
      </c>
      <c r="P260" s="6" t="n"/>
      <c r="R260" t="inlineStr"/>
      <c r="S260" t="inlineStr">
        <is>
          <t>Тариф с завтраком</t>
        </is>
      </c>
      <c r="T260" t="n">
        <v>0</v>
      </c>
      <c r="U260" t="n">
        <v>36320</v>
      </c>
    </row>
    <row r="261">
      <c r="A261" t="inlineStr">
        <is>
          <t>20260827-8186-460711943</t>
        </is>
      </c>
      <c r="B261" t="n">
        <v>1</v>
      </c>
      <c r="C261" s="2" t="inlineStr">
        <is>
          <t>Валерий Трач, Екатерина Можайская</t>
        </is>
      </c>
      <c r="D261" s="3" t="n">
        <v>35028</v>
      </c>
      <c r="E261" s="4" t="n">
        <v>16</v>
      </c>
      <c r="F261" t="inlineStr">
        <is>
          <t>ООО "БРОНИРОВАНИЕ ГОСТИНИЦ" (OSTROVOK) [Чайковский]</t>
        </is>
      </c>
      <c r="G261" s="3">
        <f>ROUND(D261/(100-E261)*100,2)</f>
        <v/>
      </c>
      <c r="H261" s="5" t="n">
        <v>46261.58333333334</v>
      </c>
      <c r="I261" t="n">
        <v>3</v>
      </c>
      <c r="J261" s="3">
        <f>G261/I261</f>
        <v/>
      </c>
      <c r="K261">
        <f>IF(J261&gt;=5100,"ставка","мин.ставка")</f>
        <v/>
      </c>
      <c r="L261" s="3">
        <f>ROUND(IF(K261="мин.ставка",I261*100,G261/102*2),2)</f>
        <v/>
      </c>
      <c r="M261" s="5" t="n">
        <v>46264.5</v>
      </c>
      <c r="N261" t="inlineStr">
        <is>
          <t>TravelLine OTK</t>
        </is>
      </c>
      <c r="O261" s="2" t="inlineStr">
        <is>
          <t>УЛУЧШЕННЫЙ ДВУХМЕСТНЫЙ НОМЕР</t>
        </is>
      </c>
      <c r="P261" s="6" t="n"/>
      <c r="R261" t="inlineStr"/>
      <c r="S261" t="inlineStr">
        <is>
          <t>Основной тариф без завтрака</t>
        </is>
      </c>
      <c r="T261" t="n">
        <v>3000</v>
      </c>
      <c r="U261" t="n">
        <v>38028</v>
      </c>
    </row>
    <row r="262">
      <c r="A262" t="inlineStr">
        <is>
          <t>20260910-8186-463566252</t>
        </is>
      </c>
      <c r="B262" t="n">
        <v>1</v>
      </c>
      <c r="C262" s="2" t="inlineStr">
        <is>
          <t>ВАЛЕРИЙ ШАЛАЕВ, АЛЛА ШАЛАЕВА</t>
        </is>
      </c>
      <c r="D262" s="3" t="n">
        <v>11347.5</v>
      </c>
      <c r="E262" s="4" t="n">
        <v>15</v>
      </c>
      <c r="F262" t="inlineStr">
        <is>
          <t>ООО "АКАДЕМ-ОНЛАЙН" [Чайковский]</t>
        </is>
      </c>
      <c r="G262" s="3">
        <f>ROUND(D262/(100-E262)*100,2)</f>
        <v/>
      </c>
      <c r="H262" s="5" t="n">
        <v>46275.58333333334</v>
      </c>
      <c r="I262" t="n">
        <v>1</v>
      </c>
      <c r="J262" s="3">
        <f>G262/I262</f>
        <v/>
      </c>
      <c r="K262">
        <f>IF(J262&gt;=5100,"ставка","мин.ставка")</f>
        <v/>
      </c>
      <c r="L262" s="3">
        <f>ROUND(IF(K262="мин.ставка",I262*100,G262/102*2),2)</f>
        <v/>
      </c>
      <c r="M262" s="5" t="n">
        <v>46276.58333333334</v>
      </c>
      <c r="N262" t="inlineStr">
        <is>
          <t>TravelLine ACS</t>
        </is>
      </c>
      <c r="O262" s="2" t="inlineStr">
        <is>
          <t>СТАНДАРТНЫЙ ДВУХМЕСТНЫЙ НОМЕР</t>
        </is>
      </c>
      <c r="P262" s="6" t="n"/>
      <c r="R262" t="inlineStr"/>
      <c r="S262" t="inlineStr">
        <is>
          <t>Тариф с завтраком</t>
        </is>
      </c>
      <c r="T262" t="n">
        <v>0</v>
      </c>
      <c r="U262" t="n">
        <v>52815</v>
      </c>
    </row>
    <row r="263">
      <c r="A263" t="inlineStr">
        <is>
          <t>20260910-8186-463566252</t>
        </is>
      </c>
      <c r="B263" t="n">
        <v>1</v>
      </c>
      <c r="C263" s="2" t="inlineStr">
        <is>
          <t>ВАЛЕРИЙ ШАЛАЕВ, АЛЛА ШАЛАЕВА</t>
        </is>
      </c>
      <c r="D263" s="3" t="n">
        <v>34042.5</v>
      </c>
      <c r="E263" s="4" t="n">
        <v>15</v>
      </c>
      <c r="F263" t="inlineStr">
        <is>
          <t>ООО "АКАДЕМ-ОНЛАЙН" [Чайковский]</t>
        </is>
      </c>
      <c r="G263" s="3">
        <f>ROUND(D263/(100-E263)*100,2)</f>
        <v/>
      </c>
      <c r="H263" s="5" t="n">
        <v>46276.58333333334</v>
      </c>
      <c r="I263" t="n">
        <v>3</v>
      </c>
      <c r="J263" s="3">
        <f>G263/I263</f>
        <v/>
      </c>
      <c r="K263">
        <f>IF(J263&gt;=5100,"ставка","мин.ставка")</f>
        <v/>
      </c>
      <c r="L263" s="3">
        <f>ROUND(IF(K263="мин.ставка",I263*100,G263/102*2),2)</f>
        <v/>
      </c>
      <c r="M263" s="5" t="n">
        <v>46279.79166666666</v>
      </c>
      <c r="N263" t="inlineStr">
        <is>
          <t>TravelLine ACS</t>
        </is>
      </c>
      <c r="O263" s="2" t="inlineStr">
        <is>
          <t>ПОЛУЛЮКС</t>
        </is>
      </c>
      <c r="P263" s="6" t="n"/>
      <c r="R263" t="inlineStr"/>
      <c r="S263" t="inlineStr">
        <is>
          <t>Тариф с завтраком</t>
        </is>
      </c>
      <c r="T263" t="n">
        <v>7425</v>
      </c>
      <c r="U263" t="n">
        <v>52815</v>
      </c>
    </row>
    <row r="264">
      <c r="A264" t="inlineStr">
        <is>
          <t>20260901-8186-421880912</t>
        </is>
      </c>
      <c r="B264" t="n">
        <v>1</v>
      </c>
      <c r="C264" s="2" t="inlineStr">
        <is>
          <t>ВАЛЕРИЯ ЛОГИНОВА, СОФИЯ ЛОГИНОВА</t>
        </is>
      </c>
      <c r="D264" s="3" t="n">
        <v>45390</v>
      </c>
      <c r="E264" s="4" t="n">
        <v>0</v>
      </c>
      <c r="F264" t="inlineStr">
        <is>
          <t>ООО "АЛЕАН ОТДЫХ" [Чайковский]</t>
        </is>
      </c>
      <c r="G264" s="3">
        <f>ROUND(D264/(100-E264)*100,2)</f>
        <v/>
      </c>
      <c r="H264" s="5" t="n">
        <v>46266.58333333334</v>
      </c>
      <c r="I264" t="n">
        <v>4</v>
      </c>
      <c r="J264" s="3">
        <f>G264/I264</f>
        <v/>
      </c>
      <c r="K264">
        <f>IF(J264&gt;=5100,"ставка","мин.ставка")</f>
        <v/>
      </c>
      <c r="L264" s="3">
        <f>ROUND(IF(K264="мин.ставка",I264*100,G264/102*2),2)</f>
        <v/>
      </c>
      <c r="M264" s="5" t="n">
        <v>46270.5</v>
      </c>
      <c r="N264" t="inlineStr">
        <is>
          <t>TravelLine ALN</t>
        </is>
      </c>
      <c r="O264" s="2" t="inlineStr">
        <is>
          <t>СТАНДАРТНЫЙ ДВУХМЕСТНЫЙ НОМЕР</t>
        </is>
      </c>
      <c r="P264" s="6" t="n"/>
      <c r="R264" t="inlineStr"/>
      <c r="S264" t="inlineStr">
        <is>
          <t>Тариф с завтраком</t>
        </is>
      </c>
      <c r="T264" t="n">
        <v>0</v>
      </c>
      <c r="U264" t="n">
        <v>45390</v>
      </c>
    </row>
    <row r="265">
      <c r="A265" t="inlineStr">
        <is>
          <t>20260824-8186-451489646</t>
        </is>
      </c>
      <c r="B265" t="n">
        <v>1</v>
      </c>
      <c r="C265" s="2" t="inlineStr">
        <is>
          <t>Варвара Белоусова</t>
        </is>
      </c>
      <c r="D265" s="3" t="n">
        <v>7655.1</v>
      </c>
      <c r="E265" s="4" t="n">
        <v>4</v>
      </c>
      <c r="F265" t="inlineStr">
        <is>
          <t>TravelLine Booking Engine [Чайковский]</t>
        </is>
      </c>
      <c r="G265" s="3">
        <f>ROUND(D265/(100-E265)*100,2)</f>
        <v/>
      </c>
      <c r="H265" s="5" t="n">
        <v>46258.58333333334</v>
      </c>
      <c r="I265" t="n">
        <v>1</v>
      </c>
      <c r="J265" s="3">
        <f>G265/I265</f>
        <v/>
      </c>
      <c r="K265">
        <f>IF(J265&gt;=5100,"ставка","мин.ставка")</f>
        <v/>
      </c>
      <c r="L265" s="3">
        <f>ROUND(IF(K265="мин.ставка",I265*100,G265/102*2),2)</f>
        <v/>
      </c>
      <c r="M265" s="5" t="n">
        <v>46259.5</v>
      </c>
      <c r="N265" t="inlineStr">
        <is>
          <t>TravelLine сайт</t>
        </is>
      </c>
      <c r="O265" s="2" t="inlineStr">
        <is>
          <t>СТАНДАРТНЫЙ ДВУХМЕСТНЫЙ НОМЕР (МАНСАРДА)</t>
        </is>
      </c>
      <c r="P265" s="6" t="n"/>
      <c r="R265" t="inlineStr"/>
      <c r="S265" t="inlineStr">
        <is>
          <t>Тариф с завтраком</t>
        </is>
      </c>
      <c r="T265" t="n">
        <v>0</v>
      </c>
      <c r="U265" t="n">
        <v>24903.3</v>
      </c>
    </row>
    <row r="266">
      <c r="A266" t="inlineStr">
        <is>
          <t>20260928-8186-468485371</t>
        </is>
      </c>
      <c r="B266" t="n">
        <v>1</v>
      </c>
      <c r="C266" s="2" t="inlineStr">
        <is>
          <t>Вардан Есоян</t>
        </is>
      </c>
      <c r="D266" s="3" t="n">
        <v>27921</v>
      </c>
      <c r="E266" s="4" t="n">
        <v>18</v>
      </c>
      <c r="F266" t="inlineStr">
        <is>
          <t>ООО "Эй энд Эй" [Чайковский]</t>
        </is>
      </c>
      <c r="G266" s="3">
        <f>ROUND(D266/(100-E266)*100,2)</f>
        <v/>
      </c>
      <c r="H266" s="5" t="n">
        <v>46293.58333333334</v>
      </c>
      <c r="I266" t="n">
        <v>3</v>
      </c>
      <c r="J266" s="3">
        <f>G266/I266</f>
        <v/>
      </c>
      <c r="K266">
        <f>IF(J266&gt;=5100,"ставка","мин.ставка")</f>
        <v/>
      </c>
      <c r="L266" s="3">
        <f>ROUND(IF(K266="мин.ставка",I266*100,G266/102*2),2)</f>
        <v/>
      </c>
      <c r="M266" s="5" t="n">
        <v>46296.5</v>
      </c>
      <c r="N266" t="inlineStr">
        <is>
          <t>TravelLine ANA</t>
        </is>
      </c>
      <c r="O266" s="2" t="inlineStr">
        <is>
          <t>СТАНДАРТНЫЙ ДВУХМЕСТНЫЙ НОМЕР</t>
        </is>
      </c>
      <c r="P266" s="6" t="n"/>
      <c r="R266" t="inlineStr"/>
      <c r="S266" t="inlineStr">
        <is>
          <t>Тариф с завтраком</t>
        </is>
      </c>
      <c r="T266" t="n">
        <v>0</v>
      </c>
      <c r="U266" t="n">
        <v>27921</v>
      </c>
    </row>
    <row r="267">
      <c r="A267" t="inlineStr">
        <is>
          <t>20260811-8186-455189264</t>
        </is>
      </c>
      <c r="B267" t="n">
        <v>1</v>
      </c>
      <c r="C267" s="2" t="inlineStr">
        <is>
          <t>ВАсилий Козин, Марина Мицик</t>
        </is>
      </c>
      <c r="D267" s="3" t="n">
        <v>39636.15</v>
      </c>
      <c r="E267" s="4" t="n">
        <v>4</v>
      </c>
      <c r="F267" t="inlineStr">
        <is>
          <t>TravelLine Booking Engine [Чайковский]</t>
        </is>
      </c>
      <c r="G267" s="3">
        <f>ROUND(D267/(100-E267)*100,2)</f>
        <v/>
      </c>
      <c r="H267" s="5" t="n">
        <v>46245.58333333334</v>
      </c>
      <c r="I267" t="n">
        <v>3</v>
      </c>
      <c r="J267" s="3">
        <f>G267/I267</f>
        <v/>
      </c>
      <c r="K267">
        <f>IF(J267&gt;=5100,"ставка","мин.ставка")</f>
        <v/>
      </c>
      <c r="L267" s="3">
        <f>ROUND(IF(K267="мин.ставка",I267*100,G267/102*2),2)</f>
        <v/>
      </c>
      <c r="M267" s="5" t="n">
        <v>46248.5</v>
      </c>
      <c r="N267" t="inlineStr">
        <is>
          <t>TravelLine сайт</t>
        </is>
      </c>
      <c r="O267" s="2" t="inlineStr">
        <is>
          <t>СТАНДАРТНЫЙ ДВУХМЕСТНЫЙ НОМЕР</t>
        </is>
      </c>
      <c r="P267" s="6" t="n"/>
      <c r="R267" t="inlineStr"/>
      <c r="S267" t="inlineStr">
        <is>
          <t>Тариф с завтраком</t>
        </is>
      </c>
      <c r="T267" t="n">
        <v>0</v>
      </c>
      <c r="U267" t="n">
        <v>39636.15</v>
      </c>
    </row>
    <row r="268">
      <c r="A268" t="inlineStr">
        <is>
          <t>20260811-8186-456721547</t>
        </is>
      </c>
      <c r="B268" t="n">
        <v>1</v>
      </c>
      <c r="C268" s="2" t="inlineStr">
        <is>
          <t>Василий Лаптев, мария Лаптева</t>
        </is>
      </c>
      <c r="D268" s="3" t="n">
        <v>89000</v>
      </c>
      <c r="E268" s="4" t="n">
        <v>0</v>
      </c>
      <c r="F268" t="inlineStr">
        <is>
          <t>Прямые бронирования (стойка) [Чайковский]</t>
        </is>
      </c>
      <c r="G268" s="3">
        <f>ROUND(D268/(100-E268)*100,2)</f>
        <v/>
      </c>
      <c r="H268" s="5" t="n">
        <v>46245.58333333334</v>
      </c>
      <c r="I268" t="n">
        <v>5</v>
      </c>
      <c r="J268" s="3">
        <f>G268/I268</f>
        <v/>
      </c>
      <c r="K268">
        <f>IF(J268&gt;=5100,"ставка","мин.ставка")</f>
        <v/>
      </c>
      <c r="L268" s="3">
        <f>ROUND(IF(K268="мин.ставка",I268*100,G268/102*2),2)</f>
        <v/>
      </c>
      <c r="M268" s="5" t="n">
        <v>46250.5</v>
      </c>
      <c r="N268" t="inlineStr">
        <is>
          <t>TravelLine ресепшн</t>
        </is>
      </c>
      <c r="O268" s="2" t="inlineStr">
        <is>
          <t>ЛЮКС ВТОРОЙ КОРПУС</t>
        </is>
      </c>
      <c r="P268" s="6" t="n"/>
      <c r="R268" t="inlineStr"/>
      <c r="S268" t="inlineStr">
        <is>
          <t>Тариф с завтраком</t>
        </is>
      </c>
      <c r="T268" t="n">
        <v>0</v>
      </c>
      <c r="U268" t="n">
        <v>89000</v>
      </c>
    </row>
    <row r="269">
      <c r="A269" t="inlineStr">
        <is>
          <t>20260716-8186-439058294</t>
        </is>
      </c>
      <c r="B269" t="n">
        <v>1</v>
      </c>
      <c r="C269" s="2" t="inlineStr">
        <is>
          <t>ВАСИЛИЙ ЛИМАНСКИЙ, АЛЛА ЛИМАНСКАЯ, ЛЕОНИД ЛИМАНСКИЙ</t>
        </is>
      </c>
      <c r="D269" s="3" t="n">
        <v>34042.5</v>
      </c>
      <c r="E269" s="4" t="n">
        <v>15</v>
      </c>
      <c r="F269" t="inlineStr">
        <is>
          <t>ООО "БРОНИРОВАНИЕ ГОСТИНИЦ" (OSTROVOK) [Чайковский]</t>
        </is>
      </c>
      <c r="G269" s="3">
        <f>ROUND(D269/(100-E269)*100,2)</f>
        <v/>
      </c>
      <c r="H269" s="5" t="n">
        <v>46219.58333333334</v>
      </c>
      <c r="I269" t="n">
        <v>3</v>
      </c>
      <c r="J269" s="3">
        <f>G269/I269</f>
        <v/>
      </c>
      <c r="K269">
        <f>IF(J269&gt;=5100,"ставка","мин.ставка")</f>
        <v/>
      </c>
      <c r="L269" s="3">
        <f>ROUND(IF(K269="мин.ставка",I269*100,G269/102*2),2)</f>
        <v/>
      </c>
      <c r="M269" s="5" t="n">
        <v>46222.5</v>
      </c>
      <c r="N269" t="inlineStr">
        <is>
          <t>TravelLine OTK</t>
        </is>
      </c>
      <c r="O269" s="2" t="inlineStr">
        <is>
          <t>СЕМЕЙНЫЙ НОМЕР КАТЕГОРИИ "СТАНДАРТ" ВТОРОЙ КОРПУС</t>
        </is>
      </c>
      <c r="P269" s="6" t="n"/>
      <c r="R269" t="inlineStr"/>
      <c r="S269" t="inlineStr">
        <is>
          <t>Тариф с завтраком</t>
        </is>
      </c>
      <c r="T269" t="n">
        <v>8400</v>
      </c>
      <c r="U269" t="n">
        <v>42442.5</v>
      </c>
    </row>
    <row r="270">
      <c r="A270" t="inlineStr">
        <is>
          <t>20260815-8186-458848369</t>
        </is>
      </c>
      <c r="B270" t="n">
        <v>1</v>
      </c>
      <c r="C270" s="2" t="inlineStr">
        <is>
          <t>Василий Федоров, Юлия Федорова</t>
        </is>
      </c>
      <c r="D270" s="3" t="n">
        <v>13860</v>
      </c>
      <c r="E270" s="4" t="n">
        <v>0</v>
      </c>
      <c r="F270" t="inlineStr">
        <is>
          <t>Прямые бронирования (стойка) [Чайковский]</t>
        </is>
      </c>
      <c r="G270" s="3">
        <f>ROUND(D270/(100-E270)*100,2)</f>
        <v/>
      </c>
      <c r="H270" s="5" t="n">
        <v>46249.58333333334</v>
      </c>
      <c r="I270" t="n">
        <v>1</v>
      </c>
      <c r="J270" s="3">
        <f>G270/I270</f>
        <v/>
      </c>
      <c r="K270">
        <f>IF(J270&gt;=5100,"ставка","мин.ставка")</f>
        <v/>
      </c>
      <c r="L270" s="3">
        <f>ROUND(IF(K270="мин.ставка",I270*100,G270/102*2),2)</f>
        <v/>
      </c>
      <c r="M270" s="5" t="n">
        <v>46250.5</v>
      </c>
      <c r="N270" t="inlineStr">
        <is>
          <t>TravelLine ресепшн</t>
        </is>
      </c>
      <c r="O270" s="2" t="inlineStr">
        <is>
          <t>УЛУЧШЕННЫЙ ДВУХМЕСТНЫЙ НОМЕР</t>
        </is>
      </c>
      <c r="P270" s="6" t="n"/>
      <c r="R270" t="inlineStr"/>
      <c r="S270" t="inlineStr">
        <is>
          <t>Тариф с завтраком</t>
        </is>
      </c>
      <c r="T270" t="n">
        <v>0</v>
      </c>
      <c r="U270" t="n">
        <v>13860</v>
      </c>
    </row>
    <row r="271">
      <c r="A271" t="inlineStr">
        <is>
          <t>20260907-8186-458413850</t>
        </is>
      </c>
      <c r="B271" t="n">
        <v>1</v>
      </c>
      <c r="C271" s="2" t="inlineStr">
        <is>
          <t>ВЕНЕРА Мкртычян, ТАТЬЯНА Жидкова</t>
        </is>
      </c>
      <c r="D271" s="3" t="n">
        <v>53400</v>
      </c>
      <c r="E271" s="4" t="n">
        <v>20</v>
      </c>
      <c r="F271" t="inlineStr">
        <is>
          <t>ООО "КОМПАНИЯ БРОНЕВИК" [Чайковский]</t>
        </is>
      </c>
      <c r="G271" s="3">
        <f>ROUND(D271/(100-E271)*100,2)</f>
        <v/>
      </c>
      <c r="H271" s="5" t="n">
        <v>46272.58333333334</v>
      </c>
      <c r="I271" t="n">
        <v>5</v>
      </c>
      <c r="J271" s="3">
        <f>G271/I271</f>
        <v/>
      </c>
      <c r="K271">
        <f>IF(J271&gt;=5100,"ставка","мин.ставка")</f>
        <v/>
      </c>
      <c r="L271" s="3">
        <f>ROUND(IF(K271="мин.ставка",I271*100,G271/102*2),2)</f>
        <v/>
      </c>
      <c r="M271" s="5" t="n">
        <v>46277.5</v>
      </c>
      <c r="N271" t="inlineStr">
        <is>
          <t>TravelLine BR2</t>
        </is>
      </c>
      <c r="O271" s="2" t="inlineStr">
        <is>
          <t>УЛУЧШЕННЫЙ ДВУХМЕСТНЫЙ НОМЕР</t>
        </is>
      </c>
      <c r="P271" s="6" t="n"/>
      <c r="R271" t="inlineStr"/>
      <c r="S271" t="inlineStr">
        <is>
          <t>Тариф с завтраком</t>
        </is>
      </c>
      <c r="T271" t="n">
        <v>0</v>
      </c>
      <c r="U271" t="n">
        <v>53400</v>
      </c>
    </row>
    <row r="272">
      <c r="A272" t="inlineStr">
        <is>
          <t>20260812-8186-457461972</t>
        </is>
      </c>
      <c r="B272" t="n">
        <v>1</v>
      </c>
      <c r="C272" s="2" t="inlineStr">
        <is>
          <t>Вера Аксенова, Иван Васильев</t>
        </is>
      </c>
      <c r="D272" s="3" t="n">
        <v>57352.05</v>
      </c>
      <c r="E272" s="4" t="n">
        <v>4</v>
      </c>
      <c r="F272" t="inlineStr">
        <is>
          <t>TravelLine Booking Engine [Чайковский]</t>
        </is>
      </c>
      <c r="G272" s="3">
        <f>ROUND(D272/(100-E272)*100,2)</f>
        <v/>
      </c>
      <c r="H272" s="5" t="n">
        <v>46246.58333333334</v>
      </c>
      <c r="I272" t="n">
        <v>4</v>
      </c>
      <c r="J272" s="3">
        <f>G272/I272</f>
        <v/>
      </c>
      <c r="K272">
        <f>IF(J272&gt;=5100,"ставка","мин.ставка")</f>
        <v/>
      </c>
      <c r="L272" s="3">
        <f>ROUND(IF(K272="мин.ставка",I272*100,G272/102*2),2)</f>
        <v/>
      </c>
      <c r="M272" s="5" t="n">
        <v>46250.5</v>
      </c>
      <c r="N272" t="inlineStr">
        <is>
          <t>TravelLine сайт</t>
        </is>
      </c>
      <c r="O272" s="2" t="inlineStr">
        <is>
          <t>СЕМЕЙНЫЙ НОМЕР КАТЕГОРИИ "СТАНДАРТ" ВТОРОЙ КОРПУС</t>
        </is>
      </c>
      <c r="P272" s="6" t="n"/>
      <c r="R272" t="inlineStr"/>
      <c r="S272" t="inlineStr">
        <is>
          <t>Тариф с завтраком</t>
        </is>
      </c>
      <c r="T272" t="n">
        <v>0</v>
      </c>
      <c r="U272" t="n">
        <v>57352.05</v>
      </c>
    </row>
    <row r="273">
      <c r="A273" t="inlineStr">
        <is>
          <t>20260801-8186-431054708</t>
        </is>
      </c>
      <c r="B273" t="n">
        <v>1</v>
      </c>
      <c r="C273" s="2" t="inlineStr">
        <is>
          <t>ВЕРА БАКШИЦКАЯ, АННА АНТОНОВА</t>
        </is>
      </c>
      <c r="D273" s="3" t="n">
        <v>55440</v>
      </c>
      <c r="E273" s="4" t="n">
        <v>0</v>
      </c>
      <c r="F273" t="inlineStr">
        <is>
          <t>Прямые бронирования (стойка) [Чайковский]</t>
        </is>
      </c>
      <c r="G273" s="3">
        <f>ROUND(D273/(100-E273)*100,2)</f>
        <v/>
      </c>
      <c r="H273" s="5" t="n">
        <v>46235.58333333334</v>
      </c>
      <c r="I273" t="n">
        <v>7</v>
      </c>
      <c r="J273" s="3">
        <f>G273/I273</f>
        <v/>
      </c>
      <c r="K273">
        <f>IF(J273&gt;=5100,"ставка","мин.ставка")</f>
        <v/>
      </c>
      <c r="L273" s="3">
        <f>ROUND(IF(K273="мин.ставка",I273*100,G273/102*2),2)</f>
        <v/>
      </c>
      <c r="M273" s="5" t="n">
        <v>46242.5</v>
      </c>
      <c r="N273" t="inlineStr">
        <is>
          <t>TravelLine ресепшн</t>
        </is>
      </c>
      <c r="O273" s="2" t="inlineStr">
        <is>
          <t>СТАНДАРТНЫЙ ДВУХМЕСТНЫЙ НОМЕР (МАНСАРДА)</t>
        </is>
      </c>
      <c r="P273" s="6" t="n"/>
      <c r="R273" t="inlineStr"/>
      <c r="S273" t="inlineStr">
        <is>
          <t>Тариф с завтраком</t>
        </is>
      </c>
      <c r="T273" t="n">
        <v>0</v>
      </c>
      <c r="U273" t="n">
        <v>55440</v>
      </c>
    </row>
    <row r="274">
      <c r="A274" t="inlineStr">
        <is>
          <t>20260701-8186-445037030</t>
        </is>
      </c>
      <c r="B274" t="n">
        <v>1</v>
      </c>
      <c r="C274" s="2" t="inlineStr">
        <is>
          <t>Вера Веселова</t>
        </is>
      </c>
      <c r="D274" s="3" t="n">
        <v>46400</v>
      </c>
      <c r="E274" s="4" t="n">
        <v>18</v>
      </c>
      <c r="F274" t="inlineStr">
        <is>
          <t>Яндекс.Путешествия [Чайковский]</t>
        </is>
      </c>
      <c r="G274" s="3">
        <f>ROUND(D274/(100-E274)*100,2)</f>
        <v/>
      </c>
      <c r="H274" s="5" t="n">
        <v>46204.58333333334</v>
      </c>
      <c r="I274" t="n">
        <v>4</v>
      </c>
      <c r="J274" s="3">
        <f>G274/I274</f>
        <v/>
      </c>
      <c r="K274">
        <f>IF(J274&gt;=5100,"ставка","мин.ставка")</f>
        <v/>
      </c>
      <c r="L274" s="3">
        <f>ROUND(IF(K274="мин.ставка",I274*100,G274/102*2),2)</f>
        <v/>
      </c>
      <c r="M274" s="5" t="n">
        <v>46208.5</v>
      </c>
      <c r="N274" t="inlineStr">
        <is>
          <t>TravelLine YAX</t>
        </is>
      </c>
      <c r="O274" s="2" t="inlineStr">
        <is>
          <t>ПОЛУЛЮКС</t>
        </is>
      </c>
      <c r="P274" s="6" t="n"/>
      <c r="R274" t="inlineStr"/>
      <c r="S274" t="inlineStr">
        <is>
          <t>Тариф с завтраком</t>
        </is>
      </c>
      <c r="T274" t="n">
        <v>0</v>
      </c>
      <c r="U274" t="n">
        <v>46400</v>
      </c>
    </row>
    <row r="275">
      <c r="A275" t="inlineStr">
        <is>
          <t>20260925-8186-468362135</t>
        </is>
      </c>
      <c r="B275" t="n">
        <v>1</v>
      </c>
      <c r="C275" s="2" t="inlineStr">
        <is>
          <t>Вера Голубь</t>
        </is>
      </c>
      <c r="D275" s="3" t="n">
        <v>9534</v>
      </c>
      <c r="E275" s="4" t="n">
        <v>16</v>
      </c>
      <c r="F275" t="inlineStr">
        <is>
          <t>ООО "БРОНИРОВАНИЕ ГОСТИНИЦ" (OSTROVOK) [Чайковский]</t>
        </is>
      </c>
      <c r="G275" s="3">
        <f>ROUND(D275/(100-E275)*100,2)</f>
        <v/>
      </c>
      <c r="H275" s="5" t="n">
        <v>46290.58333333334</v>
      </c>
      <c r="I275" t="n">
        <v>1</v>
      </c>
      <c r="J275" s="3">
        <f>G275/I275</f>
        <v/>
      </c>
      <c r="K275">
        <f>IF(J275&gt;=5100,"ставка","мин.ставка")</f>
        <v/>
      </c>
      <c r="L275" s="3">
        <f>ROUND(IF(K275="мин.ставка",I275*100,G275/102*2),2)</f>
        <v/>
      </c>
      <c r="M275" s="5" t="n">
        <v>46291.5</v>
      </c>
      <c r="N275" t="inlineStr">
        <is>
          <t>TravelLine OTK</t>
        </is>
      </c>
      <c r="O275" s="2" t="inlineStr">
        <is>
          <t>СТАНДАРТНЫЙ ДВУХМЕСТНЫЙ НОМЕР</t>
        </is>
      </c>
      <c r="P275" s="6" t="n"/>
      <c r="R275" t="inlineStr"/>
      <c r="S275" t="inlineStr">
        <is>
          <t>Тариф с завтраком</t>
        </is>
      </c>
      <c r="T275" t="n">
        <v>0</v>
      </c>
      <c r="U275" t="n">
        <v>9534</v>
      </c>
    </row>
    <row r="276">
      <c r="A276" t="inlineStr">
        <is>
          <t>20260706-8186-447621903</t>
        </is>
      </c>
      <c r="B276" t="n">
        <v>1</v>
      </c>
      <c r="C276" s="2" t="inlineStr">
        <is>
          <t>Вера Скитыба</t>
        </is>
      </c>
      <c r="D276" s="3" t="n">
        <v>19805</v>
      </c>
      <c r="E276" s="4" t="n">
        <v>15</v>
      </c>
      <c r="F276" t="inlineStr">
        <is>
          <t>ООО Тинькофф Путешествия [Чайковский]</t>
        </is>
      </c>
      <c r="G276" s="3">
        <f>ROUND(D276/(100-E276)*100,2)</f>
        <v/>
      </c>
      <c r="H276" s="5" t="n">
        <v>46209.58333333334</v>
      </c>
      <c r="I276" t="n">
        <v>2</v>
      </c>
      <c r="J276" s="3">
        <f>G276/I276</f>
        <v/>
      </c>
      <c r="K276">
        <f>IF(J276&gt;=5100,"ставка","мин.ставка")</f>
        <v/>
      </c>
      <c r="L276" s="3">
        <f>ROUND(IF(K276="мин.ставка",I276*100,G276/102*2),2)</f>
        <v/>
      </c>
      <c r="M276" s="5" t="n">
        <v>46211.5</v>
      </c>
      <c r="N276" t="inlineStr">
        <is>
          <t>TravelLine TNK</t>
        </is>
      </c>
      <c r="O276" s="2" t="inlineStr">
        <is>
          <t>УЛУЧШЕННЫЙ ДВУХМЕСТНЫЙ НОМЕР</t>
        </is>
      </c>
      <c r="P276" s="6" t="n"/>
      <c r="R276" t="inlineStr"/>
      <c r="S276" t="inlineStr">
        <is>
          <t>Тариф с завтраком</t>
        </is>
      </c>
      <c r="T276" t="n">
        <v>0</v>
      </c>
      <c r="U276" t="n">
        <v>19805</v>
      </c>
    </row>
    <row r="277">
      <c r="A277" t="inlineStr">
        <is>
          <t>20260918-8186-461156942</t>
        </is>
      </c>
      <c r="B277" t="n">
        <v>1</v>
      </c>
      <c r="C277" s="2" t="inlineStr">
        <is>
          <t>ВЕРОНИКА ВОЛКОВА, НИКОЛАЙ КАРАПЧЕЕВ</t>
        </is>
      </c>
      <c r="D277" s="3" t="n">
        <v>22780</v>
      </c>
      <c r="E277" s="4" t="n">
        <v>15</v>
      </c>
      <c r="F277" t="inlineStr">
        <is>
          <t>ООО "АКАДЕМ-ОНЛАЙН" [Чайковский]</t>
        </is>
      </c>
      <c r="G277" s="3">
        <f>ROUND(D277/(100-E277)*100,2)</f>
        <v/>
      </c>
      <c r="H277" s="5" t="n">
        <v>46283.58333333334</v>
      </c>
      <c r="I277" t="n">
        <v>2</v>
      </c>
      <c r="J277" s="3">
        <f>G277/I277</f>
        <v/>
      </c>
      <c r="K277">
        <f>IF(J277&gt;=5100,"ставка","мин.ставка")</f>
        <v/>
      </c>
      <c r="L277" s="3">
        <f>ROUND(IF(K277="мин.ставка",I277*100,G277/102*2),2)</f>
        <v/>
      </c>
      <c r="M277" s="5" t="n">
        <v>46285.875</v>
      </c>
      <c r="N277" t="inlineStr">
        <is>
          <t>TravelLine ACS</t>
        </is>
      </c>
      <c r="O277" s="2" t="inlineStr">
        <is>
          <t>УЛУЧШЕННЫЙ ДВУХМЕСТНЫЙ НОМЕР</t>
        </is>
      </c>
      <c r="P277" s="6" t="n"/>
      <c r="R277" t="inlineStr"/>
      <c r="S277" t="inlineStr">
        <is>
          <t>Тариф с завтраком</t>
        </is>
      </c>
      <c r="T277" t="n">
        <v>10700</v>
      </c>
      <c r="U277" t="n">
        <v>33480</v>
      </c>
    </row>
    <row r="278">
      <c r="A278" t="inlineStr">
        <is>
          <t>20260901-8186-461814037</t>
        </is>
      </c>
      <c r="B278" t="n">
        <v>1</v>
      </c>
      <c r="C278" s="2" t="inlineStr">
        <is>
          <t>Вероника Левина</t>
        </is>
      </c>
      <c r="D278" s="3" t="n">
        <v>19295</v>
      </c>
      <c r="E278" s="4" t="n">
        <v>15</v>
      </c>
      <c r="F278" t="inlineStr">
        <is>
          <t>ООО «12Т» (ранее ONE TWO TRIP) [Чайковский]</t>
        </is>
      </c>
      <c r="G278" s="3">
        <f>ROUND(D278/(100-E278)*100,2)</f>
        <v/>
      </c>
      <c r="H278" s="5" t="n">
        <v>46266.58333333334</v>
      </c>
      <c r="I278" t="n">
        <v>2</v>
      </c>
      <c r="J278" s="3">
        <f>G278/I278</f>
        <v/>
      </c>
      <c r="K278">
        <f>IF(J278&gt;=5100,"ставка","мин.ставка")</f>
        <v/>
      </c>
      <c r="L278" s="3">
        <f>ROUND(IF(K278="мин.ставка",I278*100,G278/102*2),2)</f>
        <v/>
      </c>
      <c r="M278" s="5" t="n">
        <v>46268.5</v>
      </c>
      <c r="N278" t="inlineStr">
        <is>
          <t>TravelLine OTT</t>
        </is>
      </c>
      <c r="O278" s="2" t="inlineStr">
        <is>
          <t>СТАНДАРТНЫЙ ДВУХМЕСТНЫЙ НОМЕР</t>
        </is>
      </c>
      <c r="P278" s="6" t="n"/>
      <c r="R278" t="inlineStr"/>
      <c r="S278" t="inlineStr">
        <is>
          <t>Тариф с завтраком</t>
        </is>
      </c>
      <c r="T278" t="n">
        <v>0</v>
      </c>
      <c r="U278" t="n">
        <v>19295</v>
      </c>
    </row>
    <row r="279">
      <c r="A279" t="inlineStr">
        <is>
          <t>20260722-8186-423776337</t>
        </is>
      </c>
      <c r="B279" t="n">
        <v>1</v>
      </c>
      <c r="C279" s="2" t="inlineStr">
        <is>
          <t>Вероника Новик, Роман Хвостов</t>
        </is>
      </c>
      <c r="D279" s="3" t="n">
        <v>74760</v>
      </c>
      <c r="E279" s="4" t="n">
        <v>18</v>
      </c>
      <c r="F279" t="inlineStr">
        <is>
          <t>Яндекс.Путешествия [Чайковский]</t>
        </is>
      </c>
      <c r="G279" s="3">
        <f>ROUND(D279/(100-E279)*100,2)</f>
        <v/>
      </c>
      <c r="H279" s="5" t="n">
        <v>46225.58333333334</v>
      </c>
      <c r="I279" t="n">
        <v>7</v>
      </c>
      <c r="J279" s="3">
        <f>G279/I279</f>
        <v/>
      </c>
      <c r="K279">
        <f>IF(J279&gt;=5100,"ставка","мин.ставка")</f>
        <v/>
      </c>
      <c r="L279" s="3">
        <f>ROUND(IF(K279="мин.ставка",I279*100,G279/102*2),2)</f>
        <v/>
      </c>
      <c r="M279" s="5" t="n">
        <v>46232.5</v>
      </c>
      <c r="N279" t="inlineStr">
        <is>
          <t>TravelLine YAX</t>
        </is>
      </c>
      <c r="O279" s="2" t="inlineStr">
        <is>
          <t>СТАНДАРТНЫЙ ДВУХМЕСТНЫЙ НОМЕР</t>
        </is>
      </c>
      <c r="P279" s="6" t="n"/>
      <c r="R279" t="inlineStr"/>
      <c r="S279" t="inlineStr">
        <is>
          <t>Тариф с завтраком</t>
        </is>
      </c>
      <c r="T279" t="n">
        <v>0</v>
      </c>
      <c r="U279" t="n">
        <v>74760</v>
      </c>
    </row>
    <row r="280">
      <c r="A280" t="inlineStr">
        <is>
          <t>20260809-8186-453143190</t>
        </is>
      </c>
      <c r="B280" t="n">
        <v>1</v>
      </c>
      <c r="C280" s="2" t="inlineStr">
        <is>
          <t>ВЕРОНИКА СЕРЕБРЯКОВА</t>
        </is>
      </c>
      <c r="D280" s="3" t="n">
        <v>18160</v>
      </c>
      <c r="E280" s="4" t="n">
        <v>18</v>
      </c>
      <c r="F280" t="inlineStr">
        <is>
          <t>Яндекс.Путешествия [Чайковский]</t>
        </is>
      </c>
      <c r="G280" s="3">
        <f>ROUND(D280/(100-E280)*100,2)</f>
        <v/>
      </c>
      <c r="H280" s="5" t="n">
        <v>46243.58333333334</v>
      </c>
      <c r="I280" t="n">
        <v>2</v>
      </c>
      <c r="J280" s="3">
        <f>G280/I280</f>
        <v/>
      </c>
      <c r="K280">
        <f>IF(J280&gt;=5100,"ставка","мин.ставка")</f>
        <v/>
      </c>
      <c r="L280" s="3">
        <f>ROUND(IF(K280="мин.ставка",I280*100,G280/102*2),2)</f>
        <v/>
      </c>
      <c r="M280" s="5" t="n">
        <v>46245.5</v>
      </c>
      <c r="N280" t="inlineStr">
        <is>
          <t>TravelLine YAX</t>
        </is>
      </c>
      <c r="O280" s="2" t="inlineStr">
        <is>
          <t>СТАНДАРТНЫЙ ДВУХМЕСТНЫЙ НОМЕР</t>
        </is>
      </c>
      <c r="P280" s="6" t="n"/>
      <c r="R280" t="inlineStr"/>
      <c r="S280" t="inlineStr">
        <is>
          <t>Тариф с завтраком</t>
        </is>
      </c>
      <c r="T280" t="n">
        <v>0</v>
      </c>
      <c r="U280" t="n">
        <v>18160</v>
      </c>
    </row>
    <row r="281">
      <c r="A281" t="inlineStr">
        <is>
          <t>20260710-8186-449179588</t>
        </is>
      </c>
      <c r="B281" t="n">
        <v>1</v>
      </c>
      <c r="C281" s="2" t="inlineStr">
        <is>
          <t>Виктор Дьяков</t>
        </is>
      </c>
      <c r="D281" s="3" t="n">
        <v>9315</v>
      </c>
      <c r="E281" s="4" t="n">
        <v>0</v>
      </c>
      <c r="F281" t="inlineStr">
        <is>
          <t>Прямые бронирования (стойка) [Чайковский]</t>
        </is>
      </c>
      <c r="G281" s="3">
        <f>ROUND(D281/(100-E281)*100,2)</f>
        <v/>
      </c>
      <c r="H281" s="5" t="n">
        <v>46213.58333333334</v>
      </c>
      <c r="I281" t="n">
        <v>1</v>
      </c>
      <c r="J281" s="3">
        <f>G281/I281</f>
        <v/>
      </c>
      <c r="K281">
        <f>IF(J281&gt;=5100,"ставка","мин.ставка")</f>
        <v/>
      </c>
      <c r="L281" s="3">
        <f>ROUND(IF(K281="мин.ставка",I281*100,G281/102*2),2)</f>
        <v/>
      </c>
      <c r="M281" s="5" t="n">
        <v>46214.5</v>
      </c>
      <c r="N281" t="inlineStr">
        <is>
          <t>TravelLine ресепшн</t>
        </is>
      </c>
      <c r="O281" s="2" t="inlineStr">
        <is>
          <t>СТАНДАРТНЫЙ ДВУХМЕСТНЫЙ НОМЕР</t>
        </is>
      </c>
      <c r="P281" s="6" t="n"/>
      <c r="R281" t="inlineStr"/>
      <c r="S281" t="inlineStr">
        <is>
          <t>Тариф с завтраком</t>
        </is>
      </c>
      <c r="T281" t="n">
        <v>0</v>
      </c>
      <c r="U281" t="n">
        <v>9315</v>
      </c>
    </row>
    <row r="282">
      <c r="A282" t="inlineStr">
        <is>
          <t>20260822-8186-425651545</t>
        </is>
      </c>
      <c r="B282" t="n">
        <v>1</v>
      </c>
      <c r="C282" s="2" t="inlineStr">
        <is>
          <t>Виктор Дюков, Лариса Дюкова</t>
        </is>
      </c>
      <c r="D282" s="3" t="n">
        <v>60876</v>
      </c>
      <c r="E282" s="4" t="n">
        <v>18</v>
      </c>
      <c r="F282" t="inlineStr">
        <is>
          <t>Яндекс.Путешествия [Чайковский]</t>
        </is>
      </c>
      <c r="G282" s="3">
        <f>ROUND(D282/(100-E282)*100,2)</f>
        <v/>
      </c>
      <c r="H282" s="5" t="n">
        <v>46256.58333333334</v>
      </c>
      <c r="I282" t="n">
        <v>6</v>
      </c>
      <c r="J282" s="3">
        <f>G282/I282</f>
        <v/>
      </c>
      <c r="K282">
        <f>IF(J282&gt;=5100,"ставка","мин.ставка")</f>
        <v/>
      </c>
      <c r="L282" s="3">
        <f>ROUND(IF(K282="мин.ставка",I282*100,G282/102*2),2)</f>
        <v/>
      </c>
      <c r="M282" s="5" t="n">
        <v>46262.5</v>
      </c>
      <c r="N282" t="inlineStr">
        <is>
          <t>TravelLine YAX</t>
        </is>
      </c>
      <c r="O282" s="2" t="inlineStr">
        <is>
          <t>СТАНДАРТНЫЙ ДВУХМЕСТНЫЙ НОМЕР</t>
        </is>
      </c>
      <c r="P282" s="6" t="n"/>
      <c r="R282" t="inlineStr"/>
      <c r="S282" t="inlineStr">
        <is>
          <t>Тариф с завтраком</t>
        </is>
      </c>
      <c r="T282" t="n">
        <v>0</v>
      </c>
      <c r="U282" t="n">
        <v>182928</v>
      </c>
    </row>
    <row r="283">
      <c r="A283" t="inlineStr">
        <is>
          <t>20260810-8186-439226204</t>
        </is>
      </c>
      <c r="B283" t="n">
        <v>1</v>
      </c>
      <c r="C283" s="2" t="inlineStr">
        <is>
          <t>ВИКТОР МАРТЫНОВ</t>
        </is>
      </c>
      <c r="D283" s="3" t="n">
        <v>21440</v>
      </c>
      <c r="E283" s="4" t="n">
        <v>20</v>
      </c>
      <c r="F283" t="inlineStr">
        <is>
          <t>ООО "ХБ-ПРО" [Чайковский]</t>
        </is>
      </c>
      <c r="G283" s="3">
        <f>ROUND(D283/(100-E283)*100,2)</f>
        <v/>
      </c>
      <c r="H283" s="5" t="n">
        <v>46244.58333333334</v>
      </c>
      <c r="I283" t="n">
        <v>2</v>
      </c>
      <c r="J283" s="3">
        <f>G283/I283</f>
        <v/>
      </c>
      <c r="K283">
        <f>IF(J283&gt;=5100,"ставка","мин.ставка")</f>
        <v/>
      </c>
      <c r="L283" s="3">
        <f>ROUND(IF(K283="мин.ставка",I283*100,G283/102*2),2)</f>
        <v/>
      </c>
      <c r="M283" s="5" t="n">
        <v>46246.5</v>
      </c>
      <c r="N283" t="inlineStr">
        <is>
          <t>TravelLine UTS</t>
        </is>
      </c>
      <c r="O283" s="2" t="inlineStr">
        <is>
          <t>УЛУЧШЕННЫЙ ДВУХМЕСТНЫЙ НОМЕР</t>
        </is>
      </c>
      <c r="P283" s="6" t="n"/>
      <c r="R283" t="inlineStr"/>
      <c r="S283" t="inlineStr">
        <is>
          <t>Тариф с завтраком</t>
        </is>
      </c>
      <c r="T283" t="n">
        <v>0</v>
      </c>
      <c r="U283" t="n">
        <v>21440</v>
      </c>
    </row>
    <row r="284">
      <c r="A284" t="inlineStr">
        <is>
          <t>20260721-8186-448633630</t>
        </is>
      </c>
      <c r="B284" t="n">
        <v>1</v>
      </c>
      <c r="C284" s="2" t="inlineStr">
        <is>
          <t>Виктор Распутин</t>
        </is>
      </c>
      <c r="D284" s="3" t="n">
        <v>27240</v>
      </c>
      <c r="E284" s="4" t="n">
        <v>18</v>
      </c>
      <c r="F284" t="inlineStr">
        <is>
          <t>Яндекс.Путешествия [Чайковский]</t>
        </is>
      </c>
      <c r="G284" s="3">
        <f>ROUND(D284/(100-E284)*100,2)</f>
        <v/>
      </c>
      <c r="H284" s="5" t="n">
        <v>46224.58333333334</v>
      </c>
      <c r="I284" t="n">
        <v>3</v>
      </c>
      <c r="J284" s="3">
        <f>G284/I284</f>
        <v/>
      </c>
      <c r="K284">
        <f>IF(J284&gt;=5100,"ставка","мин.ставка")</f>
        <v/>
      </c>
      <c r="L284" s="3">
        <f>ROUND(IF(K284="мин.ставка",I284*100,G284/102*2),2)</f>
        <v/>
      </c>
      <c r="M284" s="5" t="n">
        <v>46227.5</v>
      </c>
      <c r="N284" t="inlineStr">
        <is>
          <t>TravelLine YAX</t>
        </is>
      </c>
      <c r="O284" s="2" t="inlineStr">
        <is>
          <t>СТАНДАРТНЫЙ ДВУХМЕСТНЫЙ НОМЕР</t>
        </is>
      </c>
      <c r="P284" s="6" t="n"/>
      <c r="R284" t="inlineStr"/>
      <c r="S284" t="inlineStr">
        <is>
          <t>Тариф с завтраком</t>
        </is>
      </c>
      <c r="T284" t="n">
        <v>960</v>
      </c>
      <c r="U284" t="n">
        <v>28200</v>
      </c>
    </row>
    <row r="285">
      <c r="A285" t="inlineStr">
        <is>
          <t>20260712-8186-449238818</t>
        </is>
      </c>
      <c r="B285" t="n">
        <v>1</v>
      </c>
      <c r="C285" s="2" t="inlineStr">
        <is>
          <t>ВИКТОР САЛИВОНЕНКО</t>
        </is>
      </c>
      <c r="D285" s="3" t="n">
        <v>13114</v>
      </c>
      <c r="E285" s="4" t="n">
        <v>0</v>
      </c>
      <c r="F285" t="inlineStr">
        <is>
          <t>Прямые бронирования (стойка) [Чайковский]</t>
        </is>
      </c>
      <c r="G285" s="3">
        <f>ROUND(D285/(100-E285)*100,2)</f>
        <v/>
      </c>
      <c r="H285" s="5" t="n">
        <v>46215.58333333334</v>
      </c>
      <c r="I285" t="n">
        <v>2</v>
      </c>
      <c r="J285" s="3">
        <f>G285/I285</f>
        <v/>
      </c>
      <c r="K285">
        <f>IF(J285&gt;=5100,"ставка","мин.ставка")</f>
        <v/>
      </c>
      <c r="L285" s="3">
        <f>ROUND(IF(K285="мин.ставка",I285*100,G285/102*2),2)</f>
        <v/>
      </c>
      <c r="M285" s="5" t="n">
        <v>46217.5</v>
      </c>
      <c r="N285" t="inlineStr">
        <is>
          <t>TravelLine CMB</t>
        </is>
      </c>
      <c r="O285" s="2" t="inlineStr">
        <is>
          <t>СТАНДАРТНЫЙ ДВУХМЕСТНЫЙ НОМЕР (МАНСАРДА)</t>
        </is>
      </c>
      <c r="P285" s="6" t="n"/>
      <c r="R285" t="inlineStr"/>
      <c r="S285" t="inlineStr">
        <is>
          <t>Тариф с завтраком</t>
        </is>
      </c>
      <c r="T285" t="n">
        <v>0</v>
      </c>
      <c r="U285" t="n">
        <v>13114</v>
      </c>
    </row>
    <row r="286">
      <c r="A286" t="inlineStr">
        <is>
          <t>20260711-8186-431323267</t>
        </is>
      </c>
      <c r="B286" t="n">
        <v>1</v>
      </c>
      <c r="C286" s="2" t="inlineStr">
        <is>
          <t>Виктор Соломенцев</t>
        </is>
      </c>
      <c r="D286" s="3" t="n">
        <v>37682</v>
      </c>
      <c r="E286" s="4" t="n">
        <v>17</v>
      </c>
      <c r="F286" t="inlineStr">
        <is>
          <t>ООО «Дубль Гис» (OTELLO) [Чайковский]</t>
        </is>
      </c>
      <c r="G286" s="3">
        <f>ROUND(D286/(100-E286)*100,2)</f>
        <v/>
      </c>
      <c r="H286" s="5" t="n">
        <v>46214.58333333334</v>
      </c>
      <c r="I286" t="n">
        <v>4</v>
      </c>
      <c r="J286" s="3">
        <f>G286/I286</f>
        <v/>
      </c>
      <c r="K286">
        <f>IF(J286&gt;=5100,"ставка","мин.ставка")</f>
        <v/>
      </c>
      <c r="L286" s="3">
        <f>ROUND(IF(K286="мин.ставка",I286*100,G286/102*2),2)</f>
        <v/>
      </c>
      <c r="M286" s="5" t="n">
        <v>46218.5</v>
      </c>
      <c r="N286" t="inlineStr">
        <is>
          <t>TravelLine OL2</t>
        </is>
      </c>
      <c r="O286" s="2" t="inlineStr">
        <is>
          <t>СТАНДАРТНЫЙ ДВУХМЕСТНЫЙ НОМЕР</t>
        </is>
      </c>
      <c r="P286" s="6" t="n"/>
      <c r="R286" t="inlineStr"/>
      <c r="S286" t="inlineStr">
        <is>
          <t>Тариф с завтраком</t>
        </is>
      </c>
      <c r="T286" t="n">
        <v>0</v>
      </c>
      <c r="U286" t="n">
        <v>37682</v>
      </c>
    </row>
    <row r="287">
      <c r="A287" t="inlineStr">
        <is>
          <t>20260911-8186-427435236</t>
        </is>
      </c>
      <c r="B287" t="n">
        <v>1</v>
      </c>
      <c r="C287" s="2" t="inlineStr">
        <is>
          <t>Виктория Ветренко, АНАСТАСИЯ ХАБАРОВА</t>
        </is>
      </c>
      <c r="D287" s="3" t="n">
        <v>19651.5</v>
      </c>
      <c r="E287" s="4" t="n">
        <v>4</v>
      </c>
      <c r="F287" t="inlineStr">
        <is>
          <t>TravelLine Booking Engine [Чайковский]</t>
        </is>
      </c>
      <c r="G287" s="3">
        <f>ROUND(D287/(100-E287)*100,2)</f>
        <v/>
      </c>
      <c r="H287" s="5" t="n">
        <v>46276.58333333334</v>
      </c>
      <c r="I287" t="n">
        <v>2</v>
      </c>
      <c r="J287" s="3">
        <f>G287/I287</f>
        <v/>
      </c>
      <c r="K287">
        <f>IF(J287&gt;=5100,"ставка","мин.ставка")</f>
        <v/>
      </c>
      <c r="L287" s="3">
        <f>ROUND(IF(K287="мин.ставка",I287*100,G287/102*2),2)</f>
        <v/>
      </c>
      <c r="M287" s="5" t="n">
        <v>46278.5</v>
      </c>
      <c r="N287" t="inlineStr">
        <is>
          <t>TravelLine сайт</t>
        </is>
      </c>
      <c r="O287" s="2" t="inlineStr">
        <is>
          <t>СТАНДАРТНЫЙ ДВУХМЕСТНЫЙ НОМЕР (МАНСАРДА)</t>
        </is>
      </c>
      <c r="P287" s="6" t="n"/>
      <c r="R287" t="inlineStr"/>
      <c r="S287" t="inlineStr">
        <is>
          <t>Тариф с завтраком</t>
        </is>
      </c>
      <c r="T287" t="n">
        <v>0</v>
      </c>
      <c r="U287" t="n">
        <v>19651.5</v>
      </c>
    </row>
    <row r="288">
      <c r="A288" t="inlineStr">
        <is>
          <t>20260917-8186-465935315</t>
        </is>
      </c>
      <c r="B288" t="n">
        <v>1</v>
      </c>
      <c r="C288" s="2" t="inlineStr">
        <is>
          <t>Виктория Гриценко</t>
        </is>
      </c>
      <c r="D288" s="3" t="n">
        <v>9534</v>
      </c>
      <c r="E288" s="4" t="n">
        <v>16</v>
      </c>
      <c r="F288" t="inlineStr">
        <is>
          <t>ООО "БРОНИРОВАНИЕ ГОСТИНИЦ" (OSTROVOK) [Чайковский]</t>
        </is>
      </c>
      <c r="G288" s="3">
        <f>ROUND(D288/(100-E288)*100,2)</f>
        <v/>
      </c>
      <c r="H288" s="5" t="n">
        <v>46282.58333333334</v>
      </c>
      <c r="I288" t="n">
        <v>1</v>
      </c>
      <c r="J288" s="3">
        <f>G288/I288</f>
        <v/>
      </c>
      <c r="K288">
        <f>IF(J288&gt;=5100,"ставка","мин.ставка")</f>
        <v/>
      </c>
      <c r="L288" s="3">
        <f>ROUND(IF(K288="мин.ставка",I288*100,G288/102*2),2)</f>
        <v/>
      </c>
      <c r="M288" s="5" t="n">
        <v>46283.5</v>
      </c>
      <c r="N288" t="inlineStr">
        <is>
          <t>TravelLine OTK</t>
        </is>
      </c>
      <c r="O288" s="2" t="inlineStr">
        <is>
          <t>СТАНДАРТНЫЙ ДВУХМЕСТНЫЙ НОМЕР</t>
        </is>
      </c>
      <c r="P288" s="6" t="n"/>
      <c r="R288" t="inlineStr"/>
      <c r="S288" t="inlineStr">
        <is>
          <t>Тариф с завтраком</t>
        </is>
      </c>
      <c r="T288" t="n">
        <v>0</v>
      </c>
      <c r="U288" t="n">
        <v>9534</v>
      </c>
    </row>
    <row r="289">
      <c r="A289" t="inlineStr">
        <is>
          <t>20260729-8186-451492736</t>
        </is>
      </c>
      <c r="B289" t="n">
        <v>1</v>
      </c>
      <c r="C289" s="2" t="inlineStr">
        <is>
          <t>Виктория Квинт</t>
        </is>
      </c>
      <c r="D289" s="3" t="n">
        <v>10215</v>
      </c>
      <c r="E289" s="4" t="n">
        <v>0</v>
      </c>
      <c r="F289" t="inlineStr">
        <is>
          <t>Прямые бронирования (стойка) [Чайковский]</t>
        </is>
      </c>
      <c r="G289" s="3">
        <f>ROUND(D289/(100-E289)*100,2)</f>
        <v/>
      </c>
      <c r="H289" s="5" t="n">
        <v>46232.58333333334</v>
      </c>
      <c r="I289" t="n">
        <v>1</v>
      </c>
      <c r="J289" s="3">
        <f>G289/I289</f>
        <v/>
      </c>
      <c r="K289">
        <f>IF(J289&gt;=5100,"ставка","мин.ставка")</f>
        <v/>
      </c>
      <c r="L289" s="3">
        <f>ROUND(IF(K289="мин.ставка",I289*100,G289/102*2),2)</f>
        <v/>
      </c>
      <c r="M289" s="5" t="n">
        <v>46233.5</v>
      </c>
      <c r="N289" t="inlineStr">
        <is>
          <t>TravelLine ресепшн</t>
        </is>
      </c>
      <c r="O289" s="2" t="inlineStr">
        <is>
          <t>СТАНДАРТНЫЙ ДВУХМЕСТНЫЙ НОМЕР</t>
        </is>
      </c>
      <c r="P289" s="6" t="n"/>
      <c r="R289" t="inlineStr"/>
      <c r="S289" t="inlineStr">
        <is>
          <t>Тариф с завтраком</t>
        </is>
      </c>
      <c r="T289" t="n">
        <v>0</v>
      </c>
      <c r="U289" t="n">
        <v>10215</v>
      </c>
    </row>
    <row r="290">
      <c r="A290" t="inlineStr">
        <is>
          <t>20260818-8186-422878428</t>
        </is>
      </c>
      <c r="B290" t="n">
        <v>1</v>
      </c>
      <c r="C290" s="2" t="inlineStr">
        <is>
          <t>ВИКТОРИЯ НИКОЛАЕВА, АНДРЕЙ НИКОЛАЕВ</t>
        </is>
      </c>
      <c r="D290" s="3" t="n">
        <v>23760</v>
      </c>
      <c r="E290" s="4" t="n">
        <v>0</v>
      </c>
      <c r="F290" t="inlineStr">
        <is>
          <t>Прямые бронирования (стойка) [Чайковский]</t>
        </is>
      </c>
      <c r="G290" s="3">
        <f>ROUND(D290/(100-E290)*100,2)</f>
        <v/>
      </c>
      <c r="H290" s="5" t="n">
        <v>46252.58333333334</v>
      </c>
      <c r="I290" t="n">
        <v>3</v>
      </c>
      <c r="J290" s="3">
        <f>G290/I290</f>
        <v/>
      </c>
      <c r="K290">
        <f>IF(J290&gt;=5100,"ставка","мин.ставка")</f>
        <v/>
      </c>
      <c r="L290" s="3">
        <f>ROUND(IF(K290="мин.ставка",I290*100,G290/102*2),2)</f>
        <v/>
      </c>
      <c r="M290" s="5" t="n">
        <v>46255.5</v>
      </c>
      <c r="N290" t="inlineStr">
        <is>
          <t>TravelLine ресепшн</t>
        </is>
      </c>
      <c r="O290" s="2" t="inlineStr">
        <is>
          <t>СТАНДАРТНЫЙ ДВУХМЕСТНЫЙ НОМЕР (МАНСАРДА)</t>
        </is>
      </c>
      <c r="P290" s="6" t="n"/>
      <c r="R290" t="inlineStr"/>
      <c r="S290" t="inlineStr">
        <is>
          <t>Тариф с завтраком</t>
        </is>
      </c>
      <c r="T290" t="n">
        <v>0</v>
      </c>
      <c r="U290" t="n">
        <v>23760</v>
      </c>
    </row>
    <row r="291">
      <c r="A291" t="inlineStr">
        <is>
          <t>20260819-8186-452060793</t>
        </is>
      </c>
      <c r="B291" t="n">
        <v>1</v>
      </c>
      <c r="C291" s="2" t="inlineStr">
        <is>
          <t>Виталий Быков, Алина Быкова</t>
        </is>
      </c>
      <c r="D291" s="3" t="n">
        <v>79200</v>
      </c>
      <c r="E291" s="4" t="n">
        <v>20</v>
      </c>
      <c r="F291" t="inlineStr">
        <is>
          <t>ООО "КОМПАНИЯ БРОНЕВИК" [Чайковский]</t>
        </is>
      </c>
      <c r="G291" s="3">
        <f>ROUND(D291/(100-E291)*100,2)</f>
        <v/>
      </c>
      <c r="H291" s="5" t="n">
        <v>46253.58333333334</v>
      </c>
      <c r="I291" t="n">
        <v>6</v>
      </c>
      <c r="J291" s="3">
        <f>G291/I291</f>
        <v/>
      </c>
      <c r="K291">
        <f>IF(J291&gt;=5100,"ставка","мин.ставка")</f>
        <v/>
      </c>
      <c r="L291" s="3">
        <f>ROUND(IF(K291="мин.ставка",I291*100,G291/102*2),2)</f>
        <v/>
      </c>
      <c r="M291" s="5" t="n">
        <v>46259.5</v>
      </c>
      <c r="N291" t="inlineStr">
        <is>
          <t>TravelLine BR2</t>
        </is>
      </c>
      <c r="O291" s="2" t="inlineStr">
        <is>
          <t>ПОЛУЛЮКС</t>
        </is>
      </c>
      <c r="P291" s="6" t="n"/>
      <c r="R291" t="inlineStr"/>
      <c r="S291" t="inlineStr">
        <is>
          <t>Тариф с завтраком</t>
        </is>
      </c>
      <c r="T291" t="n">
        <v>0</v>
      </c>
      <c r="U291" t="n">
        <v>79200</v>
      </c>
    </row>
    <row r="292">
      <c r="A292" t="inlineStr">
        <is>
          <t>20260727-8186-442199480</t>
        </is>
      </c>
      <c r="B292" t="n">
        <v>1</v>
      </c>
      <c r="C292" s="2" t="inlineStr">
        <is>
          <t>Виталий Давыдов, Анастасия Королева</t>
        </is>
      </c>
      <c r="D292" s="3" t="n">
        <v>34042.5</v>
      </c>
      <c r="E292" s="4" t="n">
        <v>15</v>
      </c>
      <c r="F292" t="inlineStr">
        <is>
          <t>ООО Тинькофф Путешествия [Чайковский]</t>
        </is>
      </c>
      <c r="G292" s="3">
        <f>ROUND(D292/(100-E292)*100,2)</f>
        <v/>
      </c>
      <c r="H292" s="5" t="n">
        <v>46230.66666666666</v>
      </c>
      <c r="I292" t="n">
        <v>3</v>
      </c>
      <c r="J292" s="3">
        <f>G292/I292</f>
        <v/>
      </c>
      <c r="K292">
        <f>IF(J292&gt;=5100,"ставка","мин.ставка")</f>
        <v/>
      </c>
      <c r="L292" s="3">
        <f>ROUND(IF(K292="мин.ставка",I292*100,G292/102*2),2)</f>
        <v/>
      </c>
      <c r="M292" s="5" t="n">
        <v>46233.5</v>
      </c>
      <c r="N292" t="inlineStr">
        <is>
          <t>TravelLine TNK</t>
        </is>
      </c>
      <c r="O292" s="2" t="inlineStr">
        <is>
          <t>СТАНДАРТНЫЙ ДВУХМЕСТНЫЙ НОМЕР</t>
        </is>
      </c>
      <c r="P292" s="6" t="n"/>
      <c r="R292" t="inlineStr"/>
      <c r="S292" t="inlineStr">
        <is>
          <t>Тариф с завтраком</t>
        </is>
      </c>
      <c r="T292" t="n">
        <v>0</v>
      </c>
      <c r="U292" t="n">
        <v>34042.5</v>
      </c>
    </row>
    <row r="293">
      <c r="A293" t="inlineStr">
        <is>
          <t>20260919-8186-459516081</t>
        </is>
      </c>
      <c r="B293" t="n">
        <v>1</v>
      </c>
      <c r="C293" s="2" t="inlineStr">
        <is>
          <t>Виталий Игумнов</t>
        </is>
      </c>
      <c r="D293" s="3" t="n">
        <v>10215</v>
      </c>
      <c r="E293" s="4" t="n">
        <v>0</v>
      </c>
      <c r="F293" t="inlineStr">
        <is>
          <t>Прямые бронирования (стойка) [Чайковский]</t>
        </is>
      </c>
      <c r="G293" s="3">
        <f>ROUND(D293/(100-E293)*100,2)</f>
        <v/>
      </c>
      <c r="H293" s="5" t="n">
        <v>46284.58333333334</v>
      </c>
      <c r="I293" t="n">
        <v>1</v>
      </c>
      <c r="J293" s="3">
        <f>G293/I293</f>
        <v/>
      </c>
      <c r="K293">
        <f>IF(J293&gt;=5100,"ставка","мин.ставка")</f>
        <v/>
      </c>
      <c r="L293" s="3">
        <f>ROUND(IF(K293="мин.ставка",I293*100,G293/102*2),2)</f>
        <v/>
      </c>
      <c r="M293" s="5" t="n">
        <v>46285.5</v>
      </c>
      <c r="N293" t="inlineStr">
        <is>
          <t>TravelLine ресепшн</t>
        </is>
      </c>
      <c r="O293" s="2" t="inlineStr">
        <is>
          <t>СТАНДАРТНЫЙ ДВУХМЕСТНЫЙ НОМЕР</t>
        </is>
      </c>
      <c r="P293" s="6" t="n"/>
      <c r="R293" t="inlineStr"/>
      <c r="S293" t="inlineStr">
        <is>
          <t>Тариф с завтраком</t>
        </is>
      </c>
      <c r="T293" t="n">
        <v>0</v>
      </c>
      <c r="U293" t="n">
        <v>10215</v>
      </c>
    </row>
    <row r="294">
      <c r="A294" t="inlineStr">
        <is>
          <t>20260702-8186-445307388</t>
        </is>
      </c>
      <c r="B294" t="n">
        <v>1</v>
      </c>
      <c r="C294" s="2" t="inlineStr">
        <is>
          <t>Виталина Никифоренко, Андрей Никифоренко</t>
        </is>
      </c>
      <c r="D294" s="3" t="n">
        <v>21360</v>
      </c>
      <c r="E294" s="4" t="n">
        <v>20</v>
      </c>
      <c r="F294" t="inlineStr">
        <is>
          <t>ООО "КОМПАНИЯ БРОНЕВИК" [Чайковский]</t>
        </is>
      </c>
      <c r="G294" s="3">
        <f>ROUND(D294/(100-E294)*100,2)</f>
        <v/>
      </c>
      <c r="H294" s="5" t="n">
        <v>46205.58333333334</v>
      </c>
      <c r="I294" t="n">
        <v>2</v>
      </c>
      <c r="J294" s="3">
        <f>G294/I294</f>
        <v/>
      </c>
      <c r="K294">
        <f>IF(J294&gt;=5100,"ставка","мин.ставка")</f>
        <v/>
      </c>
      <c r="L294" s="3">
        <f>ROUND(IF(K294="мин.ставка",I294*100,G294/102*2),2)</f>
        <v/>
      </c>
      <c r="M294" s="5" t="n">
        <v>46207.5</v>
      </c>
      <c r="N294" t="inlineStr">
        <is>
          <t>TravelLine BR2</t>
        </is>
      </c>
      <c r="O294" s="2" t="inlineStr">
        <is>
          <t>СТАНДАРТНЫЙ ДВУХМЕСТНЫЙ НОМЕР</t>
        </is>
      </c>
      <c r="P294" s="6" t="n"/>
      <c r="R294" t="inlineStr"/>
      <c r="S294" t="inlineStr">
        <is>
          <t>Тариф с завтраком</t>
        </is>
      </c>
      <c r="T294" t="n">
        <v>0</v>
      </c>
      <c r="U294" t="n">
        <v>21360</v>
      </c>
    </row>
    <row r="295">
      <c r="A295" t="inlineStr">
        <is>
          <t>20260708-8186-448546782</t>
        </is>
      </c>
      <c r="B295" t="n">
        <v>1</v>
      </c>
      <c r="C295" s="2" t="inlineStr">
        <is>
          <t>ВИТАЛИЯ МИТРЯЕВА, ALEKSEJS VAZENINS</t>
        </is>
      </c>
      <c r="D295" s="3" t="n">
        <v>8415</v>
      </c>
      <c r="E295" s="4" t="n">
        <v>15</v>
      </c>
      <c r="F295" t="inlineStr">
        <is>
          <t>ООО Тинькофф Путешествия [Чайковский]</t>
        </is>
      </c>
      <c r="G295" s="3">
        <f>ROUND(D295/(100-E295)*100,2)</f>
        <v/>
      </c>
      <c r="H295" s="5" t="n">
        <v>46211.75</v>
      </c>
      <c r="I295" t="n">
        <v>1</v>
      </c>
      <c r="J295" s="3">
        <f>G295/I295</f>
        <v/>
      </c>
      <c r="K295">
        <f>IF(J295&gt;=5100,"ставка","мин.ставка")</f>
        <v/>
      </c>
      <c r="L295" s="3">
        <f>ROUND(IF(K295="мин.ставка",I295*100,G295/102*2),2)</f>
        <v/>
      </c>
      <c r="M295" s="5" t="n">
        <v>46212.5</v>
      </c>
      <c r="N295" t="inlineStr">
        <is>
          <t>TravelLine TNK</t>
        </is>
      </c>
      <c r="O295" s="2" t="inlineStr">
        <is>
          <t>СТАНДАРТНЫЙ ДВУХМЕСТНЫЙ НОМЕР (МАНСАРДА)</t>
        </is>
      </c>
      <c r="P295" s="6" t="n"/>
      <c r="R295" t="inlineStr"/>
      <c r="S295" t="inlineStr">
        <is>
          <t>Тариф с завтраком</t>
        </is>
      </c>
      <c r="T295" t="n">
        <v>0</v>
      </c>
      <c r="U295" t="n">
        <v>8415</v>
      </c>
    </row>
    <row r="296">
      <c r="A296" t="inlineStr">
        <is>
          <t>20260823-8186-458774122</t>
        </is>
      </c>
      <c r="B296" t="n">
        <v>1</v>
      </c>
      <c r="C296" s="2" t="inlineStr">
        <is>
          <t>Виталия Митряева, ALEKSEJS VAZENINS</t>
        </is>
      </c>
      <c r="D296" s="3" t="n">
        <v>26180</v>
      </c>
      <c r="E296" s="4" t="n">
        <v>15</v>
      </c>
      <c r="F296" t="inlineStr">
        <is>
          <t>ООО Тинькофф Путешествия [Чайковский]</t>
        </is>
      </c>
      <c r="G296" s="3">
        <f>ROUND(D296/(100-E296)*100,2)</f>
        <v/>
      </c>
      <c r="H296" s="5" t="n">
        <v>46257.58333333334</v>
      </c>
      <c r="I296" t="n">
        <v>2</v>
      </c>
      <c r="J296" s="3">
        <f>G296/I296</f>
        <v/>
      </c>
      <c r="K296">
        <f>IF(J296&gt;=5100,"ставка","мин.ставка")</f>
        <v/>
      </c>
      <c r="L296" s="3">
        <f>ROUND(IF(K296="мин.ставка",I296*100,G296/102*2),2)</f>
        <v/>
      </c>
      <c r="M296" s="5" t="n">
        <v>46259.5</v>
      </c>
      <c r="N296" t="inlineStr">
        <is>
          <t>TravelLine TNK</t>
        </is>
      </c>
      <c r="O296" s="2" t="inlineStr">
        <is>
          <t>УЛУЧШЕННЫЙ ДВУХМЕСТНЫЙ НОМЕР</t>
        </is>
      </c>
      <c r="P296" s="6" t="n"/>
      <c r="R296" t="inlineStr"/>
      <c r="S296" t="inlineStr">
        <is>
          <t>Тариф с завтраком</t>
        </is>
      </c>
      <c r="T296" t="n">
        <v>0</v>
      </c>
      <c r="U296" t="n">
        <v>26180</v>
      </c>
    </row>
    <row r="297">
      <c r="A297" t="inlineStr">
        <is>
          <t>20260925-8186-468376304</t>
        </is>
      </c>
      <c r="B297" t="n">
        <v>1</v>
      </c>
      <c r="C297" s="2" t="inlineStr">
        <is>
          <t>Виталия Митряева, ALEKSEJS VAZENINS</t>
        </is>
      </c>
      <c r="D297" s="3" t="n">
        <v>12015</v>
      </c>
      <c r="E297" s="4" t="n">
        <v>0</v>
      </c>
      <c r="F297" t="inlineStr">
        <is>
          <t>Прямые бронирования (стойка) [Чайковский]</t>
        </is>
      </c>
      <c r="G297" s="3">
        <f>ROUND(D297/(100-E297)*100,2)</f>
        <v/>
      </c>
      <c r="H297" s="5" t="n">
        <v>46290.58333333334</v>
      </c>
      <c r="I297" t="n">
        <v>1</v>
      </c>
      <c r="J297" s="3">
        <f>G297/I297</f>
        <v/>
      </c>
      <c r="K297">
        <f>IF(J297&gt;=5100,"ставка","мин.ставка")</f>
        <v/>
      </c>
      <c r="L297" s="3">
        <f>ROUND(IF(K297="мин.ставка",I297*100,G297/102*2),2)</f>
        <v/>
      </c>
      <c r="M297" s="5" t="n">
        <v>46291.5</v>
      </c>
      <c r="N297" t="inlineStr">
        <is>
          <t>TravelLine ресепшн</t>
        </is>
      </c>
      <c r="O297" s="2" t="inlineStr">
        <is>
          <t>СТАНДАРТНЫЙ ДВУХМЕСТНЫЙ НОМЕР</t>
        </is>
      </c>
      <c r="P297" s="6" t="n"/>
      <c r="R297" t="inlineStr"/>
      <c r="S297" t="inlineStr">
        <is>
          <t>Тариф с завтраком</t>
        </is>
      </c>
      <c r="T297" t="n">
        <v>0</v>
      </c>
      <c r="U297" t="n">
        <v>12015</v>
      </c>
    </row>
    <row r="298">
      <c r="A298" t="inlineStr">
        <is>
          <t>20260902-8186-458677364</t>
        </is>
      </c>
      <c r="B298" t="n">
        <v>1</v>
      </c>
      <c r="C298" s="2" t="inlineStr">
        <is>
          <t>ВЛАДИМИР ГРИГОРЬЕВ, ВАСИЛИСА ГРИГОРЬЕВА</t>
        </is>
      </c>
      <c r="D298" s="3" t="n">
        <v>11214</v>
      </c>
      <c r="E298" s="4" t="n">
        <v>16</v>
      </c>
      <c r="F298" t="inlineStr">
        <is>
          <t>ООО "БРОНИРОВАНИЕ ГОСТИНИЦ" (OSTROVOK) [Чайковский]</t>
        </is>
      </c>
      <c r="G298" s="3">
        <f>ROUND(D298/(100-E298)*100,2)</f>
        <v/>
      </c>
      <c r="H298" s="5" t="n">
        <v>46267.58333333334</v>
      </c>
      <c r="I298" t="n">
        <v>1</v>
      </c>
      <c r="J298" s="3">
        <f>G298/I298</f>
        <v/>
      </c>
      <c r="K298">
        <f>IF(J298&gt;=5100,"ставка","мин.ставка")</f>
        <v/>
      </c>
      <c r="L298" s="3">
        <f>ROUND(IF(K298="мин.ставка",I298*100,G298/102*2),2)</f>
        <v/>
      </c>
      <c r="M298" s="5" t="n">
        <v>46268.5</v>
      </c>
      <c r="N298" t="inlineStr">
        <is>
          <t>TravelLine OTK</t>
        </is>
      </c>
      <c r="O298" s="2" t="inlineStr">
        <is>
          <t>СТАНДАРТНЫЙ ДВУХМЕСТНЫЙ НОМЕР</t>
        </is>
      </c>
      <c r="P298" s="6" t="n"/>
      <c r="R298" t="inlineStr"/>
      <c r="S298" t="inlineStr">
        <is>
          <t>Тариф с завтраком</t>
        </is>
      </c>
      <c r="T298" t="n">
        <v>0</v>
      </c>
      <c r="U298" t="n">
        <v>11214</v>
      </c>
    </row>
    <row r="299">
      <c r="A299" t="inlineStr">
        <is>
          <t>20260705-8186-443519477</t>
        </is>
      </c>
      <c r="B299" t="n">
        <v>1</v>
      </c>
      <c r="C299" s="2" t="inlineStr">
        <is>
          <t>Владимир Леляков, Людмила Лелякова</t>
        </is>
      </c>
      <c r="D299" s="3" t="n">
        <v>42720</v>
      </c>
      <c r="E299" s="4" t="n">
        <v>18</v>
      </c>
      <c r="F299" t="inlineStr">
        <is>
          <t>Яндекс.Путешествия [Чайковский]</t>
        </is>
      </c>
      <c r="G299" s="3">
        <f>ROUND(D299/(100-E299)*100,2)</f>
        <v/>
      </c>
      <c r="H299" s="5" t="n">
        <v>46208.58333333334</v>
      </c>
      <c r="I299" t="n">
        <v>4</v>
      </c>
      <c r="J299" s="3">
        <f>G299/I299</f>
        <v/>
      </c>
      <c r="K299">
        <f>IF(J299&gt;=5100,"ставка","мин.ставка")</f>
        <v/>
      </c>
      <c r="L299" s="3">
        <f>ROUND(IF(K299="мин.ставка",I299*100,G299/102*2),2)</f>
        <v/>
      </c>
      <c r="M299" s="5" t="n">
        <v>46212.5</v>
      </c>
      <c r="N299" t="inlineStr">
        <is>
          <t>TravelLine YAX</t>
        </is>
      </c>
      <c r="O299" s="2" t="inlineStr">
        <is>
          <t>СТАНДАРТНЫЙ ДВУХМЕСТНЫЙ НОМЕР</t>
        </is>
      </c>
      <c r="P299" s="6" t="n"/>
      <c r="R299" t="inlineStr"/>
      <c r="S299" t="inlineStr">
        <is>
          <t>Тариф с завтраком</t>
        </is>
      </c>
      <c r="T299" t="n">
        <v>0</v>
      </c>
      <c r="U299" t="n">
        <v>42720</v>
      </c>
    </row>
    <row r="300">
      <c r="A300" t="inlineStr">
        <is>
          <t>20260802-8186-436566081</t>
        </is>
      </c>
      <c r="B300" t="n">
        <v>1</v>
      </c>
      <c r="C300" s="2" t="inlineStr">
        <is>
          <t>Владимир Лысак, ЛАРИСА ЛЫСАК</t>
        </is>
      </c>
      <c r="D300" s="3" t="n">
        <v>45722.6</v>
      </c>
      <c r="E300" s="4" t="n">
        <v>4</v>
      </c>
      <c r="F300" t="inlineStr">
        <is>
          <t>TravelLine Booking Engine [Чайковский]</t>
        </is>
      </c>
      <c r="G300" s="3">
        <f>ROUND(D300/(100-E300)*100,2)</f>
        <v/>
      </c>
      <c r="H300" s="5" t="n">
        <v>46236.58333333334</v>
      </c>
      <c r="I300" t="n">
        <v>3</v>
      </c>
      <c r="J300" s="3">
        <f>G300/I300</f>
        <v/>
      </c>
      <c r="K300">
        <f>IF(J300&gt;=5100,"ставка","мин.ставка")</f>
        <v/>
      </c>
      <c r="L300" s="3">
        <f>ROUND(IF(K300="мин.ставка",I300*100,G300/102*2),2)</f>
        <v/>
      </c>
      <c r="M300" s="5" t="n">
        <v>46239.5</v>
      </c>
      <c r="N300" t="inlineStr">
        <is>
          <t>TravelLine сайт</t>
        </is>
      </c>
      <c r="O300" s="2" t="inlineStr">
        <is>
          <t>УЛУЧШЕННЫЙ ДВУХМЕСТНЫЙ НОМЕР</t>
        </is>
      </c>
      <c r="P300" s="6" t="n"/>
      <c r="R300" t="inlineStr"/>
      <c r="S300" t="inlineStr">
        <is>
          <t>Тариф с завтраком</t>
        </is>
      </c>
      <c r="T300" t="n">
        <v>0</v>
      </c>
      <c r="U300" t="n">
        <v>45722.6</v>
      </c>
    </row>
    <row r="301">
      <c r="A301" t="inlineStr">
        <is>
          <t>20260913-8186-455450648</t>
        </is>
      </c>
      <c r="B301" t="n">
        <v>1</v>
      </c>
      <c r="C301" s="2" t="inlineStr">
        <is>
          <t>Владимир Мареев</t>
        </is>
      </c>
      <c r="D301" s="3" t="n">
        <v>56750</v>
      </c>
      <c r="E301" s="4" t="n">
        <v>0</v>
      </c>
      <c r="F301" t="inlineStr">
        <is>
          <t>Прямые бронирования (стойка) [Чайковский]</t>
        </is>
      </c>
      <c r="G301" s="3">
        <f>ROUND(D301/(100-E301)*100,2)</f>
        <v/>
      </c>
      <c r="H301" s="5" t="n">
        <v>46278.58333333334</v>
      </c>
      <c r="I301" t="n">
        <v>5</v>
      </c>
      <c r="J301" s="3">
        <f>G301/I301</f>
        <v/>
      </c>
      <c r="K301">
        <f>IF(J301&gt;=5100,"ставка","мин.ставка")</f>
        <v/>
      </c>
      <c r="L301" s="3">
        <f>ROUND(IF(K301="мин.ставка",I301*100,G301/102*2),2)</f>
        <v/>
      </c>
      <c r="M301" s="5" t="n">
        <v>46283.75</v>
      </c>
      <c r="N301" t="inlineStr">
        <is>
          <t>TravelLine ресепшн</t>
        </is>
      </c>
      <c r="O301" s="2" t="inlineStr">
        <is>
          <t>СТАНДАРТНЫЙ ДВУХМЕСТНЫЙ НОМЕР</t>
        </is>
      </c>
      <c r="P301" s="6" t="n"/>
      <c r="R301" t="inlineStr"/>
      <c r="S301" t="inlineStr">
        <is>
          <t>Тариф с завтраком</t>
        </is>
      </c>
      <c r="T301" t="n">
        <v>5675</v>
      </c>
      <c r="U301" t="n">
        <v>62425</v>
      </c>
    </row>
    <row r="302">
      <c r="A302" t="inlineStr">
        <is>
          <t>20260911-8186-429110332</t>
        </is>
      </c>
      <c r="B302" t="n">
        <v>1</v>
      </c>
      <c r="C302" s="2" t="inlineStr">
        <is>
          <t>ВЛАДИМИР МОРОЗОВ, ИРИНА МОРОЗОВА</t>
        </is>
      </c>
      <c r="D302" s="3" t="n">
        <v>47520</v>
      </c>
      <c r="E302" s="4" t="n">
        <v>20</v>
      </c>
      <c r="F302" t="inlineStr">
        <is>
          <t>ООО "КОМПАНИЯ БРОНЕВИК" [Чайковский]</t>
        </is>
      </c>
      <c r="G302" s="3">
        <f>ROUND(D302/(100-E302)*100,2)</f>
        <v/>
      </c>
      <c r="H302" s="5" t="n">
        <v>46276.58333333334</v>
      </c>
      <c r="I302" t="n">
        <v>6</v>
      </c>
      <c r="J302" s="3">
        <f>G302/I302</f>
        <v/>
      </c>
      <c r="K302">
        <f>IF(J302&gt;=5100,"ставка","мин.ставка")</f>
        <v/>
      </c>
      <c r="L302" s="3">
        <f>ROUND(IF(K302="мин.ставка",I302*100,G302/102*2),2)</f>
        <v/>
      </c>
      <c r="M302" s="5" t="n">
        <v>46282.5</v>
      </c>
      <c r="N302" t="inlineStr">
        <is>
          <t>TravelLine BR2</t>
        </is>
      </c>
      <c r="O302" s="2" t="inlineStr">
        <is>
          <t>СТАНДАРТНЫЙ ДВУХМЕСТНЫЙ НОМЕР (МАНСАРДА)</t>
        </is>
      </c>
      <c r="P302" s="6" t="n"/>
      <c r="R302" t="inlineStr"/>
      <c r="S302" t="inlineStr">
        <is>
          <t>Тариф с завтраком</t>
        </is>
      </c>
      <c r="T302" t="n">
        <v>600</v>
      </c>
      <c r="U302" t="n">
        <v>48120</v>
      </c>
    </row>
    <row r="303">
      <c r="A303" t="inlineStr">
        <is>
          <t>20260723-8186-447820200</t>
        </is>
      </c>
      <c r="B303" t="n">
        <v>1</v>
      </c>
      <c r="C303" s="2" t="inlineStr">
        <is>
          <t>Владимир Переверзев, Инна Переверзева</t>
        </is>
      </c>
      <c r="D303" s="3" t="n">
        <v>15840</v>
      </c>
      <c r="E303" s="4" t="n">
        <v>18</v>
      </c>
      <c r="F303" t="inlineStr">
        <is>
          <t>Яндекс.Путешествия [Чайковский]</t>
        </is>
      </c>
      <c r="G303" s="3">
        <f>ROUND(D303/(100-E303)*100,2)</f>
        <v/>
      </c>
      <c r="H303" s="5" t="n">
        <v>46226.58333333334</v>
      </c>
      <c r="I303" t="n">
        <v>2</v>
      </c>
      <c r="J303" s="3">
        <f>G303/I303</f>
        <v/>
      </c>
      <c r="K303">
        <f>IF(J303&gt;=5100,"ставка","мин.ставка")</f>
        <v/>
      </c>
      <c r="L303" s="3">
        <f>ROUND(IF(K303="мин.ставка",I303*100,G303/102*2),2)</f>
        <v/>
      </c>
      <c r="M303" s="5" t="n">
        <v>46228.5</v>
      </c>
      <c r="N303" t="inlineStr">
        <is>
          <t>TravelLine YAX</t>
        </is>
      </c>
      <c r="O303" s="2" t="inlineStr">
        <is>
          <t>СТАНДАРТНЫЙ ДВУХМЕСТНЫЙ НОМЕР (МАНСАРДА)</t>
        </is>
      </c>
      <c r="P303" s="6" t="n"/>
      <c r="R303" t="inlineStr"/>
      <c r="S303" t="inlineStr">
        <is>
          <t>Тариф с завтраком</t>
        </is>
      </c>
      <c r="T303" t="n">
        <v>0</v>
      </c>
      <c r="U303" t="n">
        <v>15840</v>
      </c>
    </row>
    <row r="304">
      <c r="A304" t="inlineStr">
        <is>
          <t>20260921-8186-465754536</t>
        </is>
      </c>
      <c r="B304" t="n">
        <v>1</v>
      </c>
      <c r="C304" s="2" t="inlineStr">
        <is>
          <t>Владимир Платонов</t>
        </is>
      </c>
      <c r="D304" s="3" t="n">
        <v>27240</v>
      </c>
      <c r="E304" s="4" t="n">
        <v>20</v>
      </c>
      <c r="F304" t="inlineStr">
        <is>
          <t>ООО «Дубль Гис» (OTELLO) [Чайковский]</t>
        </is>
      </c>
      <c r="G304" s="3">
        <f>ROUND(D304/(100-E304)*100,2)</f>
        <v/>
      </c>
      <c r="H304" s="5" t="n">
        <v>46286.58333333334</v>
      </c>
      <c r="I304" t="n">
        <v>3</v>
      </c>
      <c r="J304" s="3">
        <f>G304/I304</f>
        <v/>
      </c>
      <c r="K304">
        <f>IF(J304&gt;=5100,"ставка","мин.ставка")</f>
        <v/>
      </c>
      <c r="L304" s="3">
        <f>ROUND(IF(K304="мин.ставка",I304*100,G304/102*2),2)</f>
        <v/>
      </c>
      <c r="M304" s="5" t="n">
        <v>46289.83333333334</v>
      </c>
      <c r="N304" t="inlineStr">
        <is>
          <t>TravelLine OL2</t>
        </is>
      </c>
      <c r="O304" s="2" t="inlineStr">
        <is>
          <t>СТАНДАРТНЫЙ ДВУХМЕСТНЫЙ НОМЕР</t>
        </is>
      </c>
      <c r="P304" s="6" t="n"/>
      <c r="R304" t="inlineStr"/>
      <c r="S304" t="inlineStr">
        <is>
          <t>Тариф с завтраком</t>
        </is>
      </c>
      <c r="T304" t="n">
        <v>5675</v>
      </c>
      <c r="U304" t="n">
        <v>32915</v>
      </c>
    </row>
    <row r="305">
      <c r="A305" t="inlineStr">
        <is>
          <t>20260716-8186-449844870</t>
        </is>
      </c>
      <c r="B305" t="n">
        <v>1</v>
      </c>
      <c r="C305" s="2" t="inlineStr">
        <is>
          <t>Владимир Преображенский</t>
        </is>
      </c>
      <c r="D305" s="3" t="n">
        <v>8900</v>
      </c>
      <c r="E305" s="4" t="n">
        <v>0</v>
      </c>
      <c r="F305" t="inlineStr">
        <is>
          <t>Прямые бронирования (стойка) [Чайковский]</t>
        </is>
      </c>
      <c r="G305" s="3">
        <f>ROUND(D305/(100-E305)*100,2)</f>
        <v/>
      </c>
      <c r="H305" s="5" t="n">
        <v>46219.58333333334</v>
      </c>
      <c r="I305" t="n">
        <v>1</v>
      </c>
      <c r="J305" s="3">
        <f>G305/I305</f>
        <v/>
      </c>
      <c r="K305">
        <f>IF(J305&gt;=5100,"ставка","мин.ставка")</f>
        <v/>
      </c>
      <c r="L305" s="3">
        <f>ROUND(IF(K305="мин.ставка",I305*100,G305/102*2),2)</f>
        <v/>
      </c>
      <c r="M305" s="5" t="n">
        <v>46220.5</v>
      </c>
      <c r="N305" t="inlineStr">
        <is>
          <t>TravelLine ресепшн</t>
        </is>
      </c>
      <c r="O305" s="2" t="inlineStr">
        <is>
          <t>СЕМЕЙНЫЙ НОМЕР КАТЕГОРИИ "СТАНДАРТ" ВТОРОЙ КОРПУС</t>
        </is>
      </c>
      <c r="P305" s="6" t="n"/>
      <c r="R305" t="inlineStr"/>
      <c r="S305" t="inlineStr">
        <is>
          <t>Тариф с завтраком</t>
        </is>
      </c>
      <c r="T305" t="n">
        <v>0</v>
      </c>
      <c r="U305" t="n">
        <v>8900</v>
      </c>
    </row>
    <row r="306">
      <c r="A306" t="inlineStr">
        <is>
          <t>20260905-8186-456371079</t>
        </is>
      </c>
      <c r="B306" t="n">
        <v>1</v>
      </c>
      <c r="C306" s="2" t="inlineStr">
        <is>
          <t>Владимир Сагадиев, Эльвира Идиятуллина</t>
        </is>
      </c>
      <c r="D306" s="3" t="n">
        <v>7920</v>
      </c>
      <c r="E306" s="4" t="n">
        <v>20</v>
      </c>
      <c r="F306" t="inlineStr">
        <is>
          <t>ООО "КОМПАНИЯ БРОНЕВИК" [Чайковский]</t>
        </is>
      </c>
      <c r="G306" s="3">
        <f>ROUND(D306/(100-E306)*100,2)</f>
        <v/>
      </c>
      <c r="H306" s="5" t="n">
        <v>46270.58333333334</v>
      </c>
      <c r="I306" t="n">
        <v>1</v>
      </c>
      <c r="J306" s="3">
        <f>G306/I306</f>
        <v/>
      </c>
      <c r="K306">
        <f>IF(J306&gt;=5100,"ставка","мин.ставка")</f>
        <v/>
      </c>
      <c r="L306" s="3">
        <f>ROUND(IF(K306="мин.ставка",I306*100,G306/102*2),2)</f>
        <v/>
      </c>
      <c r="M306" s="5" t="n">
        <v>46271.5</v>
      </c>
      <c r="N306" t="inlineStr">
        <is>
          <t>TravelLine BR2</t>
        </is>
      </c>
      <c r="O306" s="2" t="inlineStr">
        <is>
          <t>СТАНДАРТНЫЙ ДВУХМЕСТНЫЙ НОМЕР (МАНСАРДА)</t>
        </is>
      </c>
      <c r="P306" s="6" t="n"/>
      <c r="R306" t="inlineStr"/>
      <c r="S306" t="inlineStr">
        <is>
          <t>Тариф с завтраком</t>
        </is>
      </c>
      <c r="T306" t="n">
        <v>0</v>
      </c>
      <c r="U306" t="n">
        <v>7920</v>
      </c>
    </row>
    <row r="307">
      <c r="A307" t="inlineStr">
        <is>
          <t>20260809-8186-451108107</t>
        </is>
      </c>
      <c r="B307" t="n">
        <v>1</v>
      </c>
      <c r="C307" s="2" t="inlineStr">
        <is>
          <t>Владимир Серебренный, Елена Серебренная</t>
        </is>
      </c>
      <c r="D307" s="3" t="n">
        <v>55402.5</v>
      </c>
      <c r="E307" s="4" t="n">
        <v>17</v>
      </c>
      <c r="F307" t="inlineStr">
        <is>
          <t>ООО «Интернет Трэвел» (OZON) [Чайковский]</t>
        </is>
      </c>
      <c r="G307" s="3">
        <f>ROUND(D307/(100-E307)*100,2)</f>
        <v/>
      </c>
      <c r="H307" s="5" t="n">
        <v>46243.58333333334</v>
      </c>
      <c r="I307" t="n">
        <v>5</v>
      </c>
      <c r="J307" s="3">
        <f>G307/I307</f>
        <v/>
      </c>
      <c r="K307">
        <f>IF(J307&gt;=5100,"ставка","мин.ставка")</f>
        <v/>
      </c>
      <c r="L307" s="3">
        <f>ROUND(IF(K307="мин.ставка",I307*100,G307/102*2),2)</f>
        <v/>
      </c>
      <c r="M307" s="5" t="n">
        <v>46248.5</v>
      </c>
      <c r="N307" t="inlineStr">
        <is>
          <t>TravelLine OZ2</t>
        </is>
      </c>
      <c r="O307" s="2" t="inlineStr">
        <is>
          <t>СТАНДАРТНЫЙ ДВУХМЕСТНЫЙ НОМЕР</t>
        </is>
      </c>
      <c r="P307" s="6" t="n"/>
      <c r="R307" t="inlineStr"/>
      <c r="S307" t="inlineStr">
        <is>
          <t>Тариф с завтраком</t>
        </is>
      </c>
      <c r="T307" t="n">
        <v>0</v>
      </c>
      <c r="U307" t="n">
        <v>55402.5</v>
      </c>
    </row>
    <row r="308">
      <c r="A308" t="inlineStr">
        <is>
          <t>20260809-8186-455020540</t>
        </is>
      </c>
      <c r="B308" t="n">
        <v>1</v>
      </c>
      <c r="C308" s="2" t="inlineStr">
        <is>
          <t>Владимир Скрипкин, ОЛЕСЯ ГАЛАНОВА</t>
        </is>
      </c>
      <c r="D308" s="3" t="n">
        <v>35048.2</v>
      </c>
      <c r="E308" s="4" t="n">
        <v>4</v>
      </c>
      <c r="F308" t="inlineStr">
        <is>
          <t>TravelLine Booking Engine [Чайковский]</t>
        </is>
      </c>
      <c r="G308" s="3">
        <f>ROUND(D308/(100-E308)*100,2)</f>
        <v/>
      </c>
      <c r="H308" s="5" t="n">
        <v>46243.58333333334</v>
      </c>
      <c r="I308" t="n">
        <v>2</v>
      </c>
      <c r="J308" s="3">
        <f>G308/I308</f>
        <v/>
      </c>
      <c r="K308">
        <f>IF(J308&gt;=5100,"ставка","мин.ставка")</f>
        <v/>
      </c>
      <c r="L308" s="3">
        <f>ROUND(IF(K308="мин.ставка",I308*100,G308/102*2),2)</f>
        <v/>
      </c>
      <c r="M308" s="5" t="n">
        <v>46245.5</v>
      </c>
      <c r="N308" t="inlineStr">
        <is>
          <t>TravelLine сайт</t>
        </is>
      </c>
      <c r="O308" s="2" t="inlineStr">
        <is>
          <t>ЛЮКС ВТОРОЙ КОРПУС</t>
        </is>
      </c>
      <c r="P308" s="6" t="n"/>
      <c r="R308" t="inlineStr"/>
      <c r="S308" t="inlineStr">
        <is>
          <t>Тариф с завтраком</t>
        </is>
      </c>
      <c r="T308" t="n">
        <v>0</v>
      </c>
      <c r="U308" t="n">
        <v>35048.2</v>
      </c>
    </row>
    <row r="309">
      <c r="A309" t="inlineStr">
        <is>
          <t>20260924-8186-466459177</t>
        </is>
      </c>
      <c r="B309" t="n">
        <v>1</v>
      </c>
      <c r="C309" s="2" t="inlineStr">
        <is>
          <t>Владимир Туров</t>
        </is>
      </c>
      <c r="D309" s="3" t="n">
        <v>12320</v>
      </c>
      <c r="E309" s="4" t="n">
        <v>20</v>
      </c>
      <c r="F309" t="inlineStr">
        <is>
          <t>ООО «Дубль Гис» (OTELLO) [Чайковский]</t>
        </is>
      </c>
      <c r="G309" s="3">
        <f>ROUND(D309/(100-E309)*100,2)</f>
        <v/>
      </c>
      <c r="H309" s="5" t="n">
        <v>46289.58333333334</v>
      </c>
      <c r="I309" t="n">
        <v>2</v>
      </c>
      <c r="J309" s="3">
        <f>G309/I309</f>
        <v/>
      </c>
      <c r="K309">
        <f>IF(J309&gt;=5100,"ставка","мин.ставка")</f>
        <v/>
      </c>
      <c r="L309" s="3">
        <f>ROUND(IF(K309="мин.ставка",I309*100,G309/102*2),2)</f>
        <v/>
      </c>
      <c r="M309" s="5" t="n">
        <v>46291.5</v>
      </c>
      <c r="N309" t="inlineStr">
        <is>
          <t>TravelLine OL2</t>
        </is>
      </c>
      <c r="O309" s="2" t="inlineStr">
        <is>
          <t>СТАНДАРТНЫЙ ОДНОМЕСТНЫЙ НОМЕР</t>
        </is>
      </c>
      <c r="P309" s="6" t="n"/>
      <c r="R309" t="inlineStr"/>
      <c r="S309" t="inlineStr">
        <is>
          <t>Тариф с завтраком</t>
        </is>
      </c>
      <c r="T309" t="n">
        <v>0</v>
      </c>
      <c r="U309" t="n">
        <v>12320</v>
      </c>
    </row>
    <row r="310">
      <c r="A310" t="inlineStr">
        <is>
          <t>20260820-8186-457770556</t>
        </is>
      </c>
      <c r="B310" t="n">
        <v>1</v>
      </c>
      <c r="C310" s="2" t="inlineStr">
        <is>
          <t>ВЛАДИМИР ХРУСТАЛЕВ, АЛИНА ХРУСТАЛЕВА</t>
        </is>
      </c>
      <c r="D310" s="3" t="n">
        <v>49130</v>
      </c>
      <c r="E310" s="4" t="n">
        <v>15</v>
      </c>
      <c r="F310" t="inlineStr">
        <is>
          <t>ООО "АКАДЕМ-ОНЛАЙН" [Чайковский]</t>
        </is>
      </c>
      <c r="G310" s="3">
        <f>ROUND(D310/(100-E310)*100,2)</f>
        <v/>
      </c>
      <c r="H310" s="5" t="n">
        <v>46254.58333333334</v>
      </c>
      <c r="I310" t="n">
        <v>4</v>
      </c>
      <c r="J310" s="3">
        <f>G310/I310</f>
        <v/>
      </c>
      <c r="K310">
        <f>IF(J310&gt;=5100,"ставка","мин.ставка")</f>
        <v/>
      </c>
      <c r="L310" s="3">
        <f>ROUND(IF(K310="мин.ставка",I310*100,G310/102*2),2)</f>
        <v/>
      </c>
      <c r="M310" s="5" t="n">
        <v>46258.5</v>
      </c>
      <c r="N310" t="inlineStr">
        <is>
          <t>TravelLine ACS</t>
        </is>
      </c>
      <c r="O310" s="2" t="inlineStr">
        <is>
          <t>СЕМЕЙНЫЙ НОМЕР КАТЕГОРИИ "СТАНДАРТ" ВТОРОЙ КОРПУС</t>
        </is>
      </c>
      <c r="P310" s="6" t="n"/>
      <c r="R310" t="inlineStr"/>
      <c r="S310" t="inlineStr">
        <is>
          <t>Тариф с завтраком</t>
        </is>
      </c>
      <c r="T310" t="n">
        <v>0</v>
      </c>
      <c r="U310" t="n">
        <v>49130</v>
      </c>
    </row>
    <row r="311">
      <c r="A311" t="inlineStr">
        <is>
          <t>20260819-8186-459426235</t>
        </is>
      </c>
      <c r="B311" t="n">
        <v>1</v>
      </c>
      <c r="C311" s="2" t="inlineStr">
        <is>
          <t>Владимир Чебан</t>
        </is>
      </c>
      <c r="D311" s="3" t="n">
        <v>10375</v>
      </c>
      <c r="E311" s="4" t="n">
        <v>18</v>
      </c>
      <c r="F311" t="inlineStr">
        <is>
          <t>Яндекс.Путешествия [Чайковский]</t>
        </is>
      </c>
      <c r="G311" s="3">
        <f>ROUND(D311/(100-E311)*100,2)</f>
        <v/>
      </c>
      <c r="H311" s="5" t="n">
        <v>46253.58333333334</v>
      </c>
      <c r="I311" t="n">
        <v>1</v>
      </c>
      <c r="J311" s="3">
        <f>G311/I311</f>
        <v/>
      </c>
      <c r="K311">
        <f>IF(J311&gt;=5100,"ставка","мин.ставка")</f>
        <v/>
      </c>
      <c r="L311" s="3">
        <f>ROUND(IF(K311="мин.ставка",I311*100,G311/102*2),2)</f>
        <v/>
      </c>
      <c r="M311" s="5" t="n">
        <v>46254.5</v>
      </c>
      <c r="N311" t="inlineStr">
        <is>
          <t>TravelLine YAX</t>
        </is>
      </c>
      <c r="O311" s="2" t="inlineStr">
        <is>
          <t>ЛЮКС ВТОРОЙ КОРПУС</t>
        </is>
      </c>
      <c r="P311" s="6" t="n"/>
      <c r="R311" t="inlineStr"/>
      <c r="S311" t="inlineStr">
        <is>
          <t>Основной тариф без завтрака</t>
        </is>
      </c>
      <c r="T311" t="n">
        <v>0</v>
      </c>
      <c r="U311" t="n">
        <v>10375</v>
      </c>
    </row>
    <row r="312">
      <c r="A312" t="inlineStr">
        <is>
          <t>20260730-8186-453823911</t>
        </is>
      </c>
      <c r="B312" t="n">
        <v>1</v>
      </c>
      <c r="C312" s="2" t="inlineStr">
        <is>
          <t>Владимир Чудинов, Татьяна Чудинова</t>
        </is>
      </c>
      <c r="D312" s="3" t="n">
        <v>71200</v>
      </c>
      <c r="E312" s="4" t="n">
        <v>0</v>
      </c>
      <c r="F312" t="inlineStr">
        <is>
          <t>Прямые бронирования (стойка) [Чайковский]</t>
        </is>
      </c>
      <c r="G312" s="3">
        <f>ROUND(D312/(100-E312)*100,2)</f>
        <v/>
      </c>
      <c r="H312" s="5" t="n">
        <v>46233.58333333334</v>
      </c>
      <c r="I312" t="n">
        <v>4</v>
      </c>
      <c r="J312" s="3">
        <f>G312/I312</f>
        <v/>
      </c>
      <c r="K312">
        <f>IF(J312&gt;=5100,"ставка","мин.ставка")</f>
        <v/>
      </c>
      <c r="L312" s="3">
        <f>ROUND(IF(K312="мин.ставка",I312*100,G312/102*2),2)</f>
        <v/>
      </c>
      <c r="M312" s="5" t="n">
        <v>46237.66666666666</v>
      </c>
      <c r="N312" t="inlineStr">
        <is>
          <t>TravelLine ресепшн</t>
        </is>
      </c>
      <c r="O312" s="2" t="inlineStr">
        <is>
          <t>ЛЮКС ВТОРОЙ КОРПУС</t>
        </is>
      </c>
      <c r="P312" s="6" t="n"/>
      <c r="R312" t="inlineStr"/>
      <c r="S312" t="inlineStr">
        <is>
          <t>Тариф с завтраком</t>
        </is>
      </c>
      <c r="T312" t="n">
        <v>2960</v>
      </c>
      <c r="U312" t="n">
        <v>74160</v>
      </c>
    </row>
    <row r="313">
      <c r="A313" t="inlineStr">
        <is>
          <t>20260805-8186-456094227</t>
        </is>
      </c>
      <c r="B313" t="n">
        <v>1</v>
      </c>
      <c r="C313" s="2" t="inlineStr">
        <is>
          <t>Владислав Догадин, ИННА ВАРГИНА</t>
        </is>
      </c>
      <c r="D313" s="3" t="n">
        <v>14774</v>
      </c>
      <c r="E313" s="4" t="n">
        <v>18</v>
      </c>
      <c r="F313" t="inlineStr">
        <is>
          <t>Яндекс.Путешествия [Чайковский]</t>
        </is>
      </c>
      <c r="G313" s="3">
        <f>ROUND(D313/(100-E313)*100,2)</f>
        <v/>
      </c>
      <c r="H313" s="5" t="n">
        <v>46239.58333333334</v>
      </c>
      <c r="I313" t="n">
        <v>1</v>
      </c>
      <c r="J313" s="3">
        <f>G313/I313</f>
        <v/>
      </c>
      <c r="K313">
        <f>IF(J313&gt;=5100,"ставка","мин.ставка")</f>
        <v/>
      </c>
      <c r="L313" s="3">
        <f>ROUND(IF(K313="мин.ставка",I313*100,G313/102*2),2)</f>
        <v/>
      </c>
      <c r="M313" s="5" t="n">
        <v>46240.5</v>
      </c>
      <c r="N313" t="inlineStr">
        <is>
          <t>TravelLine YAX</t>
        </is>
      </c>
      <c r="O313" s="2" t="inlineStr">
        <is>
          <t>ЛЮКС ВТОРОЙ КОРПУС</t>
        </is>
      </c>
      <c r="P313" s="6" t="n"/>
      <c r="R313" t="inlineStr"/>
      <c r="S313" t="inlineStr">
        <is>
          <t>Тариф с завтраком</t>
        </is>
      </c>
      <c r="T313" t="n">
        <v>0</v>
      </c>
      <c r="U313" t="n">
        <v>14774</v>
      </c>
    </row>
    <row r="314">
      <c r="A314" t="inlineStr">
        <is>
          <t>20260821-8186-458016331</t>
        </is>
      </c>
      <c r="B314" t="n">
        <v>1</v>
      </c>
      <c r="C314" s="2" t="inlineStr">
        <is>
          <t>ВЛАДИСЛАВ КОТЕНКО, ВИКТОРИЯ КОТЕНКО</t>
        </is>
      </c>
      <c r="D314" s="3" t="n">
        <v>11214</v>
      </c>
      <c r="E314" s="4" t="n">
        <v>16</v>
      </c>
      <c r="F314" t="inlineStr">
        <is>
          <t>ООО "БРОНИРОВАНИЕ ГОСТИНИЦ" (OSTROVOK) [Чайковский]</t>
        </is>
      </c>
      <c r="G314" s="3">
        <f>ROUND(D314/(100-E314)*100,2)</f>
        <v/>
      </c>
      <c r="H314" s="5" t="n">
        <v>46255.58333333334</v>
      </c>
      <c r="I314" t="n">
        <v>1</v>
      </c>
      <c r="J314" s="3">
        <f>G314/I314</f>
        <v/>
      </c>
      <c r="K314">
        <f>IF(J314&gt;=5100,"ставка","мин.ставка")</f>
        <v/>
      </c>
      <c r="L314" s="3">
        <f>ROUND(IF(K314="мин.ставка",I314*100,G314/102*2),2)</f>
        <v/>
      </c>
      <c r="M314" s="5" t="n">
        <v>46256.5</v>
      </c>
      <c r="N314" t="inlineStr">
        <is>
          <t>TravelLine OTK</t>
        </is>
      </c>
      <c r="O314" s="2" t="inlineStr">
        <is>
          <t>СТАНДАРТНЫЙ ДВУХМЕСТНЫЙ НОМЕР</t>
        </is>
      </c>
      <c r="P314" s="6" t="n"/>
      <c r="R314" t="inlineStr"/>
      <c r="S314" t="inlineStr">
        <is>
          <t>Тариф с завтраком</t>
        </is>
      </c>
      <c r="T314" t="n">
        <v>0</v>
      </c>
      <c r="U314" t="n">
        <v>11214</v>
      </c>
    </row>
    <row r="315">
      <c r="A315" t="inlineStr">
        <is>
          <t>20260704-8186-442805120</t>
        </is>
      </c>
      <c r="B315" t="n">
        <v>1</v>
      </c>
      <c r="C315" s="2" t="inlineStr">
        <is>
          <t>Владислав Фрол</t>
        </is>
      </c>
      <c r="D315" s="3" t="n">
        <v>34050</v>
      </c>
      <c r="E315" s="4" t="n">
        <v>0</v>
      </c>
      <c r="F315" t="inlineStr">
        <is>
          <t>Прямые бронирования (стойка) [Чайковский]</t>
        </is>
      </c>
      <c r="G315" s="3">
        <f>ROUND(D315/(100-E315)*100,2)</f>
        <v/>
      </c>
      <c r="H315" s="5" t="n">
        <v>46207.58333333334</v>
      </c>
      <c r="I315" t="n">
        <v>3</v>
      </c>
      <c r="J315" s="3">
        <f>G315/I315</f>
        <v/>
      </c>
      <c r="K315">
        <f>IF(J315&gt;=5100,"ставка","мин.ставка")</f>
        <v/>
      </c>
      <c r="L315" s="3">
        <f>ROUND(IF(K315="мин.ставка",I315*100,G315/102*2),2)</f>
        <v/>
      </c>
      <c r="M315" s="5" t="n">
        <v>46210.5</v>
      </c>
      <c r="N315" t="inlineStr">
        <is>
          <t>TravelLine ресепшн</t>
        </is>
      </c>
      <c r="O315" s="2" t="inlineStr">
        <is>
          <t>СТАНДАРТНЫЙ ДВУХМЕСТНЫЙ НОМЕР</t>
        </is>
      </c>
      <c r="P315" s="6" t="n"/>
      <c r="R315" t="inlineStr"/>
      <c r="S315" t="inlineStr">
        <is>
          <t>Тариф с завтраком</t>
        </is>
      </c>
      <c r="T315" t="n">
        <v>0</v>
      </c>
      <c r="U315" t="n">
        <v>34050</v>
      </c>
    </row>
    <row r="316">
      <c r="A316" t="inlineStr">
        <is>
          <t>20260919-8186-461966803</t>
        </is>
      </c>
      <c r="B316" t="n">
        <v>1</v>
      </c>
      <c r="C316" s="2" t="inlineStr">
        <is>
          <t>ВЛАДИСЛАВ ШУЛЯКОВСКИЙ, Анастасия Бальчюнайте</t>
        </is>
      </c>
      <c r="D316" s="3" t="n">
        <v>29700</v>
      </c>
      <c r="E316" s="4" t="n">
        <v>0</v>
      </c>
      <c r="F316" t="inlineStr">
        <is>
          <t>Прямые бронирования (стойка) [Чайковский]</t>
        </is>
      </c>
      <c r="G316" s="3">
        <f>ROUND(D316/(100-E316)*100,2)</f>
        <v/>
      </c>
      <c r="H316" s="5" t="n">
        <v>46283.58333333334</v>
      </c>
      <c r="I316" t="n">
        <v>2</v>
      </c>
      <c r="J316" s="3">
        <f>G316/I316</f>
        <v/>
      </c>
      <c r="K316">
        <f>IF(J316&gt;=5100,"ставка","мин.ставка")</f>
        <v/>
      </c>
      <c r="L316" s="3">
        <f>ROUND(IF(K316="мин.ставка",I316*100,G316/102*2),2)</f>
        <v/>
      </c>
      <c r="M316" s="5" t="n">
        <v>46285.5</v>
      </c>
      <c r="N316" t="inlineStr">
        <is>
          <t>TravelLine ресепшн</t>
        </is>
      </c>
      <c r="O316" s="2" t="inlineStr">
        <is>
          <t>ПОЛУЛЮКС</t>
        </is>
      </c>
      <c r="P316" s="6" t="n"/>
      <c r="R316" t="inlineStr"/>
      <c r="S316" t="inlineStr">
        <is>
          <t>Тариф с завтраком</t>
        </is>
      </c>
      <c r="T316" t="n">
        <v>0</v>
      </c>
      <c r="U316" t="n">
        <v>29700</v>
      </c>
    </row>
    <row r="317">
      <c r="A317" t="inlineStr">
        <is>
          <t>20260728-8186-448644670</t>
        </is>
      </c>
      <c r="B317" t="n">
        <v>1</v>
      </c>
      <c r="C317" s="2" t="inlineStr">
        <is>
          <t>Вячеслав Бойков, Юлия Бойкова</t>
        </is>
      </c>
      <c r="D317" s="3" t="n">
        <v>9593.1</v>
      </c>
      <c r="E317" s="4" t="n">
        <v>4</v>
      </c>
      <c r="F317" t="inlineStr">
        <is>
          <t>TravelLine Booking Engine [Чайковский]</t>
        </is>
      </c>
      <c r="G317" s="3">
        <f>ROUND(D317/(100-E317)*100,2)</f>
        <v/>
      </c>
      <c r="H317" s="5" t="n">
        <v>46231.58333333334</v>
      </c>
      <c r="I317" t="n">
        <v>1</v>
      </c>
      <c r="J317" s="3">
        <f>G317/I317</f>
        <v/>
      </c>
      <c r="K317">
        <f>IF(J317&gt;=5100,"ставка","мин.ставка")</f>
        <v/>
      </c>
      <c r="L317" s="3">
        <f>ROUND(IF(K317="мин.ставка",I317*100,G317/102*2),2)</f>
        <v/>
      </c>
      <c r="M317" s="5" t="n">
        <v>46232.5</v>
      </c>
      <c r="N317" t="inlineStr">
        <is>
          <t>TravelLine сайт</t>
        </is>
      </c>
      <c r="O317" s="2" t="inlineStr">
        <is>
          <t>СТАНДАРТНЫЙ ДВУХМЕСТНЫЙ НОМЕР (МАНСАРДА)</t>
        </is>
      </c>
      <c r="P317" s="6" t="n"/>
      <c r="R317" t="inlineStr"/>
      <c r="S317" t="inlineStr">
        <is>
          <t>Тариф с завтраком</t>
        </is>
      </c>
      <c r="T317" t="n">
        <v>0</v>
      </c>
      <c r="U317" t="n">
        <v>9593.1</v>
      </c>
    </row>
    <row r="318">
      <c r="A318" t="inlineStr">
        <is>
          <t>20260817-8186-450378148</t>
        </is>
      </c>
      <c r="B318" t="n">
        <v>1</v>
      </c>
      <c r="C318" s="2" t="inlineStr">
        <is>
          <t>Вячеслав Горбунов</t>
        </is>
      </c>
      <c r="D318" s="3" t="n">
        <v>66732</v>
      </c>
      <c r="E318" s="4" t="n">
        <v>20</v>
      </c>
      <c r="F318" t="inlineStr">
        <is>
          <t>ООО «Дубль Гис» (OTELLO) [Чайковский]</t>
        </is>
      </c>
      <c r="G318" s="3">
        <f>ROUND(D318/(100-E318)*100,2)</f>
        <v/>
      </c>
      <c r="H318" s="5" t="n">
        <v>46251.58333333334</v>
      </c>
      <c r="I318" t="n">
        <v>6</v>
      </c>
      <c r="J318" s="3">
        <f>G318/I318</f>
        <v/>
      </c>
      <c r="K318">
        <f>IF(J318&gt;=5100,"ставка","мин.ставка")</f>
        <v/>
      </c>
      <c r="L318" s="3">
        <f>ROUND(IF(K318="мин.ставка",I318*100,G318/102*2),2)</f>
        <v/>
      </c>
      <c r="M318" s="5" t="n">
        <v>46257.5</v>
      </c>
      <c r="N318" t="inlineStr">
        <is>
          <t>TravelLine OL2</t>
        </is>
      </c>
      <c r="O318" s="2" t="inlineStr">
        <is>
          <t>УЛУЧШЕННЫЙ ДВУХМЕСТНЫЙ НОМЕР</t>
        </is>
      </c>
      <c r="P318" s="6" t="n"/>
      <c r="R318" t="inlineStr"/>
      <c r="S318" t="inlineStr">
        <is>
          <t>Тариф с завтраком</t>
        </is>
      </c>
      <c r="T318" t="n">
        <v>0</v>
      </c>
      <c r="U318" t="n">
        <v>66732</v>
      </c>
    </row>
    <row r="319">
      <c r="A319" t="inlineStr">
        <is>
          <t>20260927-8186-462083511</t>
        </is>
      </c>
      <c r="B319" t="n">
        <v>1</v>
      </c>
      <c r="C319" s="2" t="inlineStr">
        <is>
          <t>Вячеслав Жарников</t>
        </is>
      </c>
      <c r="D319" s="3" t="n">
        <v>31440</v>
      </c>
      <c r="E319" s="4" t="n">
        <v>18</v>
      </c>
      <c r="F319" t="inlineStr">
        <is>
          <t>Яндекс.Путешествия [Чайковский]</t>
        </is>
      </c>
      <c r="G319" s="3">
        <f>ROUND(D319/(100-E319)*100,2)</f>
        <v/>
      </c>
      <c r="H319" s="5" t="n">
        <v>46292.58333333334</v>
      </c>
      <c r="I319" t="n">
        <v>5</v>
      </c>
      <c r="J319" s="3">
        <f>G319/I319</f>
        <v/>
      </c>
      <c r="K319">
        <f>IF(J319&gt;=5100,"ставка","мин.ставка")</f>
        <v/>
      </c>
      <c r="L319" s="3">
        <f>ROUND(IF(K319="мин.ставка",I319*100,G319/102*2),2)</f>
        <v/>
      </c>
      <c r="M319" s="5" t="n">
        <v>46297.5</v>
      </c>
      <c r="N319" t="inlineStr">
        <is>
          <t>TravelLine YAX</t>
        </is>
      </c>
      <c r="O319" s="2" t="inlineStr">
        <is>
          <t>СТАНДАРТНЫЙ ДВУХМЕСТНЫЙ НОМЕР (МАНСАРДА)</t>
        </is>
      </c>
      <c r="P319" s="6" t="n"/>
      <c r="R319" t="inlineStr"/>
      <c r="S319" t="inlineStr">
        <is>
          <t>Тариф с завтраком</t>
        </is>
      </c>
      <c r="T319" t="n">
        <v>0</v>
      </c>
      <c r="U319" t="n">
        <v>31440</v>
      </c>
    </row>
    <row r="320">
      <c r="A320" t="inlineStr">
        <is>
          <t>20260724-8186-452306866</t>
        </is>
      </c>
      <c r="B320" t="n">
        <v>1</v>
      </c>
      <c r="C320" s="2" t="inlineStr">
        <is>
          <t>ВЯЧЕСЛАВ ЛАЗАРЕВ, АННА ЛАЗАРЕВА</t>
        </is>
      </c>
      <c r="D320" s="3" t="n">
        <v>13090</v>
      </c>
      <c r="E320" s="4" t="n">
        <v>15</v>
      </c>
      <c r="F320" t="inlineStr">
        <is>
          <t>ООО "БРОНИРОВАНИЕ ГОСТИНИЦ" (OSTROVOK) [Чайковский]</t>
        </is>
      </c>
      <c r="G320" s="3">
        <f>ROUND(D320/(100-E320)*100,2)</f>
        <v/>
      </c>
      <c r="H320" s="5" t="n">
        <v>46227.58333333334</v>
      </c>
      <c r="I320" t="n">
        <v>1</v>
      </c>
      <c r="J320" s="3">
        <f>G320/I320</f>
        <v/>
      </c>
      <c r="K320">
        <f>IF(J320&gt;=5100,"ставка","мин.ставка")</f>
        <v/>
      </c>
      <c r="L320" s="3">
        <f>ROUND(IF(K320="мин.ставка",I320*100,G320/102*2),2)</f>
        <v/>
      </c>
      <c r="M320" s="5" t="n">
        <v>46228.5</v>
      </c>
      <c r="N320" t="inlineStr">
        <is>
          <t>TravelLine OTK</t>
        </is>
      </c>
      <c r="O320" s="2" t="inlineStr">
        <is>
          <t>УЛУЧШЕННЫЙ ДВУХМЕСТНЫЙ НОМЕР</t>
        </is>
      </c>
      <c r="P320" s="6" t="n"/>
      <c r="R320" t="inlineStr"/>
      <c r="S320" t="inlineStr">
        <is>
          <t>Тариф с завтраком</t>
        </is>
      </c>
      <c r="T320" t="n">
        <v>0</v>
      </c>
      <c r="U320" t="n">
        <v>13090</v>
      </c>
    </row>
    <row r="321">
      <c r="A321" t="inlineStr">
        <is>
          <t>20260719-8186-446751193</t>
        </is>
      </c>
      <c r="B321" t="n">
        <v>1</v>
      </c>
      <c r="C321" s="2" t="inlineStr">
        <is>
          <t>Вячеслав Осипов</t>
        </is>
      </c>
      <c r="D321" s="3" t="n">
        <v>34050</v>
      </c>
      <c r="E321" s="4" t="n">
        <v>0</v>
      </c>
      <c r="F321" t="inlineStr">
        <is>
          <t>Прямые бронирования (стойка) [Чайковский]</t>
        </is>
      </c>
      <c r="G321" s="3">
        <f>ROUND(D321/(100-E321)*100,2)</f>
        <v/>
      </c>
      <c r="H321" s="5" t="n">
        <v>46222.58333333334</v>
      </c>
      <c r="I321" t="n">
        <v>3</v>
      </c>
      <c r="J321" s="3">
        <f>G321/I321</f>
        <v/>
      </c>
      <c r="K321">
        <f>IF(J321&gt;=5100,"ставка","мин.ставка")</f>
        <v/>
      </c>
      <c r="L321" s="3">
        <f>ROUND(IF(K321="мин.ставка",I321*100,G321/102*2),2)</f>
        <v/>
      </c>
      <c r="M321" s="5" t="n">
        <v>46225.5</v>
      </c>
      <c r="N321" t="inlineStr">
        <is>
          <t>TravelLine ресепшн</t>
        </is>
      </c>
      <c r="O321" s="2" t="inlineStr">
        <is>
          <t>СТАНДАРТНЫЙ ДВУХМЕСТНЫЙ НОМЕР</t>
        </is>
      </c>
      <c r="P321" s="6" t="n"/>
      <c r="R321" t="inlineStr"/>
      <c r="S321" t="inlineStr">
        <is>
          <t>Тариф с завтраком</t>
        </is>
      </c>
      <c r="T321" t="n">
        <v>0</v>
      </c>
      <c r="U321" t="n">
        <v>34050</v>
      </c>
    </row>
    <row r="322">
      <c r="A322" t="inlineStr">
        <is>
          <t>20260825-8186-444275504</t>
        </is>
      </c>
      <c r="B322" t="n">
        <v>1</v>
      </c>
      <c r="C322" s="2" t="inlineStr">
        <is>
          <t>Вячеслав Смирнов, МАРИЯ УСТЕНКО</t>
        </is>
      </c>
      <c r="D322" s="3" t="n">
        <v>51750</v>
      </c>
      <c r="E322" s="4" t="n">
        <v>4</v>
      </c>
      <c r="F322" t="inlineStr">
        <is>
          <t>TravelLine Booking Engine [Чайковский]</t>
        </is>
      </c>
      <c r="G322" s="3">
        <f>ROUND(D322/(100-E322)*100,2)</f>
        <v/>
      </c>
      <c r="H322" s="5" t="n">
        <v>46259.58333333334</v>
      </c>
      <c r="I322" t="n">
        <v>3</v>
      </c>
      <c r="J322" s="3">
        <f>G322/I322</f>
        <v/>
      </c>
      <c r="K322">
        <f>IF(J322&gt;=5100,"ставка","мин.ставка")</f>
        <v/>
      </c>
      <c r="L322" s="3">
        <f>ROUND(IF(K322="мин.ставка",I322*100,G322/102*2),2)</f>
        <v/>
      </c>
      <c r="M322" s="5" t="n">
        <v>46262.5</v>
      </c>
      <c r="N322" t="inlineStr">
        <is>
          <t>TravelLine сайт</t>
        </is>
      </c>
      <c r="O322" s="2" t="inlineStr">
        <is>
          <t>СЕМЕЙНЫЙ НОМЕР КАТЕГОРИИ "СТАНДАРТ" ВТОРОЙ КОРПУС</t>
        </is>
      </c>
      <c r="P322" s="6" t="n"/>
      <c r="R322" t="inlineStr"/>
      <c r="S322" t="inlineStr">
        <is>
          <t>Тариф с завтраком</t>
        </is>
      </c>
      <c r="T322" t="n">
        <v>8400</v>
      </c>
      <c r="U322" t="n">
        <v>60150</v>
      </c>
    </row>
    <row r="323">
      <c r="A323" t="inlineStr">
        <is>
          <t>20260704-8186-405164282</t>
        </is>
      </c>
      <c r="B323" t="n">
        <v>1</v>
      </c>
      <c r="C323" s="2" t="inlineStr">
        <is>
          <t>ВЯЧЕСЛАВ СУНГУРОВ, Елена Сунгурова</t>
        </is>
      </c>
      <c r="D323" s="3" t="n">
        <v>97515</v>
      </c>
      <c r="E323" s="4" t="n">
        <v>17</v>
      </c>
      <c r="F323" t="inlineStr">
        <is>
          <t>ООО "ОНЛАЙН ИННОВАЦИИ" (101 Отель) [Чайковский]</t>
        </is>
      </c>
      <c r="G323" s="3">
        <f>ROUND(D323/(100-E323)*100,2)</f>
        <v/>
      </c>
      <c r="H323" s="5" t="n">
        <v>46204.58333333334</v>
      </c>
      <c r="I323" t="n">
        <v>10</v>
      </c>
      <c r="J323" s="3">
        <f>G323/I323</f>
        <v/>
      </c>
      <c r="K323">
        <f>IF(J323&gt;=5100,"ставка","мин.ставка")</f>
        <v/>
      </c>
      <c r="L323" s="3">
        <f>ROUND(IF(K323="мин.ставка",I323*100,G323/102*2),2)</f>
        <v/>
      </c>
      <c r="M323" s="5" t="n">
        <v>46214.5</v>
      </c>
      <c r="N323" t="inlineStr">
        <is>
          <t>TravelLine H1C</t>
        </is>
      </c>
      <c r="O323" s="2" t="inlineStr">
        <is>
          <t>СТАНДАРТНЫЙ ДВУХМЕСТНЫЙ НОМЕР (МАНСАРДА)</t>
        </is>
      </c>
      <c r="P323" s="6" t="n"/>
      <c r="R323" t="inlineStr"/>
      <c r="S323" t="inlineStr">
        <is>
          <t>Тариф с завтраком</t>
        </is>
      </c>
      <c r="T323" t="n">
        <v>0</v>
      </c>
      <c r="U323" t="n">
        <v>195030</v>
      </c>
    </row>
    <row r="324">
      <c r="A324" t="inlineStr">
        <is>
          <t>20260729-8186-400177380</t>
        </is>
      </c>
      <c r="B324" t="n">
        <v>1</v>
      </c>
      <c r="C324" s="2" t="inlineStr">
        <is>
          <t>ВЯЧЕСЛАВ ТКАЧЕВ, ВЕРА Скворцова</t>
        </is>
      </c>
      <c r="D324" s="3" t="n">
        <v>59400</v>
      </c>
      <c r="E324" s="4" t="n">
        <v>0</v>
      </c>
      <c r="F324" t="inlineStr">
        <is>
          <t>Прямые бронирования (стойка) [Чайковский]</t>
        </is>
      </c>
      <c r="G324" s="3">
        <f>ROUND(D324/(100-E324)*100,2)</f>
        <v/>
      </c>
      <c r="H324" s="5" t="n">
        <v>46232.58333333334</v>
      </c>
      <c r="I324" t="n">
        <v>4</v>
      </c>
      <c r="J324" s="3">
        <f>G324/I324</f>
        <v/>
      </c>
      <c r="K324">
        <f>IF(J324&gt;=5100,"ставка","мин.ставка")</f>
        <v/>
      </c>
      <c r="L324" s="3">
        <f>ROUND(IF(K324="мин.ставка",I324*100,G324/102*2),2)</f>
        <v/>
      </c>
      <c r="M324" s="5" t="n">
        <v>46236.5</v>
      </c>
      <c r="N324" t="inlineStr">
        <is>
          <t>TravelLine ресепшн</t>
        </is>
      </c>
      <c r="O324" s="2" t="inlineStr">
        <is>
          <t>ПОЛУЛЮКС</t>
        </is>
      </c>
      <c r="P324" s="6" t="n"/>
      <c r="R324" t="inlineStr"/>
      <c r="S324" t="inlineStr">
        <is>
          <t>Тариф с завтраком</t>
        </is>
      </c>
      <c r="T324" t="n">
        <v>0</v>
      </c>
      <c r="U324" t="n">
        <v>59400</v>
      </c>
    </row>
    <row r="325">
      <c r="A325" t="inlineStr">
        <is>
          <t>20260721-8186-426049066</t>
        </is>
      </c>
      <c r="B325" t="n">
        <v>1</v>
      </c>
      <c r="C325" s="2" t="inlineStr">
        <is>
          <t>Галина Лещева</t>
        </is>
      </c>
      <c r="D325" s="3" t="n">
        <v>20368</v>
      </c>
      <c r="E325" s="4" t="n">
        <v>18</v>
      </c>
      <c r="F325" t="inlineStr">
        <is>
          <t>Яндекс.Путешествия [Чайковский]</t>
        </is>
      </c>
      <c r="G325" s="3">
        <f>ROUND(D325/(100-E325)*100,2)</f>
        <v/>
      </c>
      <c r="H325" s="5" t="n">
        <v>46224.58333333334</v>
      </c>
      <c r="I325" t="n">
        <v>2</v>
      </c>
      <c r="J325" s="3">
        <f>G325/I325</f>
        <v/>
      </c>
      <c r="K325">
        <f>IF(J325&gt;=5100,"ставка","мин.ставка")</f>
        <v/>
      </c>
      <c r="L325" s="3">
        <f>ROUND(IF(K325="мин.ставка",I325*100,G325/102*2),2)</f>
        <v/>
      </c>
      <c r="M325" s="5" t="n">
        <v>46226.58333333334</v>
      </c>
      <c r="N325" t="inlineStr">
        <is>
          <t>TravelLine YAX</t>
        </is>
      </c>
      <c r="O325" s="2" t="inlineStr">
        <is>
          <t>ПОЛУЛЮКС</t>
        </is>
      </c>
      <c r="P325" s="6" t="n"/>
      <c r="R325" t="inlineStr"/>
      <c r="S325" t="inlineStr">
        <is>
          <t>Тариф с завтраком</t>
        </is>
      </c>
      <c r="T325" t="n">
        <v>0</v>
      </c>
      <c r="U325" t="n">
        <v>65664</v>
      </c>
    </row>
    <row r="326">
      <c r="A326" t="inlineStr">
        <is>
          <t>20260721-8186-426049066</t>
        </is>
      </c>
      <c r="B326" t="n">
        <v>1</v>
      </c>
      <c r="C326" s="2" t="inlineStr">
        <is>
          <t>Галина Лещева</t>
        </is>
      </c>
      <c r="D326" s="3" t="n">
        <v>10184</v>
      </c>
      <c r="E326" s="4" t="n">
        <v>18</v>
      </c>
      <c r="F326" t="inlineStr">
        <is>
          <t>Яндекс.Путешествия [Чайковский]</t>
        </is>
      </c>
      <c r="G326" s="3">
        <f>ROUND(D326/(100-E326)*100,2)</f>
        <v/>
      </c>
      <c r="H326" s="5" t="n">
        <v>46226.58333333334</v>
      </c>
      <c r="I326" t="n">
        <v>1</v>
      </c>
      <c r="J326" s="3">
        <f>G326/I326</f>
        <v/>
      </c>
      <c r="K326">
        <f>IF(J326&gt;=5100,"ставка","мин.ставка")</f>
        <v/>
      </c>
      <c r="L326" s="3">
        <f>ROUND(IF(K326="мин.ставка",I326*100,G326/102*2),2)</f>
        <v/>
      </c>
      <c r="M326" s="5" t="n">
        <v>46227.5</v>
      </c>
      <c r="N326" t="inlineStr">
        <is>
          <t>TravelLine YAX</t>
        </is>
      </c>
      <c r="O326" s="2" t="inlineStr">
        <is>
          <t>УЛУЧШЕННЫЙ ДВУХМЕСТНЫЙ НОМЕР</t>
        </is>
      </c>
      <c r="P326" s="6" t="n"/>
      <c r="R326" t="inlineStr"/>
      <c r="S326" t="inlineStr">
        <is>
          <t>Тариф с завтраком</t>
        </is>
      </c>
      <c r="T326" t="n">
        <v>0</v>
      </c>
      <c r="U326" t="n">
        <v>65664</v>
      </c>
    </row>
    <row r="327">
      <c r="A327" t="inlineStr">
        <is>
          <t>20260821-8186-458221934</t>
        </is>
      </c>
      <c r="B327" t="n">
        <v>1</v>
      </c>
      <c r="C327" s="2" t="inlineStr">
        <is>
          <t>ГАЛИНА ЛУКЬЯНОВА, ТИМОФЕЙ КОТАРЕВ</t>
        </is>
      </c>
      <c r="D327" s="3" t="n">
        <v>39270</v>
      </c>
      <c r="E327" s="4" t="n">
        <v>15</v>
      </c>
      <c r="F327" t="inlineStr">
        <is>
          <t>ООО "Библио-Глобус Туроператор" [Чайковский]</t>
        </is>
      </c>
      <c r="G327" s="3">
        <f>ROUND(D327/(100-E327)*100,2)</f>
        <v/>
      </c>
      <c r="H327" s="5" t="n">
        <v>46255.58333333334</v>
      </c>
      <c r="I327" t="n">
        <v>3</v>
      </c>
      <c r="J327" s="3">
        <f>G327/I327</f>
        <v/>
      </c>
      <c r="K327">
        <f>IF(J327&gt;=5100,"ставка","мин.ставка")</f>
        <v/>
      </c>
      <c r="L327" s="3">
        <f>ROUND(IF(K327="мин.ставка",I327*100,G327/102*2),2)</f>
        <v/>
      </c>
      <c r="M327" s="5" t="n">
        <v>46258.5</v>
      </c>
      <c r="N327" t="inlineStr">
        <is>
          <t>TravelLine BGL</t>
        </is>
      </c>
      <c r="O327" s="2" t="inlineStr">
        <is>
          <t>УЛУЧШЕННЫЙ ДВУХМЕСТНЫЙ НОМЕР</t>
        </is>
      </c>
      <c r="P327" s="6" t="n"/>
      <c r="R327" t="inlineStr"/>
      <c r="S327" t="inlineStr">
        <is>
          <t>Тариф с завтраком</t>
        </is>
      </c>
      <c r="T327" t="n">
        <v>0</v>
      </c>
      <c r="U327" t="n">
        <v>39270</v>
      </c>
    </row>
    <row r="328">
      <c r="A328" t="inlineStr">
        <is>
          <t>20260820-8186-458200934</t>
        </is>
      </c>
      <c r="B328" t="n">
        <v>1</v>
      </c>
      <c r="C328" s="2" t="inlineStr">
        <is>
          <t>Галуст Шахбазян</t>
        </is>
      </c>
      <c r="D328" s="3" t="n">
        <v>6160</v>
      </c>
      <c r="E328" s="4" t="n">
        <v>20</v>
      </c>
      <c r="F328" t="inlineStr">
        <is>
          <t>ООО "КОМПАНИЯ БРОНЕВИК" [Чайковский]</t>
        </is>
      </c>
      <c r="G328" s="3">
        <f>ROUND(D328/(100-E328)*100,2)</f>
        <v/>
      </c>
      <c r="H328" s="5" t="n">
        <v>46254.58333333334</v>
      </c>
      <c r="I328" t="n">
        <v>1</v>
      </c>
      <c r="J328" s="3">
        <f>G328/I328</f>
        <v/>
      </c>
      <c r="K328">
        <f>IF(J328&gt;=5100,"ставка","мин.ставка")</f>
        <v/>
      </c>
      <c r="L328" s="3">
        <f>ROUND(IF(K328="мин.ставка",I328*100,G328/102*2),2)</f>
        <v/>
      </c>
      <c r="M328" s="5" t="n">
        <v>46255.5</v>
      </c>
      <c r="N328" t="inlineStr">
        <is>
          <t>TravelLine BR2</t>
        </is>
      </c>
      <c r="O328" s="2" t="inlineStr">
        <is>
          <t>СТАНДАРТНЫЙ ОДНОМЕСТНЫЙ НОМЕР</t>
        </is>
      </c>
      <c r="P328" s="6" t="n"/>
      <c r="R328" t="inlineStr"/>
      <c r="S328" t="inlineStr">
        <is>
          <t>Тариф с завтраком</t>
        </is>
      </c>
      <c r="T328" t="n">
        <v>0</v>
      </c>
      <c r="U328" t="n">
        <v>6160</v>
      </c>
    </row>
    <row r="329">
      <c r="A329" t="inlineStr">
        <is>
          <t>20260719-8186-450387635</t>
        </is>
      </c>
      <c r="B329" t="n">
        <v>1</v>
      </c>
      <c r="C329" s="2" t="inlineStr">
        <is>
          <t>Гельфида Хасаншина, Гусман Хасаншин</t>
        </is>
      </c>
      <c r="D329" s="3" t="n">
        <v>7920</v>
      </c>
      <c r="E329" s="4" t="n">
        <v>18</v>
      </c>
      <c r="F329" t="inlineStr">
        <is>
          <t>Яндекс.Путешествия [Чайковский]</t>
        </is>
      </c>
      <c r="G329" s="3">
        <f>ROUND(D329/(100-E329)*100,2)</f>
        <v/>
      </c>
      <c r="H329" s="5" t="n">
        <v>46222.58333333334</v>
      </c>
      <c r="I329" t="n">
        <v>1</v>
      </c>
      <c r="J329" s="3">
        <f>G329/I329</f>
        <v/>
      </c>
      <c r="K329">
        <f>IF(J329&gt;=5100,"ставка","мин.ставка")</f>
        <v/>
      </c>
      <c r="L329" s="3">
        <f>ROUND(IF(K329="мин.ставка",I329*100,G329/102*2),2)</f>
        <v/>
      </c>
      <c r="M329" s="5" t="n">
        <v>46223.5</v>
      </c>
      <c r="N329" t="inlineStr">
        <is>
          <t>TravelLine YAX</t>
        </is>
      </c>
      <c r="O329" s="2" t="inlineStr">
        <is>
          <t>СТАНДАРТНЫЙ ДВУХМЕСТНЫЙ НОМЕР (МАНСАРДА)</t>
        </is>
      </c>
      <c r="P329" s="6" t="n"/>
      <c r="R329" t="inlineStr"/>
      <c r="S329" t="inlineStr">
        <is>
          <t>Тариф с завтраком</t>
        </is>
      </c>
      <c r="T329" t="n">
        <v>0</v>
      </c>
      <c r="U329" t="n">
        <v>7920</v>
      </c>
    </row>
    <row r="330">
      <c r="A330" t="inlineStr">
        <is>
          <t>20260918-8186-466778125</t>
        </is>
      </c>
      <c r="B330" t="n">
        <v>1</v>
      </c>
      <c r="C330" s="2" t="inlineStr">
        <is>
          <t>Георги Гасиев, Айдар Иксанов</t>
        </is>
      </c>
      <c r="D330" s="3" t="n">
        <v>9375</v>
      </c>
      <c r="E330" s="4" t="n">
        <v>18</v>
      </c>
      <c r="F330" t="inlineStr">
        <is>
          <t>Яндекс.Путешествия [Чайковский]</t>
        </is>
      </c>
      <c r="G330" s="3">
        <f>ROUND(D330/(100-E330)*100,2)</f>
        <v/>
      </c>
      <c r="H330" s="5" t="n">
        <v>46283.58333333334</v>
      </c>
      <c r="I330" t="n">
        <v>1</v>
      </c>
      <c r="J330" s="3">
        <f>G330/I330</f>
        <v/>
      </c>
      <c r="K330">
        <f>IF(J330&gt;=5100,"ставка","мин.ставка")</f>
        <v/>
      </c>
      <c r="L330" s="3">
        <f>ROUND(IF(K330="мин.ставка",I330*100,G330/102*2),2)</f>
        <v/>
      </c>
      <c r="M330" s="5" t="n">
        <v>46284.5</v>
      </c>
      <c r="N330" t="inlineStr">
        <is>
          <t>TravelLine YAX</t>
        </is>
      </c>
      <c r="O330" s="2" t="inlineStr">
        <is>
          <t>СЕМЕЙНЫЙ НОМЕР КАТЕГОРИИ "СТАНДАРТ" ВТОРОЙ КОРПУС</t>
        </is>
      </c>
      <c r="P330" s="6" t="n"/>
      <c r="R330" t="inlineStr"/>
      <c r="S330" t="inlineStr">
        <is>
          <t>Основной тариф без завтрака</t>
        </is>
      </c>
      <c r="T330" t="n">
        <v>0</v>
      </c>
      <c r="U330" t="n">
        <v>9375</v>
      </c>
    </row>
    <row r="331">
      <c r="A331" t="inlineStr">
        <is>
          <t>20260927-8186-468595858</t>
        </is>
      </c>
      <c r="B331" t="n">
        <v>1</v>
      </c>
      <c r="C331" s="2" t="inlineStr">
        <is>
          <t>ГЛЕБ КРЫЛОВ, ДАРЬЯ КРЫЛОВА</t>
        </is>
      </c>
      <c r="D331" s="3" t="n">
        <v>55440</v>
      </c>
      <c r="E331" s="4" t="n">
        <v>16</v>
      </c>
      <c r="F331" t="inlineStr">
        <is>
          <t>ООО "БРОНИРОВАНИЕ ГОСТИНИЦ" (OSTROVOK) [Чайковский]</t>
        </is>
      </c>
      <c r="G331" s="3">
        <f>ROUND(D331/(100-E331)*100,2)</f>
        <v/>
      </c>
      <c r="H331" s="5" t="n">
        <v>46292.58333333334</v>
      </c>
      <c r="I331" t="n">
        <v>4</v>
      </c>
      <c r="J331" s="3">
        <f>G331/I331</f>
        <v/>
      </c>
      <c r="K331">
        <f>IF(J331&gt;=5100,"ставка","мин.ставка")</f>
        <v/>
      </c>
      <c r="L331" s="3">
        <f>ROUND(IF(K331="мин.ставка",I331*100,G331/102*2),2)</f>
        <v/>
      </c>
      <c r="M331" s="5" t="n">
        <v>46296.5</v>
      </c>
      <c r="N331" t="inlineStr">
        <is>
          <t>TravelLine OTK</t>
        </is>
      </c>
      <c r="O331" s="2" t="inlineStr">
        <is>
          <t>ПОЛУЛЮКС</t>
        </is>
      </c>
      <c r="P331" s="6" t="n"/>
      <c r="R331" t="inlineStr"/>
      <c r="S331" t="inlineStr">
        <is>
          <t>Тариф с завтраком</t>
        </is>
      </c>
      <c r="T331" t="n">
        <v>0</v>
      </c>
      <c r="U331" t="n">
        <v>55440</v>
      </c>
    </row>
    <row r="332">
      <c r="A332" t="inlineStr">
        <is>
          <t>20260811-8186-457781287</t>
        </is>
      </c>
      <c r="B332" t="n">
        <v>1</v>
      </c>
      <c r="C332" s="2" t="inlineStr">
        <is>
          <t>ГЛЕБ УХАНОВ</t>
        </is>
      </c>
      <c r="D332" s="3" t="n">
        <v>12035</v>
      </c>
      <c r="E332" s="4" t="n">
        <v>0</v>
      </c>
      <c r="F332" t="inlineStr">
        <is>
          <t>Прямые бронирования (стойка) [Чайковский]</t>
        </is>
      </c>
      <c r="G332" s="3">
        <f>ROUND(D332/(100-E332)*100,2)</f>
        <v/>
      </c>
      <c r="H332" s="5" t="n">
        <v>46245.58333333334</v>
      </c>
      <c r="I332" t="n">
        <v>1</v>
      </c>
      <c r="J332" s="3">
        <f>G332/I332</f>
        <v/>
      </c>
      <c r="K332">
        <f>IF(J332&gt;=5100,"ставка","мин.ставка")</f>
        <v/>
      </c>
      <c r="L332" s="3">
        <f>ROUND(IF(K332="мин.ставка",I332*100,G332/102*2),2)</f>
        <v/>
      </c>
      <c r="M332" s="5" t="n">
        <v>46246.5</v>
      </c>
      <c r="N332" t="inlineStr">
        <is>
          <t>TravelLine CMB</t>
        </is>
      </c>
      <c r="O332" s="2" t="inlineStr">
        <is>
          <t>ПОЛУЛЮКС</t>
        </is>
      </c>
      <c r="P332" s="6" t="n"/>
      <c r="R332" t="inlineStr"/>
      <c r="S332" t="inlineStr">
        <is>
          <t>Тариф с завтраком</t>
        </is>
      </c>
      <c r="T332" t="n">
        <v>0</v>
      </c>
      <c r="U332" t="n">
        <v>12035</v>
      </c>
    </row>
    <row r="333">
      <c r="A333" t="inlineStr">
        <is>
          <t>20260809-8186-447790512</t>
        </is>
      </c>
      <c r="B333" t="n">
        <v>1</v>
      </c>
      <c r="C333" s="2" t="inlineStr">
        <is>
          <t>Гульнара Булавлёва, Антон Булавлёв</t>
        </is>
      </c>
      <c r="D333" s="3" t="n">
        <v>22695</v>
      </c>
      <c r="E333" s="4" t="n">
        <v>15</v>
      </c>
      <c r="F333" t="inlineStr">
        <is>
          <t>ООО Тинькофф Путешествия [Чайковский]</t>
        </is>
      </c>
      <c r="G333" s="3">
        <f>ROUND(D333/(100-E333)*100,2)</f>
        <v/>
      </c>
      <c r="H333" s="5" t="n">
        <v>46243.58333333334</v>
      </c>
      <c r="I333" t="n">
        <v>2</v>
      </c>
      <c r="J333" s="3">
        <f>G333/I333</f>
        <v/>
      </c>
      <c r="K333">
        <f>IF(J333&gt;=5100,"ставка","мин.ставка")</f>
        <v/>
      </c>
      <c r="L333" s="3">
        <f>ROUND(IF(K333="мин.ставка",I333*100,G333/102*2),2)</f>
        <v/>
      </c>
      <c r="M333" s="5" t="n">
        <v>46245.5</v>
      </c>
      <c r="N333" t="inlineStr">
        <is>
          <t>TravelLine TNK</t>
        </is>
      </c>
      <c r="O333" s="2" t="inlineStr">
        <is>
          <t>СТАНДАРТНЫЙ ДВУХМЕСТНЫЙ НОМЕР</t>
        </is>
      </c>
      <c r="P333" s="6" t="n"/>
      <c r="R333" t="inlineStr"/>
      <c r="S333" t="inlineStr">
        <is>
          <t>Тариф с завтраком</t>
        </is>
      </c>
      <c r="T333" t="n">
        <v>0</v>
      </c>
      <c r="U333" t="n">
        <v>22695</v>
      </c>
    </row>
    <row r="334">
      <c r="A334" t="inlineStr">
        <is>
          <t>20260726-8186-453190843</t>
        </is>
      </c>
      <c r="B334" t="n">
        <v>1</v>
      </c>
      <c r="C334" s="2" t="inlineStr">
        <is>
          <t>Дамир Мерсаитов, Алиса Левина</t>
        </is>
      </c>
      <c r="D334" s="3" t="n">
        <v>9265</v>
      </c>
      <c r="E334" s="4" t="n">
        <v>15</v>
      </c>
      <c r="F334" t="inlineStr">
        <is>
          <t>ООО "БРОНИРОВАНИЕ ГОСТИНИЦ" (OSTROVOK) [Чайковский]</t>
        </is>
      </c>
      <c r="G334" s="3">
        <f>ROUND(D334/(100-E334)*100,2)</f>
        <v/>
      </c>
      <c r="H334" s="5" t="n">
        <v>46229.58333333334</v>
      </c>
      <c r="I334" t="n">
        <v>1</v>
      </c>
      <c r="J334" s="3">
        <f>G334/I334</f>
        <v/>
      </c>
      <c r="K334">
        <f>IF(J334&gt;=5100,"ставка","мин.ставка")</f>
        <v/>
      </c>
      <c r="L334" s="3">
        <f>ROUND(IF(K334="мин.ставка",I334*100,G334/102*2),2)</f>
        <v/>
      </c>
      <c r="M334" s="5" t="n">
        <v>46230.5</v>
      </c>
      <c r="N334" t="inlineStr">
        <is>
          <t>TravelLine OTK</t>
        </is>
      </c>
      <c r="O334" s="2" t="inlineStr">
        <is>
          <t>СТАНДАРТНЫЙ ДВУХМЕСТНЫЙ НОМЕР</t>
        </is>
      </c>
      <c r="P334" s="6" t="n"/>
      <c r="R334" t="inlineStr"/>
      <c r="S334" t="inlineStr">
        <is>
          <t>Тариф с завтраком</t>
        </is>
      </c>
      <c r="T334" t="n">
        <v>0</v>
      </c>
      <c r="U334" t="n">
        <v>9265</v>
      </c>
    </row>
    <row r="335">
      <c r="A335" t="inlineStr">
        <is>
          <t>20260826-8186-461708579</t>
        </is>
      </c>
      <c r="B335" t="n">
        <v>1</v>
      </c>
      <c r="C335" s="2" t="inlineStr">
        <is>
          <t>ДАНИИЛ КАПЛАН</t>
        </is>
      </c>
      <c r="D335" s="3" t="n">
        <v>9080</v>
      </c>
      <c r="E335" s="4" t="n">
        <v>20</v>
      </c>
      <c r="F335" t="inlineStr">
        <is>
          <t>ООО "ХБ-ПРО" [Чайковский]</t>
        </is>
      </c>
      <c r="G335" s="3">
        <f>ROUND(D335/(100-E335)*100,2)</f>
        <v/>
      </c>
      <c r="H335" s="5" t="n">
        <v>46260.58333333334</v>
      </c>
      <c r="I335" t="n">
        <v>1</v>
      </c>
      <c r="J335" s="3">
        <f>G335/I335</f>
        <v/>
      </c>
      <c r="K335">
        <f>IF(J335&gt;=5100,"ставка","мин.ставка")</f>
        <v/>
      </c>
      <c r="L335" s="3">
        <f>ROUND(IF(K335="мин.ставка",I335*100,G335/102*2),2)</f>
        <v/>
      </c>
      <c r="M335" s="5" t="n">
        <v>46261.5</v>
      </c>
      <c r="N335" t="inlineStr">
        <is>
          <t>TravelLine UTS</t>
        </is>
      </c>
      <c r="O335" s="2" t="inlineStr">
        <is>
          <t>ПОЛУЛЮКС</t>
        </is>
      </c>
      <c r="P335" s="6" t="n"/>
      <c r="R335" t="inlineStr"/>
      <c r="S335" t="inlineStr">
        <is>
          <t>Тариф с завтраком</t>
        </is>
      </c>
      <c r="T335" t="n">
        <v>0</v>
      </c>
      <c r="U335" t="n">
        <v>9080</v>
      </c>
    </row>
    <row r="336">
      <c r="A336" t="inlineStr">
        <is>
          <t>20260902-8186-455809317</t>
        </is>
      </c>
      <c r="B336" t="n">
        <v>1</v>
      </c>
      <c r="C336" s="2" t="inlineStr">
        <is>
          <t>ДАНИИЛ НИКОЛАЕВ</t>
        </is>
      </c>
      <c r="D336" s="3" t="n">
        <v>18160</v>
      </c>
      <c r="E336" s="4" t="n">
        <v>20</v>
      </c>
      <c r="F336" t="inlineStr">
        <is>
          <t>ООО "ХБ-ПРО" [Чайковский]</t>
        </is>
      </c>
      <c r="G336" s="3">
        <f>ROUND(D336/(100-E336)*100,2)</f>
        <v/>
      </c>
      <c r="H336" s="5" t="n">
        <v>46267.58333333334</v>
      </c>
      <c r="I336" t="n">
        <v>2</v>
      </c>
      <c r="J336" s="3">
        <f>G336/I336</f>
        <v/>
      </c>
      <c r="K336">
        <f>IF(J336&gt;=5100,"ставка","мин.ставка")</f>
        <v/>
      </c>
      <c r="L336" s="3">
        <f>ROUND(IF(K336="мин.ставка",I336*100,G336/102*2),2)</f>
        <v/>
      </c>
      <c r="M336" s="5" t="n">
        <v>46269.5</v>
      </c>
      <c r="N336" t="inlineStr">
        <is>
          <t>TravelLine UTS</t>
        </is>
      </c>
      <c r="O336" s="2" t="inlineStr">
        <is>
          <t>СТАНДАРТНЫЙ ДВУХМЕСТНЫЙ НОМЕР</t>
        </is>
      </c>
      <c r="P336" s="6" t="n"/>
      <c r="R336" t="inlineStr"/>
      <c r="S336" t="inlineStr">
        <is>
          <t>Тариф с завтраком</t>
        </is>
      </c>
      <c r="T336" t="n">
        <v>0</v>
      </c>
      <c r="U336" t="n">
        <v>18160</v>
      </c>
    </row>
    <row r="337">
      <c r="A337" t="inlineStr">
        <is>
          <t>20260807-8186-414520274</t>
        </is>
      </c>
      <c r="B337" t="n">
        <v>1</v>
      </c>
      <c r="C337" s="2" t="inlineStr">
        <is>
          <t>Даниил Чернышов, Анастасия Басанец</t>
        </is>
      </c>
      <c r="D337" s="3" t="n">
        <v>29548</v>
      </c>
      <c r="E337" s="4" t="n">
        <v>17</v>
      </c>
      <c r="F337" t="inlineStr">
        <is>
          <t>ООО «Интернет Трэвел» (OZON) [Чайковский]</t>
        </is>
      </c>
      <c r="G337" s="3">
        <f>ROUND(D337/(100-E337)*100,2)</f>
        <v/>
      </c>
      <c r="H337" s="5" t="n">
        <v>46241.58333333334</v>
      </c>
      <c r="I337" t="n">
        <v>2</v>
      </c>
      <c r="J337" s="3">
        <f>G337/I337</f>
        <v/>
      </c>
      <c r="K337">
        <f>IF(J337&gt;=5100,"ставка","мин.ставка")</f>
        <v/>
      </c>
      <c r="L337" s="3">
        <f>ROUND(IF(K337="мин.ставка",I337*100,G337/102*2),2)</f>
        <v/>
      </c>
      <c r="M337" s="5" t="n">
        <v>46243.5</v>
      </c>
      <c r="N337" t="inlineStr">
        <is>
          <t>TravelLine OZ2</t>
        </is>
      </c>
      <c r="O337" s="2" t="inlineStr">
        <is>
          <t>ЛЮКС</t>
        </is>
      </c>
      <c r="P337" s="6" t="n"/>
      <c r="R337" t="inlineStr"/>
      <c r="S337" t="inlineStr">
        <is>
          <t>Тариф с завтраком</t>
        </is>
      </c>
      <c r="T337" t="n">
        <v>0</v>
      </c>
      <c r="U337" t="n">
        <v>29548</v>
      </c>
    </row>
    <row r="338">
      <c r="A338" t="inlineStr">
        <is>
          <t>20260831-8186-462238401</t>
        </is>
      </c>
      <c r="B338" t="n">
        <v>1</v>
      </c>
      <c r="C338" s="2" t="inlineStr">
        <is>
          <t>Даниил Чугунов</t>
        </is>
      </c>
      <c r="D338" s="3" t="n">
        <v>5687.99</v>
      </c>
      <c r="E338" s="4" t="n">
        <v>17</v>
      </c>
      <c r="F338" t="inlineStr">
        <is>
          <t>ООО «Интернет Трэвел» (OZON) [Чайковский]</t>
        </is>
      </c>
      <c r="G338" s="3">
        <f>ROUND(D338/(100-E338)*100,2)</f>
        <v/>
      </c>
      <c r="H338" s="5" t="n">
        <v>46265.58333333334</v>
      </c>
      <c r="I338" t="n">
        <v>1</v>
      </c>
      <c r="J338" s="3">
        <f>G338/I338</f>
        <v/>
      </c>
      <c r="K338">
        <f>IF(J338&gt;=5100,"ставка","мин.ставка")</f>
        <v/>
      </c>
      <c r="L338" s="3">
        <f>ROUND(IF(K338="мин.ставка",I338*100,G338/102*2),2)</f>
        <v/>
      </c>
      <c r="M338" s="5" t="n">
        <v>46266.5</v>
      </c>
      <c r="N338" t="inlineStr">
        <is>
          <t>TravelLine OZ2</t>
        </is>
      </c>
      <c r="O338" s="2" t="inlineStr">
        <is>
          <t>СТАНДАРТНЫЙ ДВУХМЕСТНЫЙ НОМЕР</t>
        </is>
      </c>
      <c r="P338" s="6" t="n"/>
      <c r="R338" t="inlineStr"/>
      <c r="S338" t="inlineStr">
        <is>
          <t>Тариф с завтраком</t>
        </is>
      </c>
      <c r="T338" t="n">
        <v>0</v>
      </c>
      <c r="U338" t="n">
        <v>5687.99</v>
      </c>
    </row>
    <row r="339">
      <c r="A339" t="inlineStr">
        <is>
          <t>20260818-8186-458712643</t>
        </is>
      </c>
      <c r="B339" t="n">
        <v>1</v>
      </c>
      <c r="C339" s="2" t="inlineStr">
        <is>
          <t>Дарья Адамович</t>
        </is>
      </c>
      <c r="D339" s="3" t="n">
        <v>11020</v>
      </c>
      <c r="E339" s="4" t="n">
        <v>18</v>
      </c>
      <c r="F339" t="inlineStr">
        <is>
          <t>Яндекс.Путешествия [Чайковский]</t>
        </is>
      </c>
      <c r="G339" s="3">
        <f>ROUND(D339/(100-E339)*100,2)</f>
        <v/>
      </c>
      <c r="H339" s="5" t="n">
        <v>46252.58333333334</v>
      </c>
      <c r="I339" t="n">
        <v>1</v>
      </c>
      <c r="J339" s="3">
        <f>G339/I339</f>
        <v/>
      </c>
      <c r="K339">
        <f>IF(J339&gt;=5100,"ставка","мин.ставка")</f>
        <v/>
      </c>
      <c r="L339" s="3">
        <f>ROUND(IF(K339="мин.ставка",I339*100,G339/102*2),2)</f>
        <v/>
      </c>
      <c r="M339" s="5" t="n">
        <v>46253.5</v>
      </c>
      <c r="N339" t="inlineStr">
        <is>
          <t>TravelLine YAX</t>
        </is>
      </c>
      <c r="O339" s="2" t="inlineStr">
        <is>
          <t>ПОЛУЛЮКС</t>
        </is>
      </c>
      <c r="P339" s="6" t="n"/>
      <c r="R339" t="inlineStr"/>
      <c r="S339" t="inlineStr">
        <is>
          <t>Тариф с завтраком</t>
        </is>
      </c>
      <c r="T339" t="n">
        <v>0</v>
      </c>
      <c r="U339" t="n">
        <v>11020</v>
      </c>
    </row>
    <row r="340">
      <c r="A340" t="inlineStr">
        <is>
          <t>20260910-8186-427551341</t>
        </is>
      </c>
      <c r="B340" t="n">
        <v>1</v>
      </c>
      <c r="C340" s="2" t="inlineStr">
        <is>
          <t>Дарья Гордеева, Дина Щербакова</t>
        </is>
      </c>
      <c r="D340" s="3" t="n">
        <v>36045</v>
      </c>
      <c r="E340" s="4" t="n">
        <v>0</v>
      </c>
      <c r="F340" t="inlineStr">
        <is>
          <t>Прямые бронирования (стойка) [Чайковский]</t>
        </is>
      </c>
      <c r="G340" s="3">
        <f>ROUND(D340/(100-E340)*100,2)</f>
        <v/>
      </c>
      <c r="H340" s="5" t="n">
        <v>46275.58333333334</v>
      </c>
      <c r="I340" t="n">
        <v>3</v>
      </c>
      <c r="J340" s="3">
        <f>G340/I340</f>
        <v/>
      </c>
      <c r="K340">
        <f>IF(J340&gt;=5100,"ставка","мин.ставка")</f>
        <v/>
      </c>
      <c r="L340" s="3">
        <f>ROUND(IF(K340="мин.ставка",I340*100,G340/102*2),2)</f>
        <v/>
      </c>
      <c r="M340" s="5" t="n">
        <v>46278.5</v>
      </c>
      <c r="N340" t="inlineStr">
        <is>
          <t>TravelLine ресепшн</t>
        </is>
      </c>
      <c r="O340" s="2" t="inlineStr">
        <is>
          <t>СТАНДАРТНЫЙ ДВУХМЕСТНЫЙ НОМЕР</t>
        </is>
      </c>
      <c r="P340" s="6" t="n"/>
      <c r="R340" t="inlineStr"/>
      <c r="S340" t="inlineStr">
        <is>
          <t>Тариф с завтраком</t>
        </is>
      </c>
      <c r="T340" t="n">
        <v>0</v>
      </c>
      <c r="U340" t="n">
        <v>216270</v>
      </c>
    </row>
    <row r="341">
      <c r="A341" t="inlineStr">
        <is>
          <t>20260930-8186-461353021</t>
        </is>
      </c>
      <c r="B341" t="n">
        <v>1</v>
      </c>
      <c r="C341" s="2" t="inlineStr">
        <is>
          <t>ДАРЬЯ ДЕМЧЕНКО</t>
        </is>
      </c>
      <c r="D341" s="3" t="n">
        <v>12264</v>
      </c>
      <c r="E341" s="4" t="n">
        <v>16</v>
      </c>
      <c r="F341" t="inlineStr">
        <is>
          <t>ООО "БРОНИРОВАНИЕ ГОСТИНИЦ" (OSTROVOK) [Чайковский]</t>
        </is>
      </c>
      <c r="G341" s="3">
        <f>ROUND(D341/(100-E341)*100,2)</f>
        <v/>
      </c>
      <c r="H341" s="5" t="n">
        <v>46295.58333333334</v>
      </c>
      <c r="I341" t="n">
        <v>2</v>
      </c>
      <c r="J341" s="3">
        <f>G341/I341</f>
        <v/>
      </c>
      <c r="K341">
        <f>IF(J341&gt;=5100,"ставка","мин.ставка")</f>
        <v/>
      </c>
      <c r="L341" s="3">
        <f>ROUND(IF(K341="мин.ставка",I341*100,G341/102*2),2)</f>
        <v/>
      </c>
      <c r="M341" s="5" t="n">
        <v>46297.5</v>
      </c>
      <c r="N341" t="inlineStr">
        <is>
          <t>TravelLine OTK</t>
        </is>
      </c>
      <c r="O341" s="2" t="inlineStr">
        <is>
          <t>СТАНДАРТНЫЙ ОДНОМЕСТНЫЙ НОМЕР</t>
        </is>
      </c>
      <c r="P341" s="6" t="n"/>
      <c r="R341" t="inlineStr"/>
      <c r="S341" t="inlineStr">
        <is>
          <t>Тариф с завтраком</t>
        </is>
      </c>
      <c r="T341" t="n">
        <v>0</v>
      </c>
      <c r="U341" t="n">
        <v>12264</v>
      </c>
    </row>
    <row r="342">
      <c r="A342" t="inlineStr">
        <is>
          <t>20260802-8186-428643420</t>
        </is>
      </c>
      <c r="B342" t="n">
        <v>1</v>
      </c>
      <c r="C342" s="2" t="inlineStr">
        <is>
          <t>Дарья Задорина, ДМИТРИЙ ЗАХАРОВ</t>
        </is>
      </c>
      <c r="D342" s="3" t="n">
        <v>91922.60000000001</v>
      </c>
      <c r="E342" s="4" t="n">
        <v>4</v>
      </c>
      <c r="F342" t="inlineStr">
        <is>
          <t>TravelLine Booking Engine [Чайковский]</t>
        </is>
      </c>
      <c r="G342" s="3">
        <f>ROUND(D342/(100-E342)*100,2)</f>
        <v/>
      </c>
      <c r="H342" s="5" t="n">
        <v>46236.72916666666</v>
      </c>
      <c r="I342" t="n">
        <v>6</v>
      </c>
      <c r="J342" s="3">
        <f>G342/I342</f>
        <v/>
      </c>
      <c r="K342">
        <f>IF(J342&gt;=5100,"ставка","мин.ставка")</f>
        <v/>
      </c>
      <c r="L342" s="3">
        <f>ROUND(IF(K342="мин.ставка",I342*100,G342/102*2),2)</f>
        <v/>
      </c>
      <c r="M342" s="5" t="n">
        <v>46242.5</v>
      </c>
      <c r="N342" t="inlineStr">
        <is>
          <t>TravelLine сайт</t>
        </is>
      </c>
      <c r="O342" s="2" t="inlineStr">
        <is>
          <t>УЛУЧШЕННЫЙ ДВУХМЕСТНЫЙ НОМЕР</t>
        </is>
      </c>
      <c r="P342" s="6" t="n"/>
      <c r="R342" t="inlineStr"/>
      <c r="S342" t="inlineStr">
        <is>
          <t>Тариф с завтраком</t>
        </is>
      </c>
      <c r="T342" t="n">
        <v>0</v>
      </c>
      <c r="U342" t="n">
        <v>91922.60000000001</v>
      </c>
    </row>
    <row r="343">
      <c r="A343" t="inlineStr">
        <is>
          <t>20260717-8186-433932355</t>
        </is>
      </c>
      <c r="B343" t="n">
        <v>1</v>
      </c>
      <c r="C343" s="2" t="inlineStr">
        <is>
          <t>Дарья Кондрашина, ВЛАДИМИР ГУРИКОВ</t>
        </is>
      </c>
      <c r="D343" s="3" t="n">
        <v>22161</v>
      </c>
      <c r="E343" s="4" t="n">
        <v>17</v>
      </c>
      <c r="F343" t="inlineStr">
        <is>
          <t>ООО «Дубль Гис» (OTELLO) [Чайковский]</t>
        </is>
      </c>
      <c r="G343" s="3">
        <f>ROUND(D343/(100-E343)*100,2)</f>
        <v/>
      </c>
      <c r="H343" s="5" t="n">
        <v>46220.58333333334</v>
      </c>
      <c r="I343" t="n">
        <v>2</v>
      </c>
      <c r="J343" s="3">
        <f>G343/I343</f>
        <v/>
      </c>
      <c r="K343">
        <f>IF(J343&gt;=5100,"ставка","мин.ставка")</f>
        <v/>
      </c>
      <c r="L343" s="3">
        <f>ROUND(IF(K343="мин.ставка",I343*100,G343/102*2),2)</f>
        <v/>
      </c>
      <c r="M343" s="5" t="n">
        <v>46222.5</v>
      </c>
      <c r="N343" t="inlineStr">
        <is>
          <t>TravelLine OL2</t>
        </is>
      </c>
      <c r="O343" s="2" t="inlineStr">
        <is>
          <t>СТАНДАРТНЫЙ ДВУХМЕСТНЫЙ НОМЕР</t>
        </is>
      </c>
      <c r="P343" s="6" t="n"/>
      <c r="R343" t="inlineStr"/>
      <c r="S343" t="inlineStr">
        <is>
          <t>Тариф с завтраком</t>
        </is>
      </c>
      <c r="T343" t="n">
        <v>0</v>
      </c>
      <c r="U343" t="n">
        <v>22161</v>
      </c>
    </row>
    <row r="344">
      <c r="A344" t="inlineStr">
        <is>
          <t>20260814-8186-430261857</t>
        </is>
      </c>
      <c r="B344" t="n">
        <v>1</v>
      </c>
      <c r="C344" s="2" t="inlineStr">
        <is>
          <t>Дарья Кучуб, Виктор Кучуб</t>
        </is>
      </c>
      <c r="D344" s="3" t="n">
        <v>22695</v>
      </c>
      <c r="E344" s="4" t="n">
        <v>15</v>
      </c>
      <c r="F344" t="inlineStr">
        <is>
          <t>ООО Тинькофф Путешествия [Чайковский]</t>
        </is>
      </c>
      <c r="G344" s="3">
        <f>ROUND(D344/(100-E344)*100,2)</f>
        <v/>
      </c>
      <c r="H344" s="5" t="n">
        <v>46248.91666666666</v>
      </c>
      <c r="I344" t="n">
        <v>2</v>
      </c>
      <c r="J344" s="3">
        <f>G344/I344</f>
        <v/>
      </c>
      <c r="K344">
        <f>IF(J344&gt;=5100,"ставка","мин.ставка")</f>
        <v/>
      </c>
      <c r="L344" s="3">
        <f>ROUND(IF(K344="мин.ставка",I344*100,G344/102*2),2)</f>
        <v/>
      </c>
      <c r="M344" s="5" t="n">
        <v>46250.5</v>
      </c>
      <c r="N344" t="inlineStr">
        <is>
          <t>TravelLine TNK</t>
        </is>
      </c>
      <c r="O344" s="2" t="inlineStr">
        <is>
          <t>СТАНДАРТНЫЙ ДВУХМЕСТНЫЙ НОМЕР</t>
        </is>
      </c>
      <c r="P344" s="6" t="n"/>
      <c r="R344" t="inlineStr"/>
      <c r="S344" t="inlineStr">
        <is>
          <t>Тариф с завтраком</t>
        </is>
      </c>
      <c r="T344" t="n">
        <v>0</v>
      </c>
      <c r="U344" t="n">
        <v>22695</v>
      </c>
    </row>
    <row r="345">
      <c r="A345" t="inlineStr">
        <is>
          <t>20260728-8186-453096527</t>
        </is>
      </c>
      <c r="B345" t="n">
        <v>1</v>
      </c>
      <c r="C345" s="2" t="inlineStr">
        <is>
          <t>Дарья Лихачева</t>
        </is>
      </c>
      <c r="D345" s="3" t="n">
        <v>7120</v>
      </c>
      <c r="E345" s="4" t="n">
        <v>20</v>
      </c>
      <c r="F345" t="inlineStr">
        <is>
          <t>ООО "УК ГЦБ и Т" [Чайковский]</t>
        </is>
      </c>
      <c r="G345" s="3">
        <f>ROUND(D345/(100-E345)*100,2)</f>
        <v/>
      </c>
      <c r="H345" s="5" t="n">
        <v>46231.58333333334</v>
      </c>
      <c r="I345" t="n">
        <v>1</v>
      </c>
      <c r="J345" s="3">
        <f>G345/I345</f>
        <v/>
      </c>
      <c r="K345">
        <f>IF(J345&gt;=5100,"ставка","мин.ставка")</f>
        <v/>
      </c>
      <c r="L345" s="3">
        <f>ROUND(IF(K345="мин.ставка",I345*100,G345/102*2),2)</f>
        <v/>
      </c>
      <c r="M345" s="5" t="n">
        <v>46232.5</v>
      </c>
      <c r="N345" t="inlineStr">
        <is>
          <t>TravelLine CBC</t>
        </is>
      </c>
      <c r="O345" s="2" t="inlineStr">
        <is>
          <t>СТАНДАРТНЫЙ ДВУХМЕСТНЫЙ НОМЕР</t>
        </is>
      </c>
      <c r="P345" s="6" t="n"/>
      <c r="R345" t="inlineStr"/>
      <c r="S345" t="inlineStr">
        <is>
          <t>Тариф с завтраком</t>
        </is>
      </c>
      <c r="T345" t="n">
        <v>0</v>
      </c>
      <c r="U345" t="n">
        <v>7120</v>
      </c>
    </row>
    <row r="346">
      <c r="A346" t="inlineStr">
        <is>
          <t>20260919-8186-466367569</t>
        </is>
      </c>
      <c r="B346" t="n">
        <v>1</v>
      </c>
      <c r="C346" s="2" t="inlineStr">
        <is>
          <t>Дарья Сенникова, Никита Веселков</t>
        </is>
      </c>
      <c r="D346" s="3" t="n">
        <v>14850</v>
      </c>
      <c r="E346" s="4" t="n">
        <v>18</v>
      </c>
      <c r="F346" t="inlineStr">
        <is>
          <t>Яндекс.Путешествия [Чайковский]</t>
        </is>
      </c>
      <c r="G346" s="3">
        <f>ROUND(D346/(100-E346)*100,2)</f>
        <v/>
      </c>
      <c r="H346" s="5" t="n">
        <v>46284.58333333334</v>
      </c>
      <c r="I346" t="n">
        <v>2</v>
      </c>
      <c r="J346" s="3">
        <f>G346/I346</f>
        <v/>
      </c>
      <c r="K346">
        <f>IF(J346&gt;=5100,"ставка","мин.ставка")</f>
        <v/>
      </c>
      <c r="L346" s="3">
        <f>ROUND(IF(K346="мин.ставка",I346*100,G346/102*2),2)</f>
        <v/>
      </c>
      <c r="M346" s="5" t="n">
        <v>46286.5</v>
      </c>
      <c r="N346" t="inlineStr">
        <is>
          <t>TravelLine YAX</t>
        </is>
      </c>
      <c r="O346" s="2" t="inlineStr">
        <is>
          <t>СТАНДАРТНЫЙ ДВУХМЕСТНЫЙ НОМЕР (МАНСАРДА)</t>
        </is>
      </c>
      <c r="P346" s="6" t="n"/>
      <c r="R346" t="inlineStr"/>
      <c r="S346" t="inlineStr">
        <is>
          <t>Тариф с завтраком</t>
        </is>
      </c>
      <c r="T346" t="n">
        <v>0</v>
      </c>
      <c r="U346" t="n">
        <v>14850</v>
      </c>
    </row>
    <row r="347">
      <c r="A347" t="inlineStr">
        <is>
          <t>20260703-8186-442896088</t>
        </is>
      </c>
      <c r="B347" t="n">
        <v>1</v>
      </c>
      <c r="C347" s="2" t="inlineStr">
        <is>
          <t>Дарья Ханеева</t>
        </is>
      </c>
      <c r="D347" s="3" t="n">
        <v>45400</v>
      </c>
      <c r="E347" s="4" t="n">
        <v>20</v>
      </c>
      <c r="F347" t="inlineStr">
        <is>
          <t>ООО "КОМПАНИЯ БРОНЕВИК" [Чайковский]</t>
        </is>
      </c>
      <c r="G347" s="3">
        <f>ROUND(D347/(100-E347)*100,2)</f>
        <v/>
      </c>
      <c r="H347" s="5" t="n">
        <v>46206.58333333334</v>
      </c>
      <c r="I347" t="n">
        <v>5</v>
      </c>
      <c r="J347" s="3">
        <f>G347/I347</f>
        <v/>
      </c>
      <c r="K347">
        <f>IF(J347&gt;=5100,"ставка","мин.ставка")</f>
        <v/>
      </c>
      <c r="L347" s="3">
        <f>ROUND(IF(K347="мин.ставка",I347*100,G347/102*2),2)</f>
        <v/>
      </c>
      <c r="M347" s="5" t="n">
        <v>46211.5</v>
      </c>
      <c r="N347" t="inlineStr">
        <is>
          <t>TravelLine BR2</t>
        </is>
      </c>
      <c r="O347" s="2" t="inlineStr">
        <is>
          <t>СТАНДАРТНЫЙ ДВУХМЕСТНЫЙ НОМЕР</t>
        </is>
      </c>
      <c r="P347" s="6" t="n"/>
      <c r="R347" t="inlineStr"/>
      <c r="S347" t="inlineStr">
        <is>
          <t>Тариф с завтраком</t>
        </is>
      </c>
      <c r="T347" t="n">
        <v>0</v>
      </c>
      <c r="U347" t="n">
        <v>45400</v>
      </c>
    </row>
    <row r="348">
      <c r="A348" t="inlineStr">
        <is>
          <t>20260724-8186-448787264</t>
        </is>
      </c>
      <c r="B348" t="n">
        <v>1</v>
      </c>
      <c r="C348" s="2" t="inlineStr">
        <is>
          <t>Дарья Цявук</t>
        </is>
      </c>
      <c r="D348" s="3" t="n">
        <v>27240</v>
      </c>
      <c r="E348" s="4" t="n">
        <v>18</v>
      </c>
      <c r="F348" t="inlineStr">
        <is>
          <t>Яндекс.Путешествия [Чайковский]</t>
        </is>
      </c>
      <c r="G348" s="3">
        <f>ROUND(D348/(100-E348)*100,2)</f>
        <v/>
      </c>
      <c r="H348" s="5" t="n">
        <v>46227.58333333334</v>
      </c>
      <c r="I348" t="n">
        <v>3</v>
      </c>
      <c r="J348" s="3">
        <f>G348/I348</f>
        <v/>
      </c>
      <c r="K348">
        <f>IF(J348&gt;=5100,"ставка","мин.ставка")</f>
        <v/>
      </c>
      <c r="L348" s="3">
        <f>ROUND(IF(K348="мин.ставка",I348*100,G348/102*2),2)</f>
        <v/>
      </c>
      <c r="M348" s="5" t="n">
        <v>46230.5</v>
      </c>
      <c r="N348" t="inlineStr">
        <is>
          <t>TravelLine YAX</t>
        </is>
      </c>
      <c r="O348" s="2" t="inlineStr">
        <is>
          <t>СТАНДАРТНЫЙ ДВУХМЕСТНЫЙ НОМЕР</t>
        </is>
      </c>
      <c r="P348" s="6" t="n"/>
      <c r="R348" t="inlineStr"/>
      <c r="S348" t="inlineStr">
        <is>
          <t>Тариф с завтраком</t>
        </is>
      </c>
      <c r="T348" t="n">
        <v>0</v>
      </c>
      <c r="U348" t="n">
        <v>27240</v>
      </c>
    </row>
    <row r="349">
      <c r="A349" t="inlineStr">
        <is>
          <t>20260930-8186-466725363</t>
        </is>
      </c>
      <c r="B349" t="n">
        <v>1</v>
      </c>
      <c r="C349" s="2" t="inlineStr">
        <is>
          <t>ДАРЬЯ ЩИГОЛЕВА</t>
        </is>
      </c>
      <c r="D349" s="3" t="n">
        <v>11115</v>
      </c>
      <c r="E349" s="4" t="n">
        <v>18</v>
      </c>
      <c r="F349" t="inlineStr">
        <is>
          <t>Яндекс.Путешествия [Чайковский]</t>
        </is>
      </c>
      <c r="G349" s="3">
        <f>ROUND(D349/(100-E349)*100,2)</f>
        <v/>
      </c>
      <c r="H349" s="5" t="n">
        <v>46295.58333333334</v>
      </c>
      <c r="I349" t="n">
        <v>2</v>
      </c>
      <c r="J349" s="3">
        <f>G349/I349</f>
        <v/>
      </c>
      <c r="K349">
        <f>IF(J349&gt;=5100,"ставка","мин.ставка")</f>
        <v/>
      </c>
      <c r="L349" s="3">
        <f>ROUND(IF(K349="мин.ставка",I349*100,G349/102*2),2)</f>
        <v/>
      </c>
      <c r="M349" s="5" t="n">
        <v>46297.5</v>
      </c>
      <c r="N349" t="inlineStr">
        <is>
          <t>TravelLine YAX</t>
        </is>
      </c>
      <c r="O349" s="2" t="inlineStr">
        <is>
          <t>СТАНДАРТНЫЙ ДВУХМЕСТНЫЙ НОМЕР (МАНСАРДА)</t>
        </is>
      </c>
      <c r="P349" s="6" t="n"/>
      <c r="R349" t="inlineStr"/>
      <c r="S349" t="inlineStr">
        <is>
          <t>Тариф с завтраком</t>
        </is>
      </c>
      <c r="T349" t="n">
        <v>0</v>
      </c>
      <c r="U349" t="n">
        <v>11115</v>
      </c>
    </row>
    <row r="350">
      <c r="A350" t="inlineStr">
        <is>
          <t>20260906-8186-461460789</t>
        </is>
      </c>
      <c r="B350" t="n">
        <v>1</v>
      </c>
      <c r="C350" s="2" t="inlineStr">
        <is>
          <t>ДЕНИС АФАНАСЬЕВ, Дарья Афанасьева</t>
        </is>
      </c>
      <c r="D350" s="3" t="n">
        <v>9751.5</v>
      </c>
      <c r="E350" s="4" t="n">
        <v>4</v>
      </c>
      <c r="F350" t="inlineStr">
        <is>
          <t>TravelLine Booking Engine [Чайковский]</t>
        </is>
      </c>
      <c r="G350" s="3">
        <f>ROUND(D350/(100-E350)*100,2)</f>
        <v/>
      </c>
      <c r="H350" s="5" t="n">
        <v>46271.58333333334</v>
      </c>
      <c r="I350" t="n">
        <v>1</v>
      </c>
      <c r="J350" s="3">
        <f>G350/I350</f>
        <v/>
      </c>
      <c r="K350">
        <f>IF(J350&gt;=5100,"ставка","мин.ставка")</f>
        <v/>
      </c>
      <c r="L350" s="3">
        <f>ROUND(IF(K350="мин.ставка",I350*100,G350/102*2),2)</f>
        <v/>
      </c>
      <c r="M350" s="5" t="n">
        <v>46272.5</v>
      </c>
      <c r="N350" t="inlineStr">
        <is>
          <t>TravelLine сайт</t>
        </is>
      </c>
      <c r="O350" s="2" t="inlineStr">
        <is>
          <t>СТАНДАРТНЫЙ ДВУХМЕСТНЫЙ НОМЕР</t>
        </is>
      </c>
      <c r="P350" s="6" t="n"/>
      <c r="R350" t="inlineStr"/>
      <c r="S350" t="inlineStr">
        <is>
          <t>Тариф с завтраком</t>
        </is>
      </c>
      <c r="T350" t="n">
        <v>0</v>
      </c>
      <c r="U350" t="n">
        <v>9751.5</v>
      </c>
    </row>
    <row r="351">
      <c r="A351" t="inlineStr">
        <is>
          <t>20260905-8186-460958284</t>
        </is>
      </c>
      <c r="B351" t="n">
        <v>1</v>
      </c>
      <c r="C351" s="2" t="inlineStr">
        <is>
          <t>Денис Борисов, Екатерина Полосухина</t>
        </is>
      </c>
      <c r="D351" s="3" t="n">
        <v>21360</v>
      </c>
      <c r="E351" s="4" t="n">
        <v>17</v>
      </c>
      <c r="F351" t="inlineStr">
        <is>
          <t>ООО «Интернет Трэвел» (OZON) [Чайковский]</t>
        </is>
      </c>
      <c r="G351" s="3">
        <f>ROUND(D351/(100-E351)*100,2)</f>
        <v/>
      </c>
      <c r="H351" s="5" t="n">
        <v>46270.58333333334</v>
      </c>
      <c r="I351" t="n">
        <v>2</v>
      </c>
      <c r="J351" s="3">
        <f>G351/I351</f>
        <v/>
      </c>
      <c r="K351">
        <f>IF(J351&gt;=5100,"ставка","мин.ставка")</f>
        <v/>
      </c>
      <c r="L351" s="3">
        <f>ROUND(IF(K351="мин.ставка",I351*100,G351/102*2),2)</f>
        <v/>
      </c>
      <c r="M351" s="5" t="n">
        <v>46272.5</v>
      </c>
      <c r="N351" t="inlineStr">
        <is>
          <t>TravelLine OZ2</t>
        </is>
      </c>
      <c r="O351" s="2" t="inlineStr">
        <is>
          <t>СТАНДАРТНЫЙ ДВУХМЕСТНЫЙ НОМЕР</t>
        </is>
      </c>
      <c r="P351" s="6" t="n"/>
      <c r="R351" t="inlineStr"/>
      <c r="S351" t="inlineStr">
        <is>
          <t>Тариф с завтраком</t>
        </is>
      </c>
      <c r="T351" t="n">
        <v>0</v>
      </c>
      <c r="U351" t="n">
        <v>21360</v>
      </c>
    </row>
    <row r="352">
      <c r="A352" t="inlineStr">
        <is>
          <t>20260723-8186-452699334</t>
        </is>
      </c>
      <c r="B352" t="n">
        <v>1</v>
      </c>
      <c r="C352" s="2" t="inlineStr">
        <is>
          <t>Денис Грузинов</t>
        </is>
      </c>
      <c r="D352" s="3" t="n">
        <v>10215</v>
      </c>
      <c r="E352" s="4" t="n">
        <v>0</v>
      </c>
      <c r="F352" t="inlineStr">
        <is>
          <t>Прямые бронирования (стойка) [Чайковский]</t>
        </is>
      </c>
      <c r="G352" s="3">
        <f>ROUND(D352/(100-E352)*100,2)</f>
        <v/>
      </c>
      <c r="H352" s="5" t="n">
        <v>46226.58333333334</v>
      </c>
      <c r="I352" t="n">
        <v>1</v>
      </c>
      <c r="J352" s="3">
        <f>G352/I352</f>
        <v/>
      </c>
      <c r="K352">
        <f>IF(J352&gt;=5100,"ставка","мин.ставка")</f>
        <v/>
      </c>
      <c r="L352" s="3">
        <f>ROUND(IF(K352="мин.ставка",I352*100,G352/102*2),2)</f>
        <v/>
      </c>
      <c r="M352" s="5" t="n">
        <v>46227.5</v>
      </c>
      <c r="N352" t="inlineStr">
        <is>
          <t>TravelLine ресепшн</t>
        </is>
      </c>
      <c r="O352" s="2" t="inlineStr">
        <is>
          <t>СТАНДАРТНЫЙ ДВУХМЕСТНЫЙ НОМЕР</t>
        </is>
      </c>
      <c r="P352" s="6" t="n"/>
      <c r="R352" t="inlineStr"/>
      <c r="S352" t="inlineStr">
        <is>
          <t>Тариф с завтраком</t>
        </is>
      </c>
      <c r="T352" t="n">
        <v>0</v>
      </c>
      <c r="U352" t="n">
        <v>10215</v>
      </c>
    </row>
    <row r="353">
      <c r="A353" t="inlineStr">
        <is>
          <t>20260724-8186-449406216</t>
        </is>
      </c>
      <c r="B353" t="n">
        <v>1</v>
      </c>
      <c r="C353" s="2" t="inlineStr">
        <is>
          <t>Денис Грузинов</t>
        </is>
      </c>
      <c r="D353" s="3" t="n">
        <v>20430</v>
      </c>
      <c r="E353" s="4" t="n">
        <v>0</v>
      </c>
      <c r="F353" t="inlineStr">
        <is>
          <t>Прямые бронирования (стойка) [Чайковский]</t>
        </is>
      </c>
      <c r="G353" s="3">
        <f>ROUND(D353/(100-E353)*100,2)</f>
        <v/>
      </c>
      <c r="H353" s="5" t="n">
        <v>46227.58333333334</v>
      </c>
      <c r="I353" t="n">
        <v>2</v>
      </c>
      <c r="J353" s="3">
        <f>G353/I353</f>
        <v/>
      </c>
      <c r="K353">
        <f>IF(J353&gt;=5100,"ставка","мин.ставка")</f>
        <v/>
      </c>
      <c r="L353" s="3">
        <f>ROUND(IF(K353="мин.ставка",I353*100,G353/102*2),2)</f>
        <v/>
      </c>
      <c r="M353" s="5" t="n">
        <v>46229.5</v>
      </c>
      <c r="N353" t="inlineStr">
        <is>
          <t>TravelLine ресепшн</t>
        </is>
      </c>
      <c r="O353" s="2" t="inlineStr">
        <is>
          <t>СТАНДАРТНЫЙ ДВУХМЕСТНЫЙ НОМЕР</t>
        </is>
      </c>
      <c r="P353" s="6" t="n"/>
      <c r="R353" t="inlineStr"/>
      <c r="S353" t="inlineStr">
        <is>
          <t>Тариф с завтраком</t>
        </is>
      </c>
      <c r="T353" t="n">
        <v>0</v>
      </c>
      <c r="U353" t="n">
        <v>20430</v>
      </c>
    </row>
    <row r="354">
      <c r="A354" t="inlineStr">
        <is>
          <t>20260924-8186-466578898</t>
        </is>
      </c>
      <c r="B354" t="n">
        <v>1</v>
      </c>
      <c r="C354" s="2" t="inlineStr">
        <is>
          <t>Денис Дроздов</t>
        </is>
      </c>
      <c r="D354" s="3" t="n">
        <v>18160</v>
      </c>
      <c r="E354" s="4" t="n">
        <v>20</v>
      </c>
      <c r="F354" t="inlineStr">
        <is>
          <t>ООО «Дубль Гис» (OTELLO) [Чайковский]</t>
        </is>
      </c>
      <c r="G354" s="3">
        <f>ROUND(D354/(100-E354)*100,2)</f>
        <v/>
      </c>
      <c r="H354" s="5" t="n">
        <v>46289.58333333334</v>
      </c>
      <c r="I354" t="n">
        <v>2</v>
      </c>
      <c r="J354" s="3">
        <f>G354/I354</f>
        <v/>
      </c>
      <c r="K354">
        <f>IF(J354&gt;=5100,"ставка","мин.ставка")</f>
        <v/>
      </c>
      <c r="L354" s="3">
        <f>ROUND(IF(K354="мин.ставка",I354*100,G354/102*2),2)</f>
        <v/>
      </c>
      <c r="M354" s="5" t="n">
        <v>46291.5</v>
      </c>
      <c r="N354" t="inlineStr">
        <is>
          <t>TravelLine OL2</t>
        </is>
      </c>
      <c r="O354" s="2" t="inlineStr">
        <is>
          <t>СТАНДАРТНЫЙ ДВУХМЕСТНЫЙ НОМЕР</t>
        </is>
      </c>
      <c r="P354" s="6" t="n"/>
      <c r="R354" t="inlineStr"/>
      <c r="S354" t="inlineStr">
        <is>
          <t>Тариф с завтраком</t>
        </is>
      </c>
      <c r="T354" t="n">
        <v>0</v>
      </c>
      <c r="U354" t="n">
        <v>36320</v>
      </c>
    </row>
    <row r="355">
      <c r="A355" t="inlineStr">
        <is>
          <t>20260707-8186-448228838</t>
        </is>
      </c>
      <c r="B355" t="n">
        <v>1</v>
      </c>
      <c r="C355" s="2" t="inlineStr">
        <is>
          <t>Денис Евдокимов</t>
        </is>
      </c>
      <c r="D355" s="3" t="n">
        <v>26100</v>
      </c>
      <c r="E355" s="4" t="n">
        <v>0</v>
      </c>
      <c r="F355" t="inlineStr">
        <is>
          <t>Прямые бронирования (стойка) [Чайковский]</t>
        </is>
      </c>
      <c r="G355" s="3">
        <f>ROUND(D355/(100-E355)*100,2)</f>
        <v/>
      </c>
      <c r="H355" s="5" t="n">
        <v>46210.58333333334</v>
      </c>
      <c r="I355" t="n">
        <v>2</v>
      </c>
      <c r="J355" s="3">
        <f>G355/I355</f>
        <v/>
      </c>
      <c r="K355">
        <f>IF(J355&gt;=5100,"ставка","мин.ставка")</f>
        <v/>
      </c>
      <c r="L355" s="3">
        <f>ROUND(IF(K355="мин.ставка",I355*100,G355/102*2),2)</f>
        <v/>
      </c>
      <c r="M355" s="5" t="n">
        <v>46212.5</v>
      </c>
      <c r="N355" t="inlineStr">
        <is>
          <t>TravelLine ресепшн</t>
        </is>
      </c>
      <c r="O355" s="2" t="inlineStr">
        <is>
          <t>ЛЮКС ВТОРОЙ КОРПУС</t>
        </is>
      </c>
      <c r="P355" s="6" t="n"/>
      <c r="R355" t="inlineStr"/>
      <c r="S355" t="inlineStr">
        <is>
          <t>Тариф с завтраком</t>
        </is>
      </c>
      <c r="T355" t="n">
        <v>0</v>
      </c>
      <c r="U355" t="n">
        <v>26100</v>
      </c>
    </row>
    <row r="356">
      <c r="A356" t="inlineStr">
        <is>
          <t>20260719-8186-450701107</t>
        </is>
      </c>
      <c r="B356" t="n">
        <v>1</v>
      </c>
      <c r="C356" s="2" t="inlineStr">
        <is>
          <t>Денис Евдокимов</t>
        </is>
      </c>
      <c r="D356" s="3" t="n">
        <v>56880</v>
      </c>
      <c r="E356" s="4" t="n">
        <v>0</v>
      </c>
      <c r="F356" t="inlineStr">
        <is>
          <t>Прямые бронирования (стойка) [Чайковский]</t>
        </is>
      </c>
      <c r="G356" s="3">
        <f>ROUND(D356/(100-E356)*100,2)</f>
        <v/>
      </c>
      <c r="H356" s="5" t="n">
        <v>46222.58333333334</v>
      </c>
      <c r="I356" t="n">
        <v>4</v>
      </c>
      <c r="J356" s="3">
        <f>G356/I356</f>
        <v/>
      </c>
      <c r="K356">
        <f>IF(J356&gt;=5100,"ставка","мин.ставка")</f>
        <v/>
      </c>
      <c r="L356" s="3">
        <f>ROUND(IF(K356="мин.ставка",I356*100,G356/102*2),2)</f>
        <v/>
      </c>
      <c r="M356" s="5" t="n">
        <v>46226.5</v>
      </c>
      <c r="N356" t="inlineStr">
        <is>
          <t>TravelLine ресепшн</t>
        </is>
      </c>
      <c r="O356" s="2" t="inlineStr">
        <is>
          <t>ЛЮКС ВТОРОЙ КОРПУС</t>
        </is>
      </c>
      <c r="P356" s="6" t="n"/>
      <c r="R356" t="inlineStr"/>
      <c r="S356" t="inlineStr">
        <is>
          <t>Тариф с завтраком</t>
        </is>
      </c>
      <c r="T356" t="n">
        <v>0</v>
      </c>
      <c r="U356" t="n">
        <v>56880</v>
      </c>
    </row>
    <row r="357">
      <c r="A357" t="inlineStr">
        <is>
          <t>20260811-8186-457632332</t>
        </is>
      </c>
      <c r="B357" t="n">
        <v>1</v>
      </c>
      <c r="C357" s="2" t="inlineStr">
        <is>
          <t>Денис Евдокимов</t>
        </is>
      </c>
      <c r="D357" s="3" t="n">
        <v>13050</v>
      </c>
      <c r="E357" s="4" t="n">
        <v>0</v>
      </c>
      <c r="F357" t="inlineStr">
        <is>
          <t>Прямые бронирования (стойка) [Чайковский]</t>
        </is>
      </c>
      <c r="G357" s="3">
        <f>ROUND(D357/(100-E357)*100,2)</f>
        <v/>
      </c>
      <c r="H357" s="5" t="n">
        <v>46245.58333333334</v>
      </c>
      <c r="I357" t="n">
        <v>1</v>
      </c>
      <c r="J357" s="3">
        <f>G357/I357</f>
        <v/>
      </c>
      <c r="K357">
        <f>IF(J357&gt;=5100,"ставка","мин.ставка")</f>
        <v/>
      </c>
      <c r="L357" s="3">
        <f>ROUND(IF(K357="мин.ставка",I357*100,G357/102*2),2)</f>
        <v/>
      </c>
      <c r="M357" s="5" t="n">
        <v>46246.5</v>
      </c>
      <c r="N357" t="inlineStr">
        <is>
          <t>TravelLine ресепшн</t>
        </is>
      </c>
      <c r="O357" s="2" t="inlineStr">
        <is>
          <t>ПОЛУЛЮКС</t>
        </is>
      </c>
      <c r="P357" s="6" t="n"/>
      <c r="R357" t="inlineStr"/>
      <c r="S357" t="inlineStr">
        <is>
          <t>Тариф с завтраком</t>
        </is>
      </c>
      <c r="T357" t="n">
        <v>0</v>
      </c>
      <c r="U357" t="n">
        <v>13050</v>
      </c>
    </row>
    <row r="358">
      <c r="A358" t="inlineStr">
        <is>
          <t>20260812-8186-458096485</t>
        </is>
      </c>
      <c r="B358" t="n">
        <v>1</v>
      </c>
      <c r="C358" s="2" t="inlineStr">
        <is>
          <t>Денис Евдокимов</t>
        </is>
      </c>
      <c r="D358" s="3" t="n">
        <v>13050</v>
      </c>
      <c r="E358" s="4" t="n">
        <v>0</v>
      </c>
      <c r="F358" t="inlineStr">
        <is>
          <t>Прямые бронирования (стойка) [Чайковский]</t>
        </is>
      </c>
      <c r="G358" s="3">
        <f>ROUND(D358/(100-E358)*100,2)</f>
        <v/>
      </c>
      <c r="H358" s="5" t="n">
        <v>46246.58333333334</v>
      </c>
      <c r="I358" t="n">
        <v>1</v>
      </c>
      <c r="J358" s="3">
        <f>G358/I358</f>
        <v/>
      </c>
      <c r="K358">
        <f>IF(J358&gt;=5100,"ставка","мин.ставка")</f>
        <v/>
      </c>
      <c r="L358" s="3">
        <f>ROUND(IF(K358="мин.ставка",I358*100,G358/102*2),2)</f>
        <v/>
      </c>
      <c r="M358" s="5" t="n">
        <v>46247.5</v>
      </c>
      <c r="N358" t="inlineStr">
        <is>
          <t>TravelLine ресепшн</t>
        </is>
      </c>
      <c r="O358" s="2" t="inlineStr">
        <is>
          <t>ПОЛУЛЮКС</t>
        </is>
      </c>
      <c r="P358" s="6" t="n"/>
      <c r="R358" t="inlineStr"/>
      <c r="S358" t="inlineStr">
        <is>
          <t>Тариф с завтраком</t>
        </is>
      </c>
      <c r="T358" t="n">
        <v>0</v>
      </c>
      <c r="U358" t="n">
        <v>13050</v>
      </c>
    </row>
    <row r="359">
      <c r="A359" t="inlineStr">
        <is>
          <t>20260908-8186-464591169</t>
        </is>
      </c>
      <c r="B359" t="n">
        <v>1</v>
      </c>
      <c r="C359" s="2" t="inlineStr">
        <is>
          <t>Денис Евдокимов</t>
        </is>
      </c>
      <c r="D359" s="3" t="n">
        <v>14220</v>
      </c>
      <c r="E359" s="4" t="n">
        <v>0</v>
      </c>
      <c r="F359" t="inlineStr">
        <is>
          <t>Прямые бронирования (стойка) [Чайковский]</t>
        </is>
      </c>
      <c r="G359" s="3">
        <f>ROUND(D359/(100-E359)*100,2)</f>
        <v/>
      </c>
      <c r="H359" s="5" t="n">
        <v>46273.58333333334</v>
      </c>
      <c r="I359" t="n">
        <v>1</v>
      </c>
      <c r="J359" s="3">
        <f>G359/I359</f>
        <v/>
      </c>
      <c r="K359">
        <f>IF(J359&gt;=5100,"ставка","мин.ставка")</f>
        <v/>
      </c>
      <c r="L359" s="3">
        <f>ROUND(IF(K359="мин.ставка",I359*100,G359/102*2),2)</f>
        <v/>
      </c>
      <c r="M359" s="5" t="n">
        <v>46274.75</v>
      </c>
      <c r="N359" t="inlineStr">
        <is>
          <t>TravelLine ресепшн</t>
        </is>
      </c>
      <c r="O359" s="2" t="inlineStr">
        <is>
          <t>ЛЮКС ВТОРОЙ КОРПУС</t>
        </is>
      </c>
      <c r="P359" s="6" t="n"/>
      <c r="R359" t="inlineStr"/>
      <c r="S359" t="inlineStr">
        <is>
          <t>Тариф с завтраком</t>
        </is>
      </c>
      <c r="T359" t="n">
        <v>7110</v>
      </c>
      <c r="U359" t="n">
        <v>21330</v>
      </c>
    </row>
    <row r="360">
      <c r="A360" t="inlineStr">
        <is>
          <t>20260914-8186-464859122</t>
        </is>
      </c>
      <c r="B360" t="n">
        <v>1</v>
      </c>
      <c r="C360" s="2" t="inlineStr">
        <is>
          <t>Денис Евдокимов</t>
        </is>
      </c>
      <c r="D360" s="3" t="n">
        <v>14220</v>
      </c>
      <c r="E360" s="4" t="n">
        <v>0</v>
      </c>
      <c r="F360" t="inlineStr">
        <is>
          <t>Прямые бронирования (стойка) [Чайковский]</t>
        </is>
      </c>
      <c r="G360" s="3">
        <f>ROUND(D360/(100-E360)*100,2)</f>
        <v/>
      </c>
      <c r="H360" s="5" t="n">
        <v>46279.58333333334</v>
      </c>
      <c r="I360" t="n">
        <v>1</v>
      </c>
      <c r="J360" s="3">
        <f>G360/I360</f>
        <v/>
      </c>
      <c r="K360">
        <f>IF(J360&gt;=5100,"ставка","мин.ставка")</f>
        <v/>
      </c>
      <c r="L360" s="3">
        <f>ROUND(IF(K360="мин.ставка",I360*100,G360/102*2),2)</f>
        <v/>
      </c>
      <c r="M360" s="5" t="n">
        <v>46280.5</v>
      </c>
      <c r="N360" t="inlineStr">
        <is>
          <t>TravelLine ресепшн</t>
        </is>
      </c>
      <c r="O360" s="2" t="inlineStr">
        <is>
          <t>ЛЮКС ВТОРОЙ КОРПУС</t>
        </is>
      </c>
      <c r="P360" s="6" t="n"/>
      <c r="R360" t="inlineStr"/>
      <c r="S360" t="inlineStr">
        <is>
          <t>Тариф с завтраком</t>
        </is>
      </c>
      <c r="T360" t="n">
        <v>0</v>
      </c>
      <c r="U360" t="n">
        <v>14220</v>
      </c>
    </row>
    <row r="361">
      <c r="A361" t="inlineStr">
        <is>
          <t>20260915-8186-466067897</t>
        </is>
      </c>
      <c r="B361" t="n">
        <v>1</v>
      </c>
      <c r="C361" s="2" t="inlineStr">
        <is>
          <t>Денис Евдокимов</t>
        </is>
      </c>
      <c r="D361" s="3" t="n">
        <v>13050</v>
      </c>
      <c r="E361" s="4" t="n">
        <v>0</v>
      </c>
      <c r="F361" t="inlineStr">
        <is>
          <t>Прямые бронирования (стойка) [Чайковский]</t>
        </is>
      </c>
      <c r="G361" s="3">
        <f>ROUND(D361/(100-E361)*100,2)</f>
        <v/>
      </c>
      <c r="H361" s="5" t="n">
        <v>46280.58333333334</v>
      </c>
      <c r="I361" t="n">
        <v>1</v>
      </c>
      <c r="J361" s="3">
        <f>G361/I361</f>
        <v/>
      </c>
      <c r="K361">
        <f>IF(J361&gt;=5100,"ставка","мин.ставка")</f>
        <v/>
      </c>
      <c r="L361" s="3">
        <f>ROUND(IF(K361="мин.ставка",I361*100,G361/102*2),2)</f>
        <v/>
      </c>
      <c r="M361" s="5" t="n">
        <v>46281.5</v>
      </c>
      <c r="N361" t="inlineStr">
        <is>
          <t>TravelLine ресепшн</t>
        </is>
      </c>
      <c r="O361" s="2" t="inlineStr">
        <is>
          <t>ПОЛУЛЮКС</t>
        </is>
      </c>
      <c r="P361" s="6" t="n"/>
      <c r="R361" t="inlineStr"/>
      <c r="S361" t="inlineStr">
        <is>
          <t>Тариф с завтраком</t>
        </is>
      </c>
      <c r="T361" t="n">
        <v>0</v>
      </c>
      <c r="U361" t="n">
        <v>13050</v>
      </c>
    </row>
    <row r="362">
      <c r="A362" t="inlineStr">
        <is>
          <t>20260726-8186-453457921</t>
        </is>
      </c>
      <c r="B362" t="n">
        <v>1</v>
      </c>
      <c r="C362" s="2" t="inlineStr">
        <is>
          <t>Денис Зуев, Софья Артемьева</t>
        </is>
      </c>
      <c r="D362" s="3" t="n">
        <v>10900</v>
      </c>
      <c r="E362" s="4" t="n">
        <v>0</v>
      </c>
      <c r="F362" t="inlineStr">
        <is>
          <t>Прямые бронирования (стойка) [Чайковский]</t>
        </is>
      </c>
      <c r="G362" s="3">
        <f>ROUND(D362/(100-E362)*100,2)</f>
        <v/>
      </c>
      <c r="H362" s="5" t="n">
        <v>46229.58333333334</v>
      </c>
      <c r="I362" t="n">
        <v>1</v>
      </c>
      <c r="J362" s="3">
        <f>G362/I362</f>
        <v/>
      </c>
      <c r="K362">
        <f>IF(J362&gt;=5100,"ставка","мин.ставка")</f>
        <v/>
      </c>
      <c r="L362" s="3">
        <f>ROUND(IF(K362="мин.ставка",I362*100,G362/102*2),2)</f>
        <v/>
      </c>
      <c r="M362" s="5" t="n">
        <v>46230.5</v>
      </c>
      <c r="N362" t="inlineStr">
        <is>
          <t>TravelLine ресепшн</t>
        </is>
      </c>
      <c r="O362" s="2" t="inlineStr">
        <is>
          <t>СТАНДАРТНЫЙ ДВУХМЕСТНЫЙ НОМЕР</t>
        </is>
      </c>
      <c r="P362" s="6" t="n"/>
      <c r="R362" t="inlineStr"/>
      <c r="S362" t="inlineStr">
        <is>
          <t>Тариф с завтраком</t>
        </is>
      </c>
      <c r="T362" t="n">
        <v>0</v>
      </c>
      <c r="U362" t="n">
        <v>10900</v>
      </c>
    </row>
    <row r="363">
      <c r="A363" t="inlineStr">
        <is>
          <t>20260826-8186-430091613</t>
        </is>
      </c>
      <c r="B363" t="n">
        <v>1</v>
      </c>
      <c r="C363" s="2" t="inlineStr">
        <is>
          <t>Денис Клевцов, Екатерина Клевцова</t>
        </is>
      </c>
      <c r="D363" s="3" t="n">
        <v>13200</v>
      </c>
      <c r="E363" s="4" t="n">
        <v>18</v>
      </c>
      <c r="F363" t="inlineStr">
        <is>
          <t>Яндекс.Путешествия [Чайковский]</t>
        </is>
      </c>
      <c r="G363" s="3">
        <f>ROUND(D363/(100-E363)*100,2)</f>
        <v/>
      </c>
      <c r="H363" s="5" t="n">
        <v>46260.58333333334</v>
      </c>
      <c r="I363" t="n">
        <v>1</v>
      </c>
      <c r="J363" s="3">
        <f>G363/I363</f>
        <v/>
      </c>
      <c r="K363">
        <f>IF(J363&gt;=5100,"ставка","мин.ставка")</f>
        <v/>
      </c>
      <c r="L363" s="3">
        <f>ROUND(IF(K363="мин.ставка",I363*100,G363/102*2),2)</f>
        <v/>
      </c>
      <c r="M363" s="5" t="n">
        <v>46261.5</v>
      </c>
      <c r="N363" t="inlineStr">
        <is>
          <t>TravelLine YAX</t>
        </is>
      </c>
      <c r="O363" s="2" t="inlineStr">
        <is>
          <t>ПОЛУЛЮКС</t>
        </is>
      </c>
      <c r="P363" s="6" t="n"/>
      <c r="R363" t="inlineStr"/>
      <c r="S363" t="inlineStr">
        <is>
          <t>Тариф с завтраком</t>
        </is>
      </c>
      <c r="T363" t="n">
        <v>0</v>
      </c>
      <c r="U363" t="n">
        <v>13200</v>
      </c>
    </row>
    <row r="364">
      <c r="A364" t="inlineStr">
        <is>
          <t>20260720-8186-450692954</t>
        </is>
      </c>
      <c r="B364" t="n">
        <v>1</v>
      </c>
      <c r="C364" s="2" t="inlineStr">
        <is>
          <t>ДЕНИС ЛАЗУРЕНКО</t>
        </is>
      </c>
      <c r="D364" s="3" t="n">
        <v>11390</v>
      </c>
      <c r="E364" s="4" t="n">
        <v>15</v>
      </c>
      <c r="F364" t="inlineStr">
        <is>
          <t>ООО "БРОНИРОВАНИЕ ГОСТИНИЦ" (OSTROVOK) [Чайковский]</t>
        </is>
      </c>
      <c r="G364" s="3">
        <f>ROUND(D364/(100-E364)*100,2)</f>
        <v/>
      </c>
      <c r="H364" s="5" t="n">
        <v>46223.58333333334</v>
      </c>
      <c r="I364" t="n">
        <v>1</v>
      </c>
      <c r="J364" s="3">
        <f>G364/I364</f>
        <v/>
      </c>
      <c r="K364">
        <f>IF(J364&gt;=5100,"ставка","мин.ставка")</f>
        <v/>
      </c>
      <c r="L364" s="3">
        <f>ROUND(IF(K364="мин.ставка",I364*100,G364/102*2),2)</f>
        <v/>
      </c>
      <c r="M364" s="5" t="n">
        <v>46224.5</v>
      </c>
      <c r="N364" t="inlineStr">
        <is>
          <t>TravelLine OTK</t>
        </is>
      </c>
      <c r="O364" s="2" t="inlineStr">
        <is>
          <t>УЛУЧШЕННЫЙ ДВУХМЕСТНЫЙ НОМЕР</t>
        </is>
      </c>
      <c r="P364" s="6" t="n"/>
      <c r="R364" t="inlineStr"/>
      <c r="S364" t="inlineStr">
        <is>
          <t>Тариф с завтраком</t>
        </is>
      </c>
      <c r="T364" t="n">
        <v>0</v>
      </c>
      <c r="U364" t="n">
        <v>11390</v>
      </c>
    </row>
    <row r="365">
      <c r="A365" t="inlineStr">
        <is>
          <t>20260711-8186-410900231</t>
        </is>
      </c>
      <c r="B365" t="n">
        <v>1</v>
      </c>
      <c r="C365" s="2" t="inlineStr">
        <is>
          <t>Денис НИКИТИН, Наталья Никитина, Георгий Никитин</t>
        </is>
      </c>
      <c r="D365" s="3" t="n">
        <v>17250</v>
      </c>
      <c r="E365" s="4" t="n">
        <v>0</v>
      </c>
      <c r="F365" t="inlineStr">
        <is>
          <t>Прямые бронирования (стойка) [Чайковский]</t>
        </is>
      </c>
      <c r="G365" s="3">
        <f>ROUND(D365/(100-E365)*100,2)</f>
        <v/>
      </c>
      <c r="H365" s="5" t="n">
        <v>46214.58333333334</v>
      </c>
      <c r="I365" t="n">
        <v>1</v>
      </c>
      <c r="J365" s="3">
        <f>G365/I365</f>
        <v/>
      </c>
      <c r="K365">
        <f>IF(J365&gt;=5100,"ставка","мин.ставка")</f>
        <v/>
      </c>
      <c r="L365" s="3">
        <f>ROUND(IF(K365="мин.ставка",I365*100,G365/102*2),2)</f>
        <v/>
      </c>
      <c r="M365" s="5" t="n">
        <v>46215.5</v>
      </c>
      <c r="N365" t="inlineStr">
        <is>
          <t>TravelLine ресепшн</t>
        </is>
      </c>
      <c r="O365" s="2" t="inlineStr">
        <is>
          <t>семейный номер категории "стандарт"</t>
        </is>
      </c>
      <c r="P365" s="6" t="n"/>
      <c r="R365" t="inlineStr"/>
      <c r="S365" t="inlineStr">
        <is>
          <t>Тариф с завтраком</t>
        </is>
      </c>
      <c r="T365" t="n">
        <v>0</v>
      </c>
      <c r="U365" t="n">
        <v>17250</v>
      </c>
    </row>
    <row r="366">
      <c r="A366" t="inlineStr">
        <is>
          <t>20260901-8186-455767839</t>
        </is>
      </c>
      <c r="B366" t="n">
        <v>1</v>
      </c>
      <c r="C366" s="2" t="inlineStr">
        <is>
          <t>Денис Петров</t>
        </is>
      </c>
      <c r="D366" s="3" t="n">
        <v>27240</v>
      </c>
      <c r="E366" s="4" t="n">
        <v>20</v>
      </c>
      <c r="F366" t="inlineStr">
        <is>
          <t>ООО "КОМПАНИЯ БРОНЕВИК" [Чайковский]</t>
        </is>
      </c>
      <c r="G366" s="3">
        <f>ROUND(D366/(100-E366)*100,2)</f>
        <v/>
      </c>
      <c r="H366" s="5" t="n">
        <v>46266.58333333334</v>
      </c>
      <c r="I366" t="n">
        <v>3</v>
      </c>
      <c r="J366" s="3">
        <f>G366/I366</f>
        <v/>
      </c>
      <c r="K366">
        <f>IF(J366&gt;=5100,"ставка","мин.ставка")</f>
        <v/>
      </c>
      <c r="L366" s="3">
        <f>ROUND(IF(K366="мин.ставка",I366*100,G366/102*2),2)</f>
        <v/>
      </c>
      <c r="M366" s="5" t="n">
        <v>46269.875</v>
      </c>
      <c r="N366" t="inlineStr">
        <is>
          <t>TravelLine BR2</t>
        </is>
      </c>
      <c r="O366" s="2" t="inlineStr">
        <is>
          <t>СТАНДАРТНЫЙ ДВУХМЕСТНЫЙ НОМЕР</t>
        </is>
      </c>
      <c r="P366" s="6" t="n"/>
      <c r="R366" t="inlineStr"/>
      <c r="S366" t="inlineStr">
        <is>
          <t>Тариф с завтраком</t>
        </is>
      </c>
      <c r="T366" t="n">
        <v>9080</v>
      </c>
      <c r="U366" t="n">
        <v>36320</v>
      </c>
    </row>
    <row r="367">
      <c r="A367" t="inlineStr">
        <is>
          <t>20260810-8186-453530368</t>
        </is>
      </c>
      <c r="B367" t="n">
        <v>1</v>
      </c>
      <c r="C367" s="2" t="inlineStr">
        <is>
          <t>Денис Рыбин</t>
        </is>
      </c>
      <c r="D367" s="3" t="n">
        <v>6314</v>
      </c>
      <c r="E367" s="4" t="n">
        <v>18</v>
      </c>
      <c r="F367" t="inlineStr">
        <is>
          <t>ООО "ТРИВИО СЕРВИС" [Чайковский]</t>
        </is>
      </c>
      <c r="G367" s="3">
        <f>ROUND(D367/(100-E367)*100,2)</f>
        <v/>
      </c>
      <c r="H367" s="5" t="n">
        <v>46245.58333333334</v>
      </c>
      <c r="I367" t="n">
        <v>1</v>
      </c>
      <c r="J367" s="3">
        <f>G367/I367</f>
        <v/>
      </c>
      <c r="K367">
        <f>IF(J367&gt;=5100,"ставка","мин.ставка")</f>
        <v/>
      </c>
      <c r="L367" s="3">
        <f>ROUND(IF(K367="мин.ставка",I367*100,G367/102*2),2)</f>
        <v/>
      </c>
      <c r="M367" s="5" t="n">
        <v>46246.5</v>
      </c>
      <c r="N367" t="inlineStr">
        <is>
          <t>TravelLine TIO</t>
        </is>
      </c>
      <c r="O367" s="2" t="inlineStr">
        <is>
          <t>СТАНДАРТНЫЙ ОДНОМЕСТНЫЙ НОМЕР</t>
        </is>
      </c>
      <c r="P367" s="6" t="n"/>
      <c r="R367" t="inlineStr"/>
      <c r="S367" t="inlineStr">
        <is>
          <t>Тариф с завтраком</t>
        </is>
      </c>
      <c r="T367" t="n">
        <v>0</v>
      </c>
      <c r="U367" t="n">
        <v>6314</v>
      </c>
    </row>
    <row r="368">
      <c r="A368" t="inlineStr">
        <is>
          <t>20260708-8186-448169391</t>
        </is>
      </c>
      <c r="B368" t="n">
        <v>1</v>
      </c>
      <c r="C368" s="2" t="inlineStr">
        <is>
          <t>Денис Янке, Ксения Гнатишина</t>
        </is>
      </c>
      <c r="D368" s="3" t="n">
        <v>13695</v>
      </c>
      <c r="E368" s="4" t="n">
        <v>17</v>
      </c>
      <c r="F368" t="inlineStr">
        <is>
          <t>ООО «Интернет Трэвел» (OZON) [Чайковский]</t>
        </is>
      </c>
      <c r="G368" s="3">
        <f>ROUND(D368/(100-E368)*100,2)</f>
        <v/>
      </c>
      <c r="H368" s="5" t="n">
        <v>46211.58333333334</v>
      </c>
      <c r="I368" t="n">
        <v>1</v>
      </c>
      <c r="J368" s="3">
        <f>G368/I368</f>
        <v/>
      </c>
      <c r="K368">
        <f>IF(J368&gt;=5100,"ставка","мин.ставка")</f>
        <v/>
      </c>
      <c r="L368" s="3">
        <f>ROUND(IF(K368="мин.ставка",I368*100,G368/102*2),2)</f>
        <v/>
      </c>
      <c r="M368" s="5" t="n">
        <v>46212.5</v>
      </c>
      <c r="N368" t="inlineStr">
        <is>
          <t>TravelLine OZ2</t>
        </is>
      </c>
      <c r="O368" s="2" t="inlineStr">
        <is>
          <t>ПОЛУЛЮКС</t>
        </is>
      </c>
      <c r="P368" s="6" t="n"/>
      <c r="R368" t="inlineStr"/>
      <c r="S368" t="inlineStr">
        <is>
          <t>Тариф с завтраком</t>
        </is>
      </c>
      <c r="T368" t="n">
        <v>0</v>
      </c>
      <c r="U368" t="n">
        <v>13695</v>
      </c>
    </row>
    <row r="369">
      <c r="A369" t="inlineStr">
        <is>
          <t>20260810-8186-438161193</t>
        </is>
      </c>
      <c r="B369" t="n">
        <v>1</v>
      </c>
      <c r="C369" s="2" t="inlineStr">
        <is>
          <t>Диляра Газизова, Ралина Газизова</t>
        </is>
      </c>
      <c r="D369" s="3" t="n">
        <v>42075</v>
      </c>
      <c r="E369" s="4" t="n">
        <v>0</v>
      </c>
      <c r="F369" t="inlineStr">
        <is>
          <t>ООО «ХОМЛИН ЛЭНД» (ПЕГАС) [Чайковский]</t>
        </is>
      </c>
      <c r="G369" s="3">
        <f>ROUND(D369/(100-E369)*100,2)</f>
        <v/>
      </c>
      <c r="H369" s="5" t="n">
        <v>46244.58333333334</v>
      </c>
      <c r="I369" t="n">
        <v>5</v>
      </c>
      <c r="J369" s="3">
        <f>G369/I369</f>
        <v/>
      </c>
      <c r="K369">
        <f>IF(J369&gt;=5100,"ставка","мин.ставка")</f>
        <v/>
      </c>
      <c r="L369" s="3">
        <f>ROUND(IF(K369="мин.ставка",I369*100,G369/102*2),2)</f>
        <v/>
      </c>
      <c r="M369" s="5" t="n">
        <v>46249.5</v>
      </c>
      <c r="N369" t="inlineStr">
        <is>
          <t>TravelLine PGS</t>
        </is>
      </c>
      <c r="O369" s="2" t="inlineStr">
        <is>
          <t>СТАНДАРТНЫЙ ДВУХМЕСТНЫЙ НОМЕР (МАНСАРДА)</t>
        </is>
      </c>
      <c r="P369" s="6" t="n"/>
      <c r="R369" t="inlineStr"/>
      <c r="S369" t="inlineStr">
        <is>
          <t>Тариф с завтраком</t>
        </is>
      </c>
      <c r="T369" t="n">
        <v>0</v>
      </c>
      <c r="U369" t="n">
        <v>42075</v>
      </c>
    </row>
    <row r="370">
      <c r="A370" t="inlineStr">
        <is>
          <t>20260720-8186-451489596</t>
        </is>
      </c>
      <c r="B370" t="n">
        <v>1</v>
      </c>
      <c r="C370" s="2" t="inlineStr">
        <is>
          <t>Динара Гарипова, Наталья Зубкова</t>
        </is>
      </c>
      <c r="D370" s="3" t="n">
        <v>10680</v>
      </c>
      <c r="E370" s="4" t="n">
        <v>18</v>
      </c>
      <c r="F370" t="inlineStr">
        <is>
          <t>Яндекс.Путешествия [Чайковский]</t>
        </is>
      </c>
      <c r="G370" s="3">
        <f>ROUND(D370/(100-E370)*100,2)</f>
        <v/>
      </c>
      <c r="H370" s="5" t="n">
        <v>46223.58333333334</v>
      </c>
      <c r="I370" t="n">
        <v>1</v>
      </c>
      <c r="J370" s="3">
        <f>G370/I370</f>
        <v/>
      </c>
      <c r="K370">
        <f>IF(J370&gt;=5100,"ставка","мин.ставка")</f>
        <v/>
      </c>
      <c r="L370" s="3">
        <f>ROUND(IF(K370="мин.ставка",I370*100,G370/102*2),2)</f>
        <v/>
      </c>
      <c r="M370" s="5" t="n">
        <v>46224.5</v>
      </c>
      <c r="N370" t="inlineStr">
        <is>
          <t>TravelLine YAX</t>
        </is>
      </c>
      <c r="O370" s="2" t="inlineStr">
        <is>
          <t>СТАНДАРТНЫЙ ДВУХМЕСТНЫЙ НОМЕР</t>
        </is>
      </c>
      <c r="P370" s="6" t="n"/>
      <c r="R370" t="inlineStr"/>
      <c r="S370" t="inlineStr">
        <is>
          <t>Тариф с завтраком</t>
        </is>
      </c>
      <c r="T370" t="n">
        <v>0</v>
      </c>
      <c r="U370" t="n">
        <v>10680</v>
      </c>
    </row>
    <row r="371">
      <c r="A371" t="inlineStr">
        <is>
          <t>20260808-8186-457026340</t>
        </is>
      </c>
      <c r="B371" t="n">
        <v>1</v>
      </c>
      <c r="C371" s="2" t="inlineStr">
        <is>
          <t>Дмитрий Агеев</t>
        </is>
      </c>
      <c r="D371" s="3" t="n">
        <v>13350</v>
      </c>
      <c r="E371" s="4" t="n">
        <v>0</v>
      </c>
      <c r="F371" t="inlineStr">
        <is>
          <t>Прямые бронирования (стойка) [Чайковский]</t>
        </is>
      </c>
      <c r="G371" s="3">
        <f>ROUND(D371/(100-E371)*100,2)</f>
        <v/>
      </c>
      <c r="H371" s="5" t="n">
        <v>46242.58333333334</v>
      </c>
      <c r="I371" t="n">
        <v>1</v>
      </c>
      <c r="J371" s="3">
        <f>G371/I371</f>
        <v/>
      </c>
      <c r="K371">
        <f>IF(J371&gt;=5100,"ставка","мин.ставка")</f>
        <v/>
      </c>
      <c r="L371" s="3">
        <f>ROUND(IF(K371="мин.ставка",I371*100,G371/102*2),2)</f>
        <v/>
      </c>
      <c r="M371" s="5" t="n">
        <v>46243.5</v>
      </c>
      <c r="N371" t="inlineStr">
        <is>
          <t>TravelLine ресепшн</t>
        </is>
      </c>
      <c r="O371" s="2" t="inlineStr">
        <is>
          <t>СТАНДАРТНЫЙ ДВУХМЕСТНЫЙ НОМЕР</t>
        </is>
      </c>
      <c r="P371" s="6" t="n"/>
      <c r="R371" t="inlineStr"/>
      <c r="S371" t="inlineStr">
        <is>
          <t>Тариф с завтраком</t>
        </is>
      </c>
      <c r="T371" t="n">
        <v>0</v>
      </c>
      <c r="U371" t="n">
        <v>13350</v>
      </c>
    </row>
    <row r="372">
      <c r="A372" t="inlineStr">
        <is>
          <t>20260715-8186-450097245</t>
        </is>
      </c>
      <c r="B372" t="n">
        <v>1</v>
      </c>
      <c r="C372" s="2" t="inlineStr">
        <is>
          <t>ДМИТРИЙ АКСЕНОВ</t>
        </is>
      </c>
      <c r="D372" s="3" t="n">
        <v>28440</v>
      </c>
      <c r="E372" s="4" t="n">
        <v>0</v>
      </c>
      <c r="F372" t="inlineStr">
        <is>
          <t>Прямые бронирования (стойка) [Чайковский]</t>
        </is>
      </c>
      <c r="G372" s="3">
        <f>ROUND(D372/(100-E372)*100,2)</f>
        <v/>
      </c>
      <c r="H372" s="5" t="n">
        <v>46218.58333333334</v>
      </c>
      <c r="I372" t="n">
        <v>2</v>
      </c>
      <c r="J372" s="3">
        <f>G372/I372</f>
        <v/>
      </c>
      <c r="K372">
        <f>IF(J372&gt;=5100,"ставка","мин.ставка")</f>
        <v/>
      </c>
      <c r="L372" s="3">
        <f>ROUND(IF(K372="мин.ставка",I372*100,G372/102*2),2)</f>
        <v/>
      </c>
      <c r="M372" s="5" t="n">
        <v>46220.5</v>
      </c>
      <c r="N372" t="inlineStr">
        <is>
          <t>TravelLine ресепшн</t>
        </is>
      </c>
      <c r="O372" s="2" t="inlineStr">
        <is>
          <t>ЛЮКС ВТОРОЙ КОРПУС</t>
        </is>
      </c>
      <c r="P372" s="6" t="n"/>
      <c r="R372" t="inlineStr"/>
      <c r="S372" t="inlineStr">
        <is>
          <t>Тариф с завтраком</t>
        </is>
      </c>
      <c r="T372" t="n">
        <v>0</v>
      </c>
      <c r="U372" t="n">
        <v>28440</v>
      </c>
    </row>
    <row r="373">
      <c r="A373" t="inlineStr">
        <is>
          <t>20260920-8186-467291466</t>
        </is>
      </c>
      <c r="B373" t="n">
        <v>1</v>
      </c>
      <c r="C373" s="2" t="inlineStr">
        <is>
          <t>Дмитрий Алешков, Кристина аЛЕШКОВА</t>
        </is>
      </c>
      <c r="D373" s="3" t="n">
        <v>9900</v>
      </c>
      <c r="E373" s="4" t="n">
        <v>0</v>
      </c>
      <c r="F373" t="inlineStr">
        <is>
          <t>Прямые бронирования (стойка) [Чайковский]</t>
        </is>
      </c>
      <c r="G373" s="3">
        <f>ROUND(D373/(100-E373)*100,2)</f>
        <v/>
      </c>
      <c r="H373" s="5" t="n">
        <v>46285.58333333334</v>
      </c>
      <c r="I373" t="n">
        <v>1</v>
      </c>
      <c r="J373" s="3">
        <f>G373/I373</f>
        <v/>
      </c>
      <c r="K373">
        <f>IF(J373&gt;=5100,"ставка","мин.ставка")</f>
        <v/>
      </c>
      <c r="L373" s="3">
        <f>ROUND(IF(K373="мин.ставка",I373*100,G373/102*2),2)</f>
        <v/>
      </c>
      <c r="M373" s="5" t="n">
        <v>46286.5</v>
      </c>
      <c r="N373" t="inlineStr">
        <is>
          <t>TravelLine ресепшн</t>
        </is>
      </c>
      <c r="O373" s="2" t="inlineStr">
        <is>
          <t>СТАНДАРТНЫЙ ДВУХМЕСТНЫЙ НОМЕР (МАНСАРДА)</t>
        </is>
      </c>
      <c r="P373" s="6" t="n"/>
      <c r="R373" t="inlineStr"/>
      <c r="S373" t="inlineStr">
        <is>
          <t>Тариф с завтраком</t>
        </is>
      </c>
      <c r="T373" t="n">
        <v>0</v>
      </c>
      <c r="U373" t="n">
        <v>9900</v>
      </c>
    </row>
    <row r="374">
      <c r="A374" t="inlineStr">
        <is>
          <t>20260713-8186-449918669</t>
        </is>
      </c>
      <c r="B374" t="n">
        <v>1</v>
      </c>
      <c r="C374" s="2" t="inlineStr">
        <is>
          <t>Дмитрий Барменков</t>
        </is>
      </c>
      <c r="D374" s="3" t="n">
        <v>9647.5</v>
      </c>
      <c r="E374" s="4" t="n">
        <v>15</v>
      </c>
      <c r="F374" t="inlineStr">
        <is>
          <t>ООО "БРОНИРОВАНИЕ ГОСТИНИЦ" (OSTROVOK) [Чайковский]</t>
        </is>
      </c>
      <c r="G374" s="3">
        <f>ROUND(D374/(100-E374)*100,2)</f>
        <v/>
      </c>
      <c r="H374" s="5" t="n">
        <v>46216.58333333334</v>
      </c>
      <c r="I374" t="n">
        <v>1</v>
      </c>
      <c r="J374" s="3">
        <f>G374/I374</f>
        <v/>
      </c>
      <c r="K374">
        <f>IF(J374&gt;=5100,"ставка","мин.ставка")</f>
        <v/>
      </c>
      <c r="L374" s="3">
        <f>ROUND(IF(K374="мин.ставка",I374*100,G374/102*2),2)</f>
        <v/>
      </c>
      <c r="M374" s="5" t="n">
        <v>46217.5</v>
      </c>
      <c r="N374" t="inlineStr">
        <is>
          <t>TravelLine OTK</t>
        </is>
      </c>
      <c r="O374" s="2" t="inlineStr">
        <is>
          <t>СТАНДАРТНЫЙ ДВУХМЕСТНЫЙ НОМЕР</t>
        </is>
      </c>
      <c r="P374" s="6" t="n"/>
      <c r="R374" t="inlineStr"/>
      <c r="S374" t="inlineStr">
        <is>
          <t>Тариф с завтраком</t>
        </is>
      </c>
      <c r="T374" t="n">
        <v>0</v>
      </c>
      <c r="U374" t="n">
        <v>9647.5</v>
      </c>
    </row>
    <row r="375">
      <c r="A375" t="inlineStr">
        <is>
          <t>20260722-8186-443640267</t>
        </is>
      </c>
      <c r="B375" t="n">
        <v>1</v>
      </c>
      <c r="C375" s="2" t="inlineStr">
        <is>
          <t>Дмитрий Батюшенков</t>
        </is>
      </c>
      <c r="D375" s="3" t="n">
        <v>18160</v>
      </c>
      <c r="E375" s="4" t="n">
        <v>20</v>
      </c>
      <c r="F375" t="inlineStr">
        <is>
          <t>ООО "ХБ-ПРО" [Чайковский]</t>
        </is>
      </c>
      <c r="G375" s="3">
        <f>ROUND(D375/(100-E375)*100,2)</f>
        <v/>
      </c>
      <c r="H375" s="5" t="n">
        <v>46225.58333333334</v>
      </c>
      <c r="I375" t="n">
        <v>2</v>
      </c>
      <c r="J375" s="3">
        <f>G375/I375</f>
        <v/>
      </c>
      <c r="K375">
        <f>IF(J375&gt;=5100,"ставка","мин.ставка")</f>
        <v/>
      </c>
      <c r="L375" s="3">
        <f>ROUND(IF(K375="мин.ставка",I375*100,G375/102*2),2)</f>
        <v/>
      </c>
      <c r="M375" s="5" t="n">
        <v>46227.5</v>
      </c>
      <c r="N375" t="inlineStr">
        <is>
          <t>TravelLine UTS</t>
        </is>
      </c>
      <c r="O375" s="2" t="inlineStr">
        <is>
          <t>СТАНДАРТНЫЙ ДВУХМЕСТНЫЙ НОМЕР</t>
        </is>
      </c>
      <c r="P375" s="6" t="n"/>
      <c r="R375" t="inlineStr"/>
      <c r="S375" t="inlineStr">
        <is>
          <t>Тариф с завтраком</t>
        </is>
      </c>
      <c r="T375" t="n">
        <v>0</v>
      </c>
      <c r="U375" t="n">
        <v>18160</v>
      </c>
    </row>
    <row r="376">
      <c r="A376" t="inlineStr">
        <is>
          <t>20260706-8186-447671235</t>
        </is>
      </c>
      <c r="B376" t="n">
        <v>1</v>
      </c>
      <c r="C376" s="2" t="inlineStr">
        <is>
          <t>Дмитрий Ермолин, Эллина Ермолина</t>
        </is>
      </c>
      <c r="D376" s="3" t="n">
        <v>13346.75</v>
      </c>
      <c r="E376" s="4" t="n">
        <v>4</v>
      </c>
      <c r="F376" t="inlineStr">
        <is>
          <t>TravelLine Booking Engine [Чайковский]</t>
        </is>
      </c>
      <c r="G376" s="3">
        <f>ROUND(D376/(100-E376)*100,2)</f>
        <v/>
      </c>
      <c r="H376" s="5" t="n">
        <v>46209.58333333334</v>
      </c>
      <c r="I376" t="n">
        <v>1</v>
      </c>
      <c r="J376" s="3">
        <f>G376/I376</f>
        <v/>
      </c>
      <c r="K376">
        <f>IF(J376&gt;=5100,"ставка","мин.ставка")</f>
        <v/>
      </c>
      <c r="L376" s="3">
        <f>ROUND(IF(K376="мин.ставка",I376*100,G376/102*2),2)</f>
        <v/>
      </c>
      <c r="M376" s="5" t="n">
        <v>46210.5</v>
      </c>
      <c r="N376" t="inlineStr">
        <is>
          <t>TravelLine сайт</t>
        </is>
      </c>
      <c r="O376" s="2" t="inlineStr">
        <is>
          <t>ПОЛУЛЮКС</t>
        </is>
      </c>
      <c r="P376" s="6" t="n"/>
      <c r="R376" t="inlineStr"/>
      <c r="S376" t="inlineStr">
        <is>
          <t>Тариф с завтраком</t>
        </is>
      </c>
      <c r="T376" t="n">
        <v>0</v>
      </c>
      <c r="U376" t="n">
        <v>13346.75</v>
      </c>
    </row>
    <row r="377">
      <c r="A377" t="inlineStr">
        <is>
          <t>20260723-8186-449405536</t>
        </is>
      </c>
      <c r="B377" t="n">
        <v>1</v>
      </c>
      <c r="C377" s="2" t="inlineStr">
        <is>
          <t>Дмитрий Козлов</t>
        </is>
      </c>
      <c r="D377" s="3" t="n">
        <v>20430</v>
      </c>
      <c r="E377" s="4" t="n">
        <v>0</v>
      </c>
      <c r="F377" t="inlineStr">
        <is>
          <t>Прямые бронирования (стойка) [Чайковский]</t>
        </is>
      </c>
      <c r="G377" s="3">
        <f>ROUND(D377/(100-E377)*100,2)</f>
        <v/>
      </c>
      <c r="H377" s="5" t="n">
        <v>46227.58333333334</v>
      </c>
      <c r="I377" t="n">
        <v>2</v>
      </c>
      <c r="J377" s="3">
        <f>G377/I377</f>
        <v/>
      </c>
      <c r="K377">
        <f>IF(J377&gt;=5100,"ставка","мин.ставка")</f>
        <v/>
      </c>
      <c r="L377" s="3">
        <f>ROUND(IF(K377="мин.ставка",I377*100,G377/102*2),2)</f>
        <v/>
      </c>
      <c r="M377" s="5" t="n">
        <v>46229.5</v>
      </c>
      <c r="N377" t="inlineStr">
        <is>
          <t>TravelLine ресепшн</t>
        </is>
      </c>
      <c r="O377" s="2" t="inlineStr">
        <is>
          <t>СТАНДАРТНЫЙ ДВУХМЕСТНЫЙ НОМЕР</t>
        </is>
      </c>
      <c r="P377" s="6" t="n"/>
      <c r="R377" t="inlineStr"/>
      <c r="S377" t="inlineStr">
        <is>
          <t>Тариф с завтраком</t>
        </is>
      </c>
      <c r="T377" t="n">
        <v>0</v>
      </c>
      <c r="U377" t="n">
        <v>20430</v>
      </c>
    </row>
    <row r="378">
      <c r="A378" t="inlineStr">
        <is>
          <t>20260919-8186-465134993</t>
        </is>
      </c>
      <c r="B378" t="n">
        <v>1</v>
      </c>
      <c r="C378" s="2" t="inlineStr">
        <is>
          <t>ДМИТРИЙ Козлов</t>
        </is>
      </c>
      <c r="D378" s="3" t="n">
        <v>11850</v>
      </c>
      <c r="E378" s="4" t="n">
        <v>18</v>
      </c>
      <c r="F378" t="inlineStr">
        <is>
          <t>Яндекс.Путешествия [Чайковский]</t>
        </is>
      </c>
      <c r="G378" s="3">
        <f>ROUND(D378/(100-E378)*100,2)</f>
        <v/>
      </c>
      <c r="H378" s="5" t="n">
        <v>46284.58333333334</v>
      </c>
      <c r="I378" t="n">
        <v>2</v>
      </c>
      <c r="J378" s="3">
        <f>G378/I378</f>
        <v/>
      </c>
      <c r="K378">
        <f>IF(J378&gt;=5100,"ставка","мин.ставка")</f>
        <v/>
      </c>
      <c r="L378" s="3">
        <f>ROUND(IF(K378="мин.ставка",I378*100,G378/102*2),2)</f>
        <v/>
      </c>
      <c r="M378" s="5" t="n">
        <v>46286.5</v>
      </c>
      <c r="N378" t="inlineStr">
        <is>
          <t>TravelLine YAX</t>
        </is>
      </c>
      <c r="O378" s="2" t="inlineStr">
        <is>
          <t>СТАНДАРТНЫЙ ДВУХМЕСТНЫЙ НОМЕР (МАНСАРДА)</t>
        </is>
      </c>
      <c r="P378" s="6" t="n"/>
      <c r="R378" t="inlineStr"/>
      <c r="S378" t="inlineStr">
        <is>
          <t>Тариф с завтраком</t>
        </is>
      </c>
      <c r="T378" t="n">
        <v>0</v>
      </c>
      <c r="U378" t="n">
        <v>11850</v>
      </c>
    </row>
    <row r="379">
      <c r="A379" t="inlineStr">
        <is>
          <t>20260830-8186-441259447</t>
        </is>
      </c>
      <c r="B379" t="n">
        <v>1</v>
      </c>
      <c r="C379" s="2" t="inlineStr">
        <is>
          <t>Дмитрий Куковенко, Оксана Патрова</t>
        </is>
      </c>
      <c r="D379" s="3" t="n">
        <v>16434</v>
      </c>
      <c r="E379" s="4" t="n">
        <v>17</v>
      </c>
      <c r="F379" t="inlineStr">
        <is>
          <t>ООО «Интернет Трэвел» (OZON) [Чайковский]</t>
        </is>
      </c>
      <c r="G379" s="3">
        <f>ROUND(D379/(100-E379)*100,2)</f>
        <v/>
      </c>
      <c r="H379" s="5" t="n">
        <v>46264.58333333334</v>
      </c>
      <c r="I379" t="n">
        <v>2</v>
      </c>
      <c r="J379" s="3">
        <f>G379/I379</f>
        <v/>
      </c>
      <c r="K379">
        <f>IF(J379&gt;=5100,"ставка","мин.ставка")</f>
        <v/>
      </c>
      <c r="L379" s="3">
        <f>ROUND(IF(K379="мин.ставка",I379*100,G379/102*2),2)</f>
        <v/>
      </c>
      <c r="M379" s="5" t="n">
        <v>46266.5</v>
      </c>
      <c r="N379" t="inlineStr">
        <is>
          <t>TravelLine OZ2</t>
        </is>
      </c>
      <c r="O379" s="2" t="inlineStr">
        <is>
          <t>СТАНДАРТНЫЙ ДВУХМЕСТНЫЙ НОМЕР</t>
        </is>
      </c>
      <c r="P379" s="6" t="n"/>
      <c r="R379" t="inlineStr"/>
      <c r="S379" t="inlineStr">
        <is>
          <t>Тариф с завтраком</t>
        </is>
      </c>
      <c r="T379" t="n">
        <v>0</v>
      </c>
      <c r="U379" t="n">
        <v>16434</v>
      </c>
    </row>
    <row r="380">
      <c r="A380" t="inlineStr">
        <is>
          <t>20260801-8186-441245788</t>
        </is>
      </c>
      <c r="B380" t="n">
        <v>1</v>
      </c>
      <c r="C380" s="2" t="inlineStr">
        <is>
          <t>Дмитрий Кусков</t>
        </is>
      </c>
      <c r="D380" s="3" t="n">
        <v>7461.3</v>
      </c>
      <c r="E380" s="4" t="n">
        <v>4</v>
      </c>
      <c r="F380" t="inlineStr">
        <is>
          <t>TravelLine Booking Engine [Чайковский]</t>
        </is>
      </c>
      <c r="G380" s="3">
        <f>ROUND(D380/(100-E380)*100,2)</f>
        <v/>
      </c>
      <c r="H380" s="5" t="n">
        <v>46235.58333333334</v>
      </c>
      <c r="I380" t="n">
        <v>1</v>
      </c>
      <c r="J380" s="3">
        <f>G380/I380</f>
        <v/>
      </c>
      <c r="K380">
        <f>IF(J380&gt;=5100,"ставка","мин.ставка")</f>
        <v/>
      </c>
      <c r="L380" s="3">
        <f>ROUND(IF(K380="мин.ставка",I380*100,G380/102*2),2)</f>
        <v/>
      </c>
      <c r="M380" s="5" t="n">
        <v>46236.5</v>
      </c>
      <c r="N380" t="inlineStr">
        <is>
          <t>TravelLine сайт</t>
        </is>
      </c>
      <c r="O380" s="2" t="inlineStr">
        <is>
          <t>СТАНДАРТНЫЙ ОДНОМЕСТНЫЙ НОМЕР</t>
        </is>
      </c>
      <c r="P380" s="6" t="n"/>
      <c r="R380" t="inlineStr"/>
      <c r="S380" t="inlineStr">
        <is>
          <t>Тариф с завтраком</t>
        </is>
      </c>
      <c r="T380" t="n">
        <v>0</v>
      </c>
      <c r="U380" t="n">
        <v>7461.3</v>
      </c>
    </row>
    <row r="381">
      <c r="A381" t="inlineStr">
        <is>
          <t>20260925-8186-467835315</t>
        </is>
      </c>
      <c r="B381" t="n">
        <v>1</v>
      </c>
      <c r="C381" s="2" t="inlineStr">
        <is>
          <t>Дмитрий ЛЕБЕДЕВ, Анастасия Сирык</t>
        </is>
      </c>
      <c r="D381" s="3" t="n">
        <v>33000</v>
      </c>
      <c r="E381" s="4" t="n">
        <v>0</v>
      </c>
      <c r="F381" t="inlineStr">
        <is>
          <t>Прямые бронирования (стойка) [Чайковский]</t>
        </is>
      </c>
      <c r="G381" s="3">
        <f>ROUND(D381/(100-E381)*100,2)</f>
        <v/>
      </c>
      <c r="H381" s="5" t="n">
        <v>46290.64583333334</v>
      </c>
      <c r="I381" t="n">
        <v>2</v>
      </c>
      <c r="J381" s="3">
        <f>G381/I381</f>
        <v/>
      </c>
      <c r="K381">
        <f>IF(J381&gt;=5100,"ставка","мин.ставка")</f>
        <v/>
      </c>
      <c r="L381" s="3">
        <f>ROUND(IF(K381="мин.ставка",I381*100,G381/102*2),2)</f>
        <v/>
      </c>
      <c r="M381" s="5" t="n">
        <v>46292.5</v>
      </c>
      <c r="N381" t="inlineStr">
        <is>
          <t>TravelLine ресепшн</t>
        </is>
      </c>
      <c r="O381" s="2" t="inlineStr">
        <is>
          <t>ПОЛУЛЮКС</t>
        </is>
      </c>
      <c r="P381" s="6" t="n"/>
      <c r="R381" t="inlineStr"/>
      <c r="S381" t="inlineStr">
        <is>
          <t>Тариф с завтраком</t>
        </is>
      </c>
      <c r="T381" t="n">
        <v>0</v>
      </c>
      <c r="U381" t="n">
        <v>33000</v>
      </c>
    </row>
    <row r="382">
      <c r="A382" t="inlineStr">
        <is>
          <t>20260826-8186-460136123</t>
        </is>
      </c>
      <c r="B382" t="n">
        <v>1</v>
      </c>
      <c r="C382" s="2" t="inlineStr">
        <is>
          <t>Дмитрий Лемешов</t>
        </is>
      </c>
      <c r="D382" s="3" t="n">
        <v>18614</v>
      </c>
      <c r="E382" s="4" t="n">
        <v>18</v>
      </c>
      <c r="F382" t="inlineStr">
        <is>
          <t>ООО "Эй энд Эй" [Чайковский]</t>
        </is>
      </c>
      <c r="G382" s="3">
        <f>ROUND(D382/(100-E382)*100,2)</f>
        <v/>
      </c>
      <c r="H382" s="5" t="n">
        <v>46260.58333333334</v>
      </c>
      <c r="I382" t="n">
        <v>2</v>
      </c>
      <c r="J382" s="3">
        <f>G382/I382</f>
        <v/>
      </c>
      <c r="K382">
        <f>IF(J382&gt;=5100,"ставка","мин.ставка")</f>
        <v/>
      </c>
      <c r="L382" s="3">
        <f>ROUND(IF(K382="мин.ставка",I382*100,G382/102*2),2)</f>
        <v/>
      </c>
      <c r="M382" s="5" t="n">
        <v>46262.5</v>
      </c>
      <c r="N382" t="inlineStr">
        <is>
          <t>TravelLine ANA</t>
        </is>
      </c>
      <c r="O382" s="2" t="inlineStr">
        <is>
          <t>СТАНДАРТНЫЙ ДВУХМЕСТНЫЙ НОМЕР</t>
        </is>
      </c>
      <c r="P382" s="6" t="n"/>
      <c r="R382" t="inlineStr"/>
      <c r="S382" t="inlineStr">
        <is>
          <t>Тариф с завтраком</t>
        </is>
      </c>
      <c r="T382" t="n">
        <v>0</v>
      </c>
      <c r="U382" t="n">
        <v>18614</v>
      </c>
    </row>
    <row r="383">
      <c r="A383" t="inlineStr">
        <is>
          <t>20260913-8186-455450232</t>
        </is>
      </c>
      <c r="B383" t="n">
        <v>1</v>
      </c>
      <c r="C383" s="2" t="inlineStr">
        <is>
          <t>Дмитрий Липсон</t>
        </is>
      </c>
      <c r="D383" s="3" t="n">
        <v>56750</v>
      </c>
      <c r="E383" s="4" t="n">
        <v>0</v>
      </c>
      <c r="F383" t="inlineStr">
        <is>
          <t>Прямые бронирования (стойка) [Чайковский]</t>
        </is>
      </c>
      <c r="G383" s="3">
        <f>ROUND(D383/(100-E383)*100,2)</f>
        <v/>
      </c>
      <c r="H383" s="5" t="n">
        <v>46278.58333333334</v>
      </c>
      <c r="I383" t="n">
        <v>5</v>
      </c>
      <c r="J383" s="3">
        <f>G383/I383</f>
        <v/>
      </c>
      <c r="K383">
        <f>IF(J383&gt;=5100,"ставка","мин.ставка")</f>
        <v/>
      </c>
      <c r="L383" s="3">
        <f>ROUND(IF(K383="мин.ставка",I383*100,G383/102*2),2)</f>
        <v/>
      </c>
      <c r="M383" s="5" t="n">
        <v>46283.75</v>
      </c>
      <c r="N383" t="inlineStr">
        <is>
          <t>TravelLine ресепшн</t>
        </is>
      </c>
      <c r="O383" s="2" t="inlineStr">
        <is>
          <t>СТАНДАРТНЫЙ ДВУХМЕСТНЫЙ НОМЕР</t>
        </is>
      </c>
      <c r="P383" s="6" t="n"/>
      <c r="R383" t="inlineStr"/>
      <c r="S383" t="inlineStr">
        <is>
          <t>Тариф с завтраком</t>
        </is>
      </c>
      <c r="T383" t="n">
        <v>5675</v>
      </c>
      <c r="U383" t="n">
        <v>62425</v>
      </c>
    </row>
    <row r="384">
      <c r="A384" t="inlineStr">
        <is>
          <t>20260701-8186-446547107</t>
        </is>
      </c>
      <c r="B384" t="n">
        <v>1</v>
      </c>
      <c r="C384" s="2" t="inlineStr">
        <is>
          <t>ДМИТРИЙ МАЛЫШЕВ, АЛЕКСАНДРА АШАПАТОВА</t>
        </is>
      </c>
      <c r="D384" s="3" t="n">
        <v>49300</v>
      </c>
      <c r="E384" s="4" t="n">
        <v>15</v>
      </c>
      <c r="F384" t="inlineStr">
        <is>
          <t>ООО "БРОНИРОВАНИЕ ГОСТИНИЦ" (OSTROVOK) [Чайковский]</t>
        </is>
      </c>
      <c r="G384" s="3">
        <f>ROUND(D384/(100-E384)*100,2)</f>
        <v/>
      </c>
      <c r="H384" s="5" t="n">
        <v>46204.58333333334</v>
      </c>
      <c r="I384" t="n">
        <v>4</v>
      </c>
      <c r="J384" s="3">
        <f>G384/I384</f>
        <v/>
      </c>
      <c r="K384">
        <f>IF(J384&gt;=5100,"ставка","мин.ставка")</f>
        <v/>
      </c>
      <c r="L384" s="3">
        <f>ROUND(IF(K384="мин.ставка",I384*100,G384/102*2),2)</f>
        <v/>
      </c>
      <c r="M384" s="5" t="n">
        <v>46208.5</v>
      </c>
      <c r="N384" t="inlineStr">
        <is>
          <t>TravelLine OTK</t>
        </is>
      </c>
      <c r="O384" s="2" t="inlineStr">
        <is>
          <t>ЛЮКС ВТОРОЙ КОРПУС</t>
        </is>
      </c>
      <c r="P384" s="6" t="n"/>
      <c r="R384" t="inlineStr"/>
      <c r="S384" t="inlineStr">
        <is>
          <t>Основной тариф без завтрака</t>
        </is>
      </c>
      <c r="T384" t="n">
        <v>0</v>
      </c>
      <c r="U384" t="n">
        <v>49300</v>
      </c>
    </row>
    <row r="385">
      <c r="A385" t="inlineStr">
        <is>
          <t>20260706-8186-446293658</t>
        </is>
      </c>
      <c r="B385" t="n">
        <v>1</v>
      </c>
      <c r="C385" s="2" t="inlineStr">
        <is>
          <t>Дмитрий Марченко</t>
        </is>
      </c>
      <c r="D385" s="3" t="n">
        <v>30000</v>
      </c>
      <c r="E385" s="4" t="n">
        <v>0</v>
      </c>
      <c r="F385" t="inlineStr">
        <is>
          <t>Прямые бронирования (стойка) [Чайковский]</t>
        </is>
      </c>
      <c r="G385" s="3">
        <f>ROUND(D385/(100-E385)*100,2)</f>
        <v/>
      </c>
      <c r="H385" s="5" t="n">
        <v>46209.58333333334</v>
      </c>
      <c r="I385" t="n">
        <v>2</v>
      </c>
      <c r="J385" s="3">
        <f>G385/I385</f>
        <v/>
      </c>
      <c r="K385">
        <f>IF(J385&gt;=5100,"ставка","мин.ставка")</f>
        <v/>
      </c>
      <c r="L385" s="3">
        <f>ROUND(IF(K385="мин.ставка",I385*100,G385/102*2),2)</f>
        <v/>
      </c>
      <c r="M385" s="5" t="n">
        <v>46211.5</v>
      </c>
      <c r="N385" t="inlineStr">
        <is>
          <t>TravelLine ресепшн</t>
        </is>
      </c>
      <c r="O385" s="2" t="inlineStr">
        <is>
          <t>СТАНДАРТНЫЙ ДВУХМЕСТНЫЙ НОМЕР</t>
        </is>
      </c>
      <c r="P385" s="6" t="n"/>
      <c r="R385" t="inlineStr"/>
      <c r="S385" t="inlineStr">
        <is>
          <t>Тариф с завтраком</t>
        </is>
      </c>
      <c r="T385" t="n">
        <v>0</v>
      </c>
      <c r="U385" t="n">
        <v>30000</v>
      </c>
    </row>
    <row r="386">
      <c r="A386" t="inlineStr">
        <is>
          <t>20260720-8186-446146197</t>
        </is>
      </c>
      <c r="B386" t="n">
        <v>1</v>
      </c>
      <c r="C386" s="2" t="inlineStr">
        <is>
          <t>ДМИТРИЙ МЕШКОВ, НАДЕЖДА ЕВДОКИМОВА</t>
        </is>
      </c>
      <c r="D386" s="3" t="n">
        <v>21360</v>
      </c>
      <c r="E386" s="4" t="n">
        <v>20</v>
      </c>
      <c r="F386" t="inlineStr">
        <is>
          <t>ООО "КОМПАНИЯ БРОНЕВИК" [Чайковский]</t>
        </is>
      </c>
      <c r="G386" s="3">
        <f>ROUND(D386/(100-E386)*100,2)</f>
        <v/>
      </c>
      <c r="H386" s="5" t="n">
        <v>46223.58333333334</v>
      </c>
      <c r="I386" t="n">
        <v>2</v>
      </c>
      <c r="J386" s="3">
        <f>G386/I386</f>
        <v/>
      </c>
      <c r="K386">
        <f>IF(J386&gt;=5100,"ставка","мин.ставка")</f>
        <v/>
      </c>
      <c r="L386" s="3">
        <f>ROUND(IF(K386="мин.ставка",I386*100,G386/102*2),2)</f>
        <v/>
      </c>
      <c r="M386" s="5" t="n">
        <v>46225.5</v>
      </c>
      <c r="N386" t="inlineStr">
        <is>
          <t>TravelLine BR2</t>
        </is>
      </c>
      <c r="O386" s="2" t="inlineStr">
        <is>
          <t>СТАНДАРТНЫЙ ДВУХМЕСТНЫЙ НОМЕР</t>
        </is>
      </c>
      <c r="P386" s="6" t="n"/>
      <c r="R386" t="inlineStr"/>
      <c r="S386" t="inlineStr">
        <is>
          <t>Тариф с завтраком</t>
        </is>
      </c>
      <c r="T386" t="n">
        <v>0</v>
      </c>
      <c r="U386" t="n">
        <v>21360</v>
      </c>
    </row>
    <row r="387">
      <c r="A387" t="inlineStr">
        <is>
          <t>20260723-8186-449919086</t>
        </is>
      </c>
      <c r="B387" t="n">
        <v>1</v>
      </c>
      <c r="C387" s="2" t="inlineStr">
        <is>
          <t>Дмитрий Мещеряков</t>
        </is>
      </c>
      <c r="D387" s="3" t="n">
        <v>6764</v>
      </c>
      <c r="E387" s="4" t="n">
        <v>18</v>
      </c>
      <c r="F387" t="inlineStr">
        <is>
          <t>Яндекс.Путешествия [Чайковский]</t>
        </is>
      </c>
      <c r="G387" s="3">
        <f>ROUND(D387/(100-E387)*100,2)</f>
        <v/>
      </c>
      <c r="H387" s="5" t="n">
        <v>46226.58333333334</v>
      </c>
      <c r="I387" t="n">
        <v>1</v>
      </c>
      <c r="J387" s="3">
        <f>G387/I387</f>
        <v/>
      </c>
      <c r="K387">
        <f>IF(J387&gt;=5100,"ставка","мин.ставка")</f>
        <v/>
      </c>
      <c r="L387" s="3">
        <f>ROUND(IF(K387="мин.ставка",I387*100,G387/102*2),2)</f>
        <v/>
      </c>
      <c r="M387" s="5" t="n">
        <v>46227.5</v>
      </c>
      <c r="N387" t="inlineStr">
        <is>
          <t>TravelLine YAX</t>
        </is>
      </c>
      <c r="O387" s="2" t="inlineStr">
        <is>
          <t>СЕМЕЙНЫЙ НОМЕР КАТЕГОРИИ "СТАНДАРТ" ВТОРОЙ КОРПУС</t>
        </is>
      </c>
      <c r="P387" s="6" t="n"/>
      <c r="R387" t="inlineStr"/>
      <c r="S387" t="inlineStr">
        <is>
          <t>Тариф с завтраком</t>
        </is>
      </c>
      <c r="T387" t="n">
        <v>0</v>
      </c>
      <c r="U387" t="n">
        <v>6764</v>
      </c>
    </row>
    <row r="388">
      <c r="A388" t="inlineStr">
        <is>
          <t>20260907-8186-434979838</t>
        </is>
      </c>
      <c r="B388" t="n">
        <v>1</v>
      </c>
      <c r="C388" s="2" t="inlineStr">
        <is>
          <t>Дмитрий Мироненков</t>
        </is>
      </c>
      <c r="D388" s="3" t="n">
        <v>31600</v>
      </c>
      <c r="E388" s="4" t="n">
        <v>0</v>
      </c>
      <c r="F388" t="inlineStr">
        <is>
          <t>Прямые бронирования (стойка) [Чайковский]</t>
        </is>
      </c>
      <c r="G388" s="3">
        <f>ROUND(D388/(100-E388)*100,2)</f>
        <v/>
      </c>
      <c r="H388" s="5" t="n">
        <v>46272.58333333334</v>
      </c>
      <c r="I388" t="n">
        <v>4</v>
      </c>
      <c r="J388" s="3">
        <f>G388/I388</f>
        <v/>
      </c>
      <c r="K388">
        <f>IF(J388&gt;=5100,"ставка","мин.ставка")</f>
        <v/>
      </c>
      <c r="L388" s="3">
        <f>ROUND(IF(K388="мин.ставка",I388*100,G388/102*2),2)</f>
        <v/>
      </c>
      <c r="M388" s="5" t="n">
        <v>46276.5</v>
      </c>
      <c r="N388" t="inlineStr">
        <is>
          <t>TravelLine ресепшн</t>
        </is>
      </c>
      <c r="O388" s="2" t="inlineStr">
        <is>
          <t>СТАНДАРТНЫЙ ДВУХМЕСТНЫЙ НОМЕР (МАНСАРДА)</t>
        </is>
      </c>
      <c r="P388" s="6" t="n"/>
      <c r="R388" t="inlineStr"/>
      <c r="S388" t="inlineStr">
        <is>
          <t>Тариф с завтраком</t>
        </is>
      </c>
      <c r="T388" t="n">
        <v>0</v>
      </c>
      <c r="U388" t="n">
        <v>31600</v>
      </c>
    </row>
    <row r="389">
      <c r="A389" t="inlineStr">
        <is>
          <t>20260729-8186-454076275</t>
        </is>
      </c>
      <c r="B389" t="n">
        <v>1</v>
      </c>
      <c r="C389" s="2" t="inlineStr">
        <is>
          <t>Дмитрий Мольский</t>
        </is>
      </c>
      <c r="D389" s="3" t="n">
        <v>14220</v>
      </c>
      <c r="E389" s="4" t="n">
        <v>0</v>
      </c>
      <c r="F389" t="inlineStr">
        <is>
          <t>Прямые бронирования (стойка) [Чайковский]</t>
        </is>
      </c>
      <c r="G389" s="3">
        <f>ROUND(D389/(100-E389)*100,2)</f>
        <v/>
      </c>
      <c r="H389" s="5" t="n">
        <v>46232.58333333334</v>
      </c>
      <c r="I389" t="n">
        <v>1</v>
      </c>
      <c r="J389" s="3">
        <f>G389/I389</f>
        <v/>
      </c>
      <c r="K389">
        <f>IF(J389&gt;=5100,"ставка","мин.ставка")</f>
        <v/>
      </c>
      <c r="L389" s="3">
        <f>ROUND(IF(K389="мин.ставка",I389*100,G389/102*2),2)</f>
        <v/>
      </c>
      <c r="M389" s="5" t="n">
        <v>46233.5</v>
      </c>
      <c r="N389" t="inlineStr">
        <is>
          <t>TravelLine ресепшн</t>
        </is>
      </c>
      <c r="O389" s="2" t="inlineStr">
        <is>
          <t>ЛЮКС ВТОРОЙ КОРПУС</t>
        </is>
      </c>
      <c r="P389" s="6" t="n"/>
      <c r="R389" t="inlineStr"/>
      <c r="S389" t="inlineStr">
        <is>
          <t>Тариф с завтраком</t>
        </is>
      </c>
      <c r="T389" t="n">
        <v>0</v>
      </c>
      <c r="U389" t="n">
        <v>14220</v>
      </c>
    </row>
    <row r="390">
      <c r="A390" t="inlineStr">
        <is>
          <t>20260811-8186-457717969</t>
        </is>
      </c>
      <c r="B390" t="n">
        <v>1</v>
      </c>
      <c r="C390" s="2" t="inlineStr">
        <is>
          <t>Дмитрий Мольский</t>
        </is>
      </c>
      <c r="D390" s="3" t="n">
        <v>11205</v>
      </c>
      <c r="E390" s="4" t="n">
        <v>0</v>
      </c>
      <c r="F390" t="inlineStr">
        <is>
          <t>Прямые бронирования (стойка) [Чайковский]</t>
        </is>
      </c>
      <c r="G390" s="3">
        <f>ROUND(D390/(100-E390)*100,2)</f>
        <v/>
      </c>
      <c r="H390" s="5" t="n">
        <v>46245.58333333334</v>
      </c>
      <c r="I390" t="n">
        <v>1</v>
      </c>
      <c r="J390" s="3">
        <f>G390/I390</f>
        <v/>
      </c>
      <c r="K390">
        <f>IF(J390&gt;=5100,"ставка","мин.ставка")</f>
        <v/>
      </c>
      <c r="L390" s="3">
        <f>ROUND(IF(K390="мин.ставка",I390*100,G390/102*2),2)</f>
        <v/>
      </c>
      <c r="M390" s="5" t="n">
        <v>46246.5</v>
      </c>
      <c r="N390" t="inlineStr">
        <is>
          <t>TravelLine ресепшн</t>
        </is>
      </c>
      <c r="O390" s="2" t="inlineStr">
        <is>
          <t>СЕМЕЙНЫЙ НОМЕР КАТЕГОРИИ "СТАНДАРТ" ВТОРОЙ КОРПУС</t>
        </is>
      </c>
      <c r="P390" s="6" t="n"/>
      <c r="R390" t="inlineStr"/>
      <c r="S390" t="inlineStr">
        <is>
          <t>Тариф с завтраком</t>
        </is>
      </c>
      <c r="T390" t="n">
        <v>0</v>
      </c>
      <c r="U390" t="n">
        <v>11205</v>
      </c>
    </row>
    <row r="391">
      <c r="A391" t="inlineStr">
        <is>
          <t>20260904-8186-463700480</t>
        </is>
      </c>
      <c r="B391" t="n">
        <v>1</v>
      </c>
      <c r="C391" s="2" t="inlineStr">
        <is>
          <t>Дмитрий Мольский</t>
        </is>
      </c>
      <c r="D391" s="3" t="n">
        <v>14240</v>
      </c>
      <c r="E391" s="4" t="n">
        <v>0</v>
      </c>
      <c r="F391" t="inlineStr">
        <is>
          <t>Прямые бронирования (стойка) [Чайковский]</t>
        </is>
      </c>
      <c r="G391" s="3">
        <f>ROUND(D391/(100-E391)*100,2)</f>
        <v/>
      </c>
      <c r="H391" s="5" t="n">
        <v>46269.58333333334</v>
      </c>
      <c r="I391" t="n">
        <v>1</v>
      </c>
      <c r="J391" s="3">
        <f>G391/I391</f>
        <v/>
      </c>
      <c r="K391">
        <f>IF(J391&gt;=5100,"ставка","мин.ставка")</f>
        <v/>
      </c>
      <c r="L391" s="3">
        <f>ROUND(IF(K391="мин.ставка",I391*100,G391/102*2),2)</f>
        <v/>
      </c>
      <c r="M391" s="5" t="n">
        <v>46270.5</v>
      </c>
      <c r="N391" t="inlineStr">
        <is>
          <t>TravelLine ресепшн</t>
        </is>
      </c>
      <c r="O391" s="2" t="inlineStr">
        <is>
          <t>ЛЮКС ВТОРОЙ КОРПУС</t>
        </is>
      </c>
      <c r="P391" s="6" t="n"/>
      <c r="R391" t="inlineStr"/>
      <c r="S391" t="inlineStr">
        <is>
          <t>Основной тариф без завтрака</t>
        </is>
      </c>
      <c r="T391" t="n">
        <v>300</v>
      </c>
      <c r="U391" t="n">
        <v>14540</v>
      </c>
    </row>
    <row r="392">
      <c r="A392" t="inlineStr">
        <is>
          <t>20260809-8186-453699779</t>
        </is>
      </c>
      <c r="B392" t="n">
        <v>1</v>
      </c>
      <c r="C392" s="2" t="inlineStr">
        <is>
          <t>ДМИТРИЙ Москвин</t>
        </is>
      </c>
      <c r="D392" s="3" t="n">
        <v>27240</v>
      </c>
      <c r="E392" s="4" t="n">
        <v>20</v>
      </c>
      <c r="F392" t="inlineStr">
        <is>
          <t>ООО "КОМПАНИЯ БРОНЕВИК" [Чайковский]</t>
        </is>
      </c>
      <c r="G392" s="3">
        <f>ROUND(D392/(100-E392)*100,2)</f>
        <v/>
      </c>
      <c r="H392" s="5" t="n">
        <v>46243.58333333334</v>
      </c>
      <c r="I392" t="n">
        <v>3</v>
      </c>
      <c r="J392" s="3">
        <f>G392/I392</f>
        <v/>
      </c>
      <c r="K392">
        <f>IF(J392&gt;=5100,"ставка","мин.ставка")</f>
        <v/>
      </c>
      <c r="L392" s="3">
        <f>ROUND(IF(K392="мин.ставка",I392*100,G392/102*2),2)</f>
        <v/>
      </c>
      <c r="M392" s="5" t="n">
        <v>46246.5</v>
      </c>
      <c r="N392" t="inlineStr">
        <is>
          <t>TravelLine BR2</t>
        </is>
      </c>
      <c r="O392" s="2" t="inlineStr">
        <is>
          <t>СТАНДАРТНЫЙ ДВУХМЕСТНЫЙ НОМЕР</t>
        </is>
      </c>
      <c r="P392" s="6" t="n"/>
      <c r="R392" t="inlineStr"/>
      <c r="S392" t="inlineStr">
        <is>
          <t>Тариф с завтраком</t>
        </is>
      </c>
      <c r="T392" t="n">
        <v>0</v>
      </c>
      <c r="U392" t="n">
        <v>27240</v>
      </c>
    </row>
    <row r="393">
      <c r="A393" t="inlineStr">
        <is>
          <t>20260728-8186-453942448</t>
        </is>
      </c>
      <c r="B393" t="n">
        <v>1</v>
      </c>
      <c r="C393" s="2" t="inlineStr">
        <is>
          <t>ДМИТРИЙ МУРАНОВ</t>
        </is>
      </c>
      <c r="D393" s="3" t="n">
        <v>13400</v>
      </c>
      <c r="E393" s="4" t="n">
        <v>0</v>
      </c>
      <c r="F393" t="inlineStr">
        <is>
          <t>Прямые бронирования (стойка) [Чайковский]</t>
        </is>
      </c>
      <c r="G393" s="3">
        <f>ROUND(D393/(100-E393)*100,2)</f>
        <v/>
      </c>
      <c r="H393" s="5" t="n">
        <v>46231.58333333334</v>
      </c>
      <c r="I393" t="n">
        <v>1</v>
      </c>
      <c r="J393" s="3">
        <f>G393/I393</f>
        <v/>
      </c>
      <c r="K393">
        <f>IF(J393&gt;=5100,"ставка","мин.ставка")</f>
        <v/>
      </c>
      <c r="L393" s="3">
        <f>ROUND(IF(K393="мин.ставка",I393*100,G393/102*2),2)</f>
        <v/>
      </c>
      <c r="M393" s="5" t="n">
        <v>46232.5</v>
      </c>
      <c r="N393" t="inlineStr">
        <is>
          <t>TravelLine ресепшн</t>
        </is>
      </c>
      <c r="O393" s="2" t="inlineStr">
        <is>
          <t>УЛУЧШЕННЫЙ ДВУХМЕСТНЫЙ НОМЕР</t>
        </is>
      </c>
      <c r="P393" s="6" t="n"/>
      <c r="R393" t="inlineStr"/>
      <c r="S393" t="inlineStr">
        <is>
          <t>Тариф с завтраком</t>
        </is>
      </c>
      <c r="T393" t="n">
        <v>0</v>
      </c>
      <c r="U393" t="n">
        <v>13400</v>
      </c>
    </row>
    <row r="394">
      <c r="A394" t="inlineStr">
        <is>
          <t>20260911-8186-426784331</t>
        </is>
      </c>
      <c r="B394" t="n">
        <v>1</v>
      </c>
      <c r="C394" s="2" t="inlineStr">
        <is>
          <t>ДМИТРИЙ МЯСНИКОВ, СОФЬЯ МЯСНИКОВА</t>
        </is>
      </c>
      <c r="D394" s="3" t="n">
        <v>45390</v>
      </c>
      <c r="E394" s="4" t="n">
        <v>0</v>
      </c>
      <c r="F394" t="inlineStr">
        <is>
          <t>ООО "АЛЕАН ОТДЫХ" [Чайковский]</t>
        </is>
      </c>
      <c r="G394" s="3">
        <f>ROUND(D394/(100-E394)*100,2)</f>
        <v/>
      </c>
      <c r="H394" s="5" t="n">
        <v>46276.58333333334</v>
      </c>
      <c r="I394" t="n">
        <v>4</v>
      </c>
      <c r="J394" s="3">
        <f>G394/I394</f>
        <v/>
      </c>
      <c r="K394">
        <f>IF(J394&gt;=5100,"ставка","мин.ставка")</f>
        <v/>
      </c>
      <c r="L394" s="3">
        <f>ROUND(IF(K394="мин.ставка",I394*100,G394/102*2),2)</f>
        <v/>
      </c>
      <c r="M394" s="5" t="n">
        <v>46280.5</v>
      </c>
      <c r="N394" t="inlineStr">
        <is>
          <t>TravelLine ALN</t>
        </is>
      </c>
      <c r="O394" s="2" t="inlineStr">
        <is>
          <t>УЛУЧШЕННЫЙ ДВУХМЕСТНЫЙ НОМЕР</t>
        </is>
      </c>
      <c r="P394" s="6" t="n"/>
      <c r="R394" t="inlineStr"/>
      <c r="S394" t="inlineStr">
        <is>
          <t>Тариф с завтраком</t>
        </is>
      </c>
      <c r="T394" t="n">
        <v>0</v>
      </c>
      <c r="U394" t="n">
        <v>45390</v>
      </c>
    </row>
    <row r="395">
      <c r="A395" t="inlineStr">
        <is>
          <t>20260917-8186-463970139</t>
        </is>
      </c>
      <c r="B395" t="n">
        <v>1</v>
      </c>
      <c r="C395" s="2" t="inlineStr">
        <is>
          <t>Дмитрий Неклюдов, Екатерина Бессонова</t>
        </is>
      </c>
      <c r="D395" s="3" t="n">
        <v>30260</v>
      </c>
      <c r="E395" s="4" t="n">
        <v>15</v>
      </c>
      <c r="F395" t="inlineStr">
        <is>
          <t>ООО Тинькофф Путешествия [Чайковский]</t>
        </is>
      </c>
      <c r="G395" s="3">
        <f>ROUND(D395/(100-E395)*100,2)</f>
        <v/>
      </c>
      <c r="H395" s="5" t="n">
        <v>46282.58333333334</v>
      </c>
      <c r="I395" t="n">
        <v>2</v>
      </c>
      <c r="J395" s="3">
        <f>G395/I395</f>
        <v/>
      </c>
      <c r="K395">
        <f>IF(J395&gt;=5100,"ставка","мин.ставка")</f>
        <v/>
      </c>
      <c r="L395" s="3">
        <f>ROUND(IF(K395="мин.ставка",I395*100,G395/102*2),2)</f>
        <v/>
      </c>
      <c r="M395" s="5" t="n">
        <v>46284.5</v>
      </c>
      <c r="N395" t="inlineStr">
        <is>
          <t>TravelLine TNK</t>
        </is>
      </c>
      <c r="O395" s="2" t="inlineStr">
        <is>
          <t>ЛЮКС ВТОРОЙ КОРПУС</t>
        </is>
      </c>
      <c r="P395" s="6" t="n"/>
      <c r="R395" t="inlineStr"/>
      <c r="S395" t="inlineStr">
        <is>
          <t>Тариф с завтраком</t>
        </is>
      </c>
      <c r="T395" t="n">
        <v>0</v>
      </c>
      <c r="U395" t="n">
        <v>30260</v>
      </c>
    </row>
    <row r="396">
      <c r="A396" t="inlineStr">
        <is>
          <t>20260905-8186-463933189</t>
        </is>
      </c>
      <c r="B396" t="n">
        <v>1</v>
      </c>
      <c r="C396" s="2" t="inlineStr">
        <is>
          <t>Дмитрий Носков</t>
        </is>
      </c>
      <c r="D396" s="3" t="n">
        <v>40050</v>
      </c>
      <c r="E396" s="4" t="n">
        <v>18</v>
      </c>
      <c r="F396" t="inlineStr">
        <is>
          <t>Яндекс.Путешествия [Чайковский]</t>
        </is>
      </c>
      <c r="G396" s="3">
        <f>ROUND(D396/(100-E396)*100,2)</f>
        <v/>
      </c>
      <c r="H396" s="5" t="n">
        <v>46270.58333333334</v>
      </c>
      <c r="I396" t="n">
        <v>3</v>
      </c>
      <c r="J396" s="3">
        <f>G396/I396</f>
        <v/>
      </c>
      <c r="K396">
        <f>IF(J396&gt;=5100,"ставка","мин.ставка")</f>
        <v/>
      </c>
      <c r="L396" s="3">
        <f>ROUND(IF(K396="мин.ставка",I396*100,G396/102*2),2)</f>
        <v/>
      </c>
      <c r="M396" s="5" t="n">
        <v>46273.5</v>
      </c>
      <c r="N396" t="inlineStr">
        <is>
          <t>TravelLine YAX</t>
        </is>
      </c>
      <c r="O396" s="2" t="inlineStr">
        <is>
          <t>ЛЮКС ВТОРОЙ КОРПУС</t>
        </is>
      </c>
      <c r="P396" s="6" t="n"/>
      <c r="R396" t="inlineStr"/>
      <c r="S396" t="inlineStr">
        <is>
          <t>Тариф с завтраком</t>
        </is>
      </c>
      <c r="T396" t="n">
        <v>0</v>
      </c>
      <c r="U396" t="n">
        <v>40050</v>
      </c>
    </row>
    <row r="397">
      <c r="A397" t="inlineStr">
        <is>
          <t>20260716-8186-440572559</t>
        </is>
      </c>
      <c r="B397" t="n">
        <v>1</v>
      </c>
      <c r="C397" s="2" t="inlineStr">
        <is>
          <t>Дмитрий Самусевич, Эвелина Комарова</t>
        </is>
      </c>
      <c r="D397" s="3" t="n">
        <v>25564</v>
      </c>
      <c r="E397" s="4" t="n">
        <v>17</v>
      </c>
      <c r="F397" t="inlineStr">
        <is>
          <t>ООО «Интернет Трэвел» (OZON) [Чайковский]</t>
        </is>
      </c>
      <c r="G397" s="3">
        <f>ROUND(D397/(100-E397)*100,2)</f>
        <v/>
      </c>
      <c r="H397" s="5" t="n">
        <v>46219.58333333334</v>
      </c>
      <c r="I397" t="n">
        <v>2</v>
      </c>
      <c r="J397" s="3">
        <f>G397/I397</f>
        <v/>
      </c>
      <c r="K397">
        <f>IF(J397&gt;=5100,"ставка","мин.ставка")</f>
        <v/>
      </c>
      <c r="L397" s="3">
        <f>ROUND(IF(K397="мин.ставка",I397*100,G397/102*2),2)</f>
        <v/>
      </c>
      <c r="M397" s="5" t="n">
        <v>46221.5</v>
      </c>
      <c r="N397" t="inlineStr">
        <is>
          <t>TravelLine OZ2</t>
        </is>
      </c>
      <c r="O397" s="2" t="inlineStr">
        <is>
          <t>УЛУЧШЕННЫЙ ДВУХМЕСТНЫЙ НОМЕР</t>
        </is>
      </c>
      <c r="P397" s="6" t="n"/>
      <c r="R397" t="inlineStr"/>
      <c r="S397" t="inlineStr">
        <is>
          <t>Тариф с завтраком</t>
        </is>
      </c>
      <c r="T397" t="n">
        <v>0</v>
      </c>
      <c r="U397" t="n">
        <v>25564</v>
      </c>
    </row>
    <row r="398">
      <c r="A398" t="inlineStr">
        <is>
          <t>20260710-8186-421541572</t>
        </is>
      </c>
      <c r="B398" t="n">
        <v>1</v>
      </c>
      <c r="C398" s="2" t="inlineStr">
        <is>
          <t>Дмитрий Семенов, Татьяна Семенова</t>
        </is>
      </c>
      <c r="D398" s="3" t="n">
        <v>26286.15</v>
      </c>
      <c r="E398" s="4" t="n">
        <v>4</v>
      </c>
      <c r="F398" t="inlineStr">
        <is>
          <t>TravelLine Booking Engine [Чайковский]</t>
        </is>
      </c>
      <c r="G398" s="3">
        <f>ROUND(D398/(100-E398)*100,2)</f>
        <v/>
      </c>
      <c r="H398" s="5" t="n">
        <v>46213.58333333334</v>
      </c>
      <c r="I398" t="n">
        <v>2</v>
      </c>
      <c r="J398" s="3">
        <f>G398/I398</f>
        <v/>
      </c>
      <c r="K398">
        <f>IF(J398&gt;=5100,"ставка","мин.ставка")</f>
        <v/>
      </c>
      <c r="L398" s="3">
        <f>ROUND(IF(K398="мин.ставка",I398*100,G398/102*2),2)</f>
        <v/>
      </c>
      <c r="M398" s="5" t="n">
        <v>46215.5</v>
      </c>
      <c r="N398" t="inlineStr">
        <is>
          <t>TravelLine сайт</t>
        </is>
      </c>
      <c r="O398" s="2" t="inlineStr">
        <is>
          <t>СТАНДАРТНЫЙ ДВУХМЕСТНЫЙ НОМЕР</t>
        </is>
      </c>
      <c r="P398" s="6" t="n"/>
      <c r="R398" t="inlineStr"/>
      <c r="S398" t="inlineStr">
        <is>
          <t>Тариф с завтраком</t>
        </is>
      </c>
      <c r="T398" t="n">
        <v>0</v>
      </c>
      <c r="U398" t="n">
        <v>26286.15</v>
      </c>
    </row>
    <row r="399">
      <c r="A399" t="inlineStr">
        <is>
          <t>20260708-8186-448548633</t>
        </is>
      </c>
      <c r="B399" t="n">
        <v>1</v>
      </c>
      <c r="C399" s="2" t="inlineStr">
        <is>
          <t>ДМИТРИЙ СЕРОВ</t>
        </is>
      </c>
      <c r="D399" s="3" t="n">
        <v>7900</v>
      </c>
      <c r="E399" s="4" t="n">
        <v>0</v>
      </c>
      <c r="F399" t="inlineStr">
        <is>
          <t>Прямые бронирования (стойка) [Чайковский]</t>
        </is>
      </c>
      <c r="G399" s="3">
        <f>ROUND(D399/(100-E399)*100,2)</f>
        <v/>
      </c>
      <c r="H399" s="5" t="n">
        <v>46211.58333333334</v>
      </c>
      <c r="I399" t="n">
        <v>1</v>
      </c>
      <c r="J399" s="3">
        <f>G399/I399</f>
        <v/>
      </c>
      <c r="K399">
        <f>IF(J399&gt;=5100,"ставка","мин.ставка")</f>
        <v/>
      </c>
      <c r="L399" s="3">
        <f>ROUND(IF(K399="мин.ставка",I399*100,G399/102*2),2)</f>
        <v/>
      </c>
      <c r="M399" s="5" t="n">
        <v>46212.5</v>
      </c>
      <c r="N399" t="inlineStr">
        <is>
          <t>TravelLine ресепшн</t>
        </is>
      </c>
      <c r="O399" s="2" t="inlineStr">
        <is>
          <t>УЛУЧШЕННЫЙ ДВУХМЕСТНЫЙ НОМЕР</t>
        </is>
      </c>
      <c r="P399" s="6" t="n"/>
      <c r="R399" t="inlineStr"/>
      <c r="S399" t="inlineStr">
        <is>
          <t>Тариф с завтраком</t>
        </is>
      </c>
      <c r="T399" t="n">
        <v>0</v>
      </c>
      <c r="U399" t="n">
        <v>7900</v>
      </c>
    </row>
    <row r="400">
      <c r="A400" t="inlineStr">
        <is>
          <t>20260709-8186-448813635</t>
        </is>
      </c>
      <c r="B400" t="n">
        <v>1</v>
      </c>
      <c r="C400" s="2" t="inlineStr">
        <is>
          <t>ДМИТРИЙ СЕРОВ</t>
        </is>
      </c>
      <c r="D400" s="3" t="n">
        <v>7900</v>
      </c>
      <c r="E400" s="4" t="n">
        <v>0</v>
      </c>
      <c r="F400" t="inlineStr">
        <is>
          <t>Прямые бронирования (стойка) [Чайковский]</t>
        </is>
      </c>
      <c r="G400" s="3">
        <f>ROUND(D400/(100-E400)*100,2)</f>
        <v/>
      </c>
      <c r="H400" s="5" t="n">
        <v>46212.58333333334</v>
      </c>
      <c r="I400" t="n">
        <v>1</v>
      </c>
      <c r="J400" s="3">
        <f>G400/I400</f>
        <v/>
      </c>
      <c r="K400">
        <f>IF(J400&gt;=5100,"ставка","мин.ставка")</f>
        <v/>
      </c>
      <c r="L400" s="3">
        <f>ROUND(IF(K400="мин.ставка",I400*100,G400/102*2),2)</f>
        <v/>
      </c>
      <c r="M400" s="5" t="n">
        <v>46213.5</v>
      </c>
      <c r="N400" t="inlineStr">
        <is>
          <t>TravelLine ресепшн</t>
        </is>
      </c>
      <c r="O400" s="2" t="inlineStr">
        <is>
          <t>УЛУЧШЕННЫЙ ДВУХМЕСТНЫЙ НОМЕР</t>
        </is>
      </c>
      <c r="P400" s="6" t="n"/>
      <c r="R400" t="inlineStr"/>
      <c r="S400" t="inlineStr">
        <is>
          <t>Тариф с завтраком</t>
        </is>
      </c>
      <c r="T400" t="n">
        <v>0</v>
      </c>
      <c r="U400" t="n">
        <v>7900</v>
      </c>
    </row>
    <row r="401">
      <c r="A401" t="inlineStr">
        <is>
          <t>20260706-8186-448146879</t>
        </is>
      </c>
      <c r="B401" t="n">
        <v>1</v>
      </c>
      <c r="C401" s="2" t="inlineStr">
        <is>
          <t>ДМИТРИЙ СЕРОВ</t>
        </is>
      </c>
      <c r="D401" s="3" t="n">
        <v>19805</v>
      </c>
      <c r="E401" s="4" t="n">
        <v>15</v>
      </c>
      <c r="F401" t="inlineStr">
        <is>
          <t>ООО "БРОНИРОВАНИЕ ГОСТИНИЦ" (OSTROVOK) [Чайковский]</t>
        </is>
      </c>
      <c r="G401" s="3">
        <f>ROUND(D401/(100-E401)*100,2)</f>
        <v/>
      </c>
      <c r="H401" s="5" t="n">
        <v>46209.58333333334</v>
      </c>
      <c r="I401" t="n">
        <v>2</v>
      </c>
      <c r="J401" s="3">
        <f>G401/I401</f>
        <v/>
      </c>
      <c r="K401">
        <f>IF(J401&gt;=5100,"ставка","мин.ставка")</f>
        <v/>
      </c>
      <c r="L401" s="3">
        <f>ROUND(IF(K401="мин.ставка",I401*100,G401/102*2),2)</f>
        <v/>
      </c>
      <c r="M401" s="5" t="n">
        <v>46211.5</v>
      </c>
      <c r="N401" t="inlineStr">
        <is>
          <t>TravelLine OTK</t>
        </is>
      </c>
      <c r="O401" s="2" t="inlineStr">
        <is>
          <t>УЛУЧШЕННЫЙ ДВУХМЕСТНЫЙ НОМЕР</t>
        </is>
      </c>
      <c r="P401" s="6" t="n"/>
      <c r="R401" t="inlineStr"/>
      <c r="S401" t="inlineStr">
        <is>
          <t>Тариф с завтраком</t>
        </is>
      </c>
      <c r="T401" t="n">
        <v>0</v>
      </c>
      <c r="U401" t="n">
        <v>19805</v>
      </c>
    </row>
    <row r="402">
      <c r="A402" t="inlineStr">
        <is>
          <t>20260907-8186-464086254</t>
        </is>
      </c>
      <c r="B402" t="n">
        <v>1</v>
      </c>
      <c r="C402" s="2" t="inlineStr">
        <is>
          <t>ДМИТРИЙ СЕРОВ</t>
        </is>
      </c>
      <c r="D402" s="3" t="n">
        <v>9534</v>
      </c>
      <c r="E402" s="4" t="n">
        <v>16</v>
      </c>
      <c r="F402" t="inlineStr">
        <is>
          <t>ООО "БРОНИРОВАНИЕ ГОСТИНИЦ" (OSTROVOK) [Чайковский]</t>
        </is>
      </c>
      <c r="G402" s="3">
        <f>ROUND(D402/(100-E402)*100,2)</f>
        <v/>
      </c>
      <c r="H402" s="5" t="n">
        <v>46272.58333333334</v>
      </c>
      <c r="I402" t="n">
        <v>1</v>
      </c>
      <c r="J402" s="3">
        <f>G402/I402</f>
        <v/>
      </c>
      <c r="K402">
        <f>IF(J402&gt;=5100,"ставка","мин.ставка")</f>
        <v/>
      </c>
      <c r="L402" s="3">
        <f>ROUND(IF(K402="мин.ставка",I402*100,G402/102*2),2)</f>
        <v/>
      </c>
      <c r="M402" s="5" t="n">
        <v>46273.58333333334</v>
      </c>
      <c r="N402" t="inlineStr">
        <is>
          <t>TravelLine OTK</t>
        </is>
      </c>
      <c r="O402" s="2" t="inlineStr">
        <is>
          <t>СТАНДАРТНЫЙ ДВУХМЕСТНЫЙ НОМЕР</t>
        </is>
      </c>
      <c r="P402" s="6" t="n"/>
      <c r="R402" t="inlineStr"/>
      <c r="S402" t="inlineStr">
        <is>
          <t>Тариф с завтраком</t>
        </is>
      </c>
      <c r="T402" t="n">
        <v>0</v>
      </c>
      <c r="U402" t="n">
        <v>47670</v>
      </c>
    </row>
    <row r="403">
      <c r="A403" t="inlineStr">
        <is>
          <t>20260907-8186-464086254</t>
        </is>
      </c>
      <c r="B403" t="n">
        <v>1</v>
      </c>
      <c r="C403" s="2" t="inlineStr">
        <is>
          <t>ДМИТРИЙ СЕРОВ</t>
        </is>
      </c>
      <c r="D403" s="3" t="n">
        <v>38136</v>
      </c>
      <c r="E403" s="4" t="n">
        <v>16</v>
      </c>
      <c r="F403" t="inlineStr">
        <is>
          <t>ООО "БРОНИРОВАНИЕ ГОСТИНИЦ" (OSTROVOK) [Чайковский]</t>
        </is>
      </c>
      <c r="G403" s="3">
        <f>ROUND(D403/(100-E403)*100,2)</f>
        <v/>
      </c>
      <c r="H403" s="5" t="n">
        <v>46273.58333333334</v>
      </c>
      <c r="I403" t="n">
        <v>4</v>
      </c>
      <c r="J403" s="3">
        <f>G403/I403</f>
        <v/>
      </c>
      <c r="K403">
        <f>IF(J403&gt;=5100,"ставка","мин.ставка")</f>
        <v/>
      </c>
      <c r="L403" s="3">
        <f>ROUND(IF(K403="мин.ставка",I403*100,G403/102*2),2)</f>
        <v/>
      </c>
      <c r="M403" s="5" t="n">
        <v>46277.5</v>
      </c>
      <c r="N403" t="inlineStr">
        <is>
          <t>TravelLine OTK</t>
        </is>
      </c>
      <c r="O403" s="2" t="inlineStr">
        <is>
          <t>СТАНДАРТНЫЙ ДВУХМЕСТНЫЙ НОМЕР</t>
        </is>
      </c>
      <c r="P403" s="6" t="n"/>
      <c r="R403" t="inlineStr"/>
      <c r="S403" t="inlineStr">
        <is>
          <t>Тариф с завтраком</t>
        </is>
      </c>
      <c r="T403" t="n">
        <v>0</v>
      </c>
      <c r="U403" t="n">
        <v>47670</v>
      </c>
    </row>
    <row r="404">
      <c r="A404" t="inlineStr">
        <is>
          <t>20260912-8186-465262841</t>
        </is>
      </c>
      <c r="B404" t="n">
        <v>1</v>
      </c>
      <c r="C404" s="2" t="inlineStr">
        <is>
          <t>ДМИТРИЙ СЕРОВ</t>
        </is>
      </c>
      <c r="D404" s="3" t="n">
        <v>34050</v>
      </c>
      <c r="E404" s="4" t="n">
        <v>0</v>
      </c>
      <c r="F404" t="inlineStr">
        <is>
          <t>Прямые бронирования (стойка) [Чайковский]</t>
        </is>
      </c>
      <c r="G404" s="3">
        <f>ROUND(D404/(100-E404)*100,2)</f>
        <v/>
      </c>
      <c r="H404" s="5" t="n">
        <v>46277.58333333334</v>
      </c>
      <c r="I404" t="n">
        <v>3</v>
      </c>
      <c r="J404" s="3">
        <f>G404/I404</f>
        <v/>
      </c>
      <c r="K404">
        <f>IF(J404&gt;=5100,"ставка","мин.ставка")</f>
        <v/>
      </c>
      <c r="L404" s="3">
        <f>ROUND(IF(K404="мин.ставка",I404*100,G404/102*2),2)</f>
        <v/>
      </c>
      <c r="M404" s="5" t="n">
        <v>46280.5</v>
      </c>
      <c r="N404" t="inlineStr">
        <is>
          <t>TravelLine ресепшн</t>
        </is>
      </c>
      <c r="O404" s="2" t="inlineStr">
        <is>
          <t>СТАНДАРТНЫЙ ДВУХМЕСТНЫЙ НОМЕР</t>
        </is>
      </c>
      <c r="P404" s="6" t="n"/>
      <c r="R404" t="inlineStr"/>
      <c r="S404" t="inlineStr">
        <is>
          <t>Тариф с завтраком</t>
        </is>
      </c>
      <c r="T404" t="n">
        <v>0</v>
      </c>
      <c r="U404" t="n">
        <v>34050</v>
      </c>
    </row>
    <row r="405">
      <c r="A405" t="inlineStr">
        <is>
          <t>20260811-8186-457810096</t>
        </is>
      </c>
      <c r="B405" t="n">
        <v>1</v>
      </c>
      <c r="C405" s="2" t="inlineStr">
        <is>
          <t>ДМИТРИЙ СЕРОВ</t>
        </is>
      </c>
      <c r="D405" s="3" t="n">
        <v>12180</v>
      </c>
      <c r="E405" s="4" t="n">
        <v>16</v>
      </c>
      <c r="F405" t="inlineStr">
        <is>
          <t>ООО "БРОНИРОВАНИЕ ГОСТИНИЦ" (OSTROVOK) [Чайковский]</t>
        </is>
      </c>
      <c r="G405" s="3">
        <f>ROUND(D405/(100-E405)*100,2)</f>
        <v/>
      </c>
      <c r="H405" s="5" t="n">
        <v>46245.58333333334</v>
      </c>
      <c r="I405" t="n">
        <v>1</v>
      </c>
      <c r="J405" s="3">
        <f>G405/I405</f>
        <v/>
      </c>
      <c r="K405">
        <f>IF(J405&gt;=5100,"ставка","мин.ставка")</f>
        <v/>
      </c>
      <c r="L405" s="3">
        <f>ROUND(IF(K405="мин.ставка",I405*100,G405/102*2),2)</f>
        <v/>
      </c>
      <c r="M405" s="5" t="n">
        <v>46246.5</v>
      </c>
      <c r="N405" t="inlineStr">
        <is>
          <t>TravelLine OTK</t>
        </is>
      </c>
      <c r="O405" s="2" t="inlineStr">
        <is>
          <t>ПОЛУЛЮКС</t>
        </is>
      </c>
      <c r="P405" s="6" t="n"/>
      <c r="R405" t="inlineStr"/>
      <c r="S405" t="inlineStr">
        <is>
          <t>Тариф с завтраком</t>
        </is>
      </c>
      <c r="T405" t="n">
        <v>350</v>
      </c>
      <c r="U405" t="n">
        <v>12530</v>
      </c>
    </row>
    <row r="406">
      <c r="A406" t="inlineStr">
        <is>
          <t>20260812-8186-458120356</t>
        </is>
      </c>
      <c r="B406" t="n">
        <v>1</v>
      </c>
      <c r="C406" s="2" t="inlineStr">
        <is>
          <t>ДМИТРИЙ СЕРОВ</t>
        </is>
      </c>
      <c r="D406" s="3" t="n">
        <v>12180</v>
      </c>
      <c r="E406" s="4" t="n">
        <v>16</v>
      </c>
      <c r="F406" t="inlineStr">
        <is>
          <t>ООО "БРОНИРОВАНИЕ ГОСТИНИЦ" (OSTROVOK) [Чайковский]</t>
        </is>
      </c>
      <c r="G406" s="3">
        <f>ROUND(D406/(100-E406)*100,2)</f>
        <v/>
      </c>
      <c r="H406" s="5" t="n">
        <v>46246.58333333334</v>
      </c>
      <c r="I406" t="n">
        <v>1</v>
      </c>
      <c r="J406" s="3">
        <f>G406/I406</f>
        <v/>
      </c>
      <c r="K406">
        <f>IF(J406&gt;=5100,"ставка","мин.ставка")</f>
        <v/>
      </c>
      <c r="L406" s="3">
        <f>ROUND(IF(K406="мин.ставка",I406*100,G406/102*2),2)</f>
        <v/>
      </c>
      <c r="M406" s="5" t="n">
        <v>46247.5</v>
      </c>
      <c r="N406" t="inlineStr">
        <is>
          <t>TravelLine OTK</t>
        </is>
      </c>
      <c r="O406" s="2" t="inlineStr">
        <is>
          <t>ПОЛУЛЮКС</t>
        </is>
      </c>
      <c r="P406" s="6" t="n"/>
      <c r="R406" t="inlineStr"/>
      <c r="S406" t="inlineStr">
        <is>
          <t>Тариф с завтраком</t>
        </is>
      </c>
      <c r="T406" t="n">
        <v>0</v>
      </c>
      <c r="U406" t="n">
        <v>12180</v>
      </c>
    </row>
    <row r="407">
      <c r="A407" t="inlineStr">
        <is>
          <t>20260902-8186-462738129</t>
        </is>
      </c>
      <c r="B407" t="n">
        <v>1</v>
      </c>
      <c r="C407" s="2" t="inlineStr">
        <is>
          <t>Дмитрий Скрипальщиков, МАРИНА СКРИПАЛЬЩИКОВА</t>
        </is>
      </c>
      <c r="D407" s="3" t="n">
        <v>15890</v>
      </c>
      <c r="E407" s="4" t="n">
        <v>20</v>
      </c>
      <c r="F407" t="inlineStr">
        <is>
          <t>ООО "УК ГЦБ и Т" [Чайковский]</t>
        </is>
      </c>
      <c r="G407" s="3">
        <f>ROUND(D407/(100-E407)*100,2)</f>
        <v/>
      </c>
      <c r="H407" s="5" t="n">
        <v>46267.375</v>
      </c>
      <c r="I407" t="n">
        <v>2</v>
      </c>
      <c r="J407" s="3">
        <f>G407/I407</f>
        <v/>
      </c>
      <c r="K407">
        <f>IF(J407&gt;=5100,"ставка","мин.ставка")</f>
        <v/>
      </c>
      <c r="L407" s="3">
        <f>ROUND(IF(K407="мин.ставка",I407*100,G407/102*2),2)</f>
        <v/>
      </c>
      <c r="M407" s="5" t="n">
        <v>46269.5</v>
      </c>
      <c r="N407" t="inlineStr">
        <is>
          <t>TravelLine CBC</t>
        </is>
      </c>
      <c r="O407" s="2" t="inlineStr">
        <is>
          <t>СТАНДАРТНЫЙ ДВУХМЕСТНЫЙ НОМЕР</t>
        </is>
      </c>
      <c r="P407" s="6" t="n"/>
      <c r="R407" t="inlineStr"/>
      <c r="S407" t="inlineStr">
        <is>
          <t>Тариф с завтраком</t>
        </is>
      </c>
      <c r="T407" t="n">
        <v>17350</v>
      </c>
      <c r="U407" t="n">
        <v>33240</v>
      </c>
    </row>
    <row r="408">
      <c r="A408" t="inlineStr">
        <is>
          <t>20260916-8186-466040322</t>
        </is>
      </c>
      <c r="B408" t="n">
        <v>1</v>
      </c>
      <c r="C408" s="2" t="inlineStr">
        <is>
          <t>Дмитрий Тихомиров</t>
        </is>
      </c>
      <c r="D408" s="3" t="n">
        <v>19920</v>
      </c>
      <c r="E408" s="4" t="n">
        <v>20</v>
      </c>
      <c r="F408" t="inlineStr">
        <is>
          <t>ООО "КОМПАНИЯ БРОНЕВИК" [Чайковский]</t>
        </is>
      </c>
      <c r="G408" s="3">
        <f>ROUND(D408/(100-E408)*100,2)</f>
        <v/>
      </c>
      <c r="H408" s="5" t="n">
        <v>46281.58333333334</v>
      </c>
      <c r="I408" t="n">
        <v>2</v>
      </c>
      <c r="J408" s="3">
        <f>G408/I408</f>
        <v/>
      </c>
      <c r="K408">
        <f>IF(J408&gt;=5100,"ставка","мин.ставка")</f>
        <v/>
      </c>
      <c r="L408" s="3">
        <f>ROUND(IF(K408="мин.ставка",I408*100,G408/102*2),2)</f>
        <v/>
      </c>
      <c r="M408" s="5" t="n">
        <v>46283.5</v>
      </c>
      <c r="N408" t="inlineStr">
        <is>
          <t>TravelLine BR2</t>
        </is>
      </c>
      <c r="O408" s="2" t="inlineStr">
        <is>
          <t>СЕМЕЙНЫЙ НОМЕР КАТЕГОРИИ "СТАНДАРТ" ВТОРОЙ КОРПУС</t>
        </is>
      </c>
      <c r="P408" s="6" t="n"/>
      <c r="R408" t="inlineStr"/>
      <c r="S408" t="inlineStr">
        <is>
          <t>Тариф с завтраком</t>
        </is>
      </c>
      <c r="T408" t="n">
        <v>0</v>
      </c>
      <c r="U408" t="n">
        <v>19920</v>
      </c>
    </row>
    <row r="409">
      <c r="A409" t="inlineStr">
        <is>
          <t>20260728-8186-452916857</t>
        </is>
      </c>
      <c r="B409" t="n">
        <v>1</v>
      </c>
      <c r="C409" s="2" t="inlineStr">
        <is>
          <t>Дмитрий Шкирдов</t>
        </is>
      </c>
      <c r="D409" s="3" t="n">
        <v>6160</v>
      </c>
      <c r="E409" s="4" t="n">
        <v>20</v>
      </c>
      <c r="F409" t="inlineStr">
        <is>
          <t>ООО "УК ГЦБ и Т" [Чайковский]</t>
        </is>
      </c>
      <c r="G409" s="3">
        <f>ROUND(D409/(100-E409)*100,2)</f>
        <v/>
      </c>
      <c r="H409" s="5" t="n">
        <v>46231.58333333334</v>
      </c>
      <c r="I409" t="n">
        <v>1</v>
      </c>
      <c r="J409" s="3">
        <f>G409/I409</f>
        <v/>
      </c>
      <c r="K409">
        <f>IF(J409&gt;=5100,"ставка","мин.ставка")</f>
        <v/>
      </c>
      <c r="L409" s="3">
        <f>ROUND(IF(K409="мин.ставка",I409*100,G409/102*2),2)</f>
        <v/>
      </c>
      <c r="M409" s="5" t="n">
        <v>46232.5</v>
      </c>
      <c r="N409" t="inlineStr">
        <is>
          <t>TravelLine CBC</t>
        </is>
      </c>
      <c r="O409" s="2" t="inlineStr">
        <is>
          <t>СТАНДАРТНЫЙ ОДНОМЕСТНЫЙ НОМЕР</t>
        </is>
      </c>
      <c r="P409" s="6" t="n"/>
      <c r="R409" t="inlineStr"/>
      <c r="S409" t="inlineStr">
        <is>
          <t>Тариф с завтраком</t>
        </is>
      </c>
      <c r="T409" t="n">
        <v>0</v>
      </c>
      <c r="U409" t="n">
        <v>6160</v>
      </c>
    </row>
    <row r="410">
      <c r="A410" t="inlineStr">
        <is>
          <t>20260811-8186-453519352</t>
        </is>
      </c>
      <c r="B410" t="n">
        <v>1</v>
      </c>
      <c r="C410" s="2" t="inlineStr">
        <is>
          <t>Евгений Ванчик</t>
        </is>
      </c>
      <c r="D410" s="3" t="n">
        <v>18614</v>
      </c>
      <c r="E410" s="4" t="n">
        <v>18</v>
      </c>
      <c r="F410" t="inlineStr">
        <is>
          <t>ООО "ТРИВИО СЕРВИС" [Чайковский]</t>
        </is>
      </c>
      <c r="G410" s="3">
        <f>ROUND(D410/(100-E410)*100,2)</f>
        <v/>
      </c>
      <c r="H410" s="5" t="n">
        <v>46245.58333333334</v>
      </c>
      <c r="I410" t="n">
        <v>2</v>
      </c>
      <c r="J410" s="3">
        <f>G410/I410</f>
        <v/>
      </c>
      <c r="K410">
        <f>IF(J410&gt;=5100,"ставка","мин.ставка")</f>
        <v/>
      </c>
      <c r="L410" s="3">
        <f>ROUND(IF(K410="мин.ставка",I410*100,G410/102*2),2)</f>
        <v/>
      </c>
      <c r="M410" s="5" t="n">
        <v>46247.5</v>
      </c>
      <c r="N410" t="inlineStr">
        <is>
          <t>TravelLine TIO</t>
        </is>
      </c>
      <c r="O410" s="2" t="inlineStr">
        <is>
          <t>СТАНДАРТНЫЙ ДВУХМЕСТНЫЙ НОМЕР</t>
        </is>
      </c>
      <c r="P410" s="6" t="n"/>
      <c r="R410" t="inlineStr"/>
      <c r="S410" t="inlineStr">
        <is>
          <t>Тариф с завтраком</t>
        </is>
      </c>
      <c r="T410" t="n">
        <v>0</v>
      </c>
      <c r="U410" t="n">
        <v>18614</v>
      </c>
    </row>
    <row r="411">
      <c r="A411" t="inlineStr">
        <is>
          <t>20260810-8186-456644582</t>
        </is>
      </c>
      <c r="B411" t="n">
        <v>1</v>
      </c>
      <c r="C411" s="2" t="inlineStr">
        <is>
          <t>ЕВГЕНИЙ ВАХРАМЕЕВ</t>
        </is>
      </c>
      <c r="D411" s="3" t="n">
        <v>11600</v>
      </c>
      <c r="E411" s="4" t="n">
        <v>20</v>
      </c>
      <c r="F411" t="inlineStr">
        <is>
          <t>ООО "КОМПАНИЯ БРОНЕВИК" [Чайковский]</t>
        </is>
      </c>
      <c r="G411" s="3">
        <f>ROUND(D411/(100-E411)*100,2)</f>
        <v/>
      </c>
      <c r="H411" s="5" t="n">
        <v>46244.58333333334</v>
      </c>
      <c r="I411" t="n">
        <v>1</v>
      </c>
      <c r="J411" s="3">
        <f>G411/I411</f>
        <v/>
      </c>
      <c r="K411">
        <f>IF(J411&gt;=5100,"ставка","мин.ставка")</f>
        <v/>
      </c>
      <c r="L411" s="3">
        <f>ROUND(IF(K411="мин.ставка",I411*100,G411/102*2),2)</f>
        <v/>
      </c>
      <c r="M411" s="5" t="n">
        <v>46245.5</v>
      </c>
      <c r="N411" t="inlineStr">
        <is>
          <t>TravelLine BR2</t>
        </is>
      </c>
      <c r="O411" s="2" t="inlineStr">
        <is>
          <t>ПОЛУЛЮКС</t>
        </is>
      </c>
      <c r="P411" s="6" t="n"/>
      <c r="R411" t="inlineStr"/>
      <c r="S411" t="inlineStr">
        <is>
          <t>Тариф с завтраком</t>
        </is>
      </c>
      <c r="T411" t="n">
        <v>0</v>
      </c>
      <c r="U411" t="n">
        <v>11600</v>
      </c>
    </row>
    <row r="412">
      <c r="A412" t="inlineStr">
        <is>
          <t>20260728-8186-433948569</t>
        </is>
      </c>
      <c r="B412" t="n">
        <v>1</v>
      </c>
      <c r="C412" s="2" t="inlineStr">
        <is>
          <t>Евгений Гололобов, ЮЛИЯ АНДРЕЕВА, ПЕЛАГЕЯ ГОЛОЛОБОВА</t>
        </is>
      </c>
      <c r="D412" s="3" t="n">
        <v>16991.25</v>
      </c>
      <c r="E412" s="4" t="n">
        <v>4</v>
      </c>
      <c r="F412" t="inlineStr">
        <is>
          <t>TravelLine Booking Engine [Чайковский]</t>
        </is>
      </c>
      <c r="G412" s="3">
        <f>ROUND(D412/(100-E412)*100,2)</f>
        <v/>
      </c>
      <c r="H412" s="5" t="n">
        <v>46231.58333333334</v>
      </c>
      <c r="I412" t="n">
        <v>1</v>
      </c>
      <c r="J412" s="3">
        <f>G412/I412</f>
        <v/>
      </c>
      <c r="K412">
        <f>IF(J412&gt;=5100,"ставка","мин.ставка")</f>
        <v/>
      </c>
      <c r="L412" s="3">
        <f>ROUND(IF(K412="мин.ставка",I412*100,G412/102*2),2)</f>
        <v/>
      </c>
      <c r="M412" s="5" t="n">
        <v>46232.5</v>
      </c>
      <c r="N412" t="inlineStr">
        <is>
          <t>TravelLine сайт</t>
        </is>
      </c>
      <c r="O412" s="2" t="inlineStr">
        <is>
          <t>семейный номер категории "стандарт"</t>
        </is>
      </c>
      <c r="P412" s="6" t="n"/>
      <c r="R412" t="inlineStr"/>
      <c r="S412" t="inlineStr">
        <is>
          <t>Тариф с завтраком</t>
        </is>
      </c>
      <c r="T412" t="n">
        <v>0</v>
      </c>
      <c r="U412" t="n">
        <v>16991.25</v>
      </c>
    </row>
    <row r="413">
      <c r="A413" t="inlineStr">
        <is>
          <t>20260722-8186-451992437</t>
        </is>
      </c>
      <c r="B413" t="n">
        <v>1</v>
      </c>
      <c r="C413" s="2" t="inlineStr">
        <is>
          <t>Евгений Грошев</t>
        </is>
      </c>
      <c r="D413" s="3" t="n">
        <v>7298</v>
      </c>
      <c r="E413" s="4" t="n">
        <v>18</v>
      </c>
      <c r="F413" t="inlineStr">
        <is>
          <t>ООО "Эй энд Эй" [Чайковский]</t>
        </is>
      </c>
      <c r="G413" s="3">
        <f>ROUND(D413/(100-E413)*100,2)</f>
        <v/>
      </c>
      <c r="H413" s="5" t="n">
        <v>46225.58333333334</v>
      </c>
      <c r="I413" t="n">
        <v>1</v>
      </c>
      <c r="J413" s="3">
        <f>G413/I413</f>
        <v/>
      </c>
      <c r="K413">
        <f>IF(J413&gt;=5100,"ставка","мин.ставка")</f>
        <v/>
      </c>
      <c r="L413" s="3">
        <f>ROUND(IF(K413="мин.ставка",I413*100,G413/102*2),2)</f>
        <v/>
      </c>
      <c r="M413" s="5" t="n">
        <v>46226.5</v>
      </c>
      <c r="N413" t="inlineStr">
        <is>
          <t>TravelLine ANA</t>
        </is>
      </c>
      <c r="O413" s="2" t="inlineStr">
        <is>
          <t>СЕМЕЙНЫЙ НОМЕР КАТЕГОРИИ "СТАНДАРТ" ВТОРОЙ КОРПУС</t>
        </is>
      </c>
      <c r="P413" s="6" t="n"/>
      <c r="R413" t="inlineStr"/>
      <c r="S413" t="inlineStr">
        <is>
          <t>Тариф с завтраком</t>
        </is>
      </c>
      <c r="T413" t="n">
        <v>0</v>
      </c>
      <c r="U413" t="n">
        <v>7298</v>
      </c>
    </row>
    <row r="414">
      <c r="A414" t="inlineStr">
        <is>
          <t>20260720-8186-451630545</t>
        </is>
      </c>
      <c r="B414" t="n">
        <v>1</v>
      </c>
      <c r="C414" s="2" t="inlineStr">
        <is>
          <t>Евгений Езеев</t>
        </is>
      </c>
      <c r="D414" s="3" t="n">
        <v>15400</v>
      </c>
      <c r="E414" s="4" t="n">
        <v>0</v>
      </c>
      <c r="F414" t="inlineStr">
        <is>
          <t>Прямые бронирования (стойка) [Чайковский]</t>
        </is>
      </c>
      <c r="G414" s="3">
        <f>ROUND(D414/(100-E414)*100,2)</f>
        <v/>
      </c>
      <c r="H414" s="5" t="n">
        <v>46223.58333333334</v>
      </c>
      <c r="I414" t="n">
        <v>2</v>
      </c>
      <c r="J414" s="3">
        <f>G414/I414</f>
        <v/>
      </c>
      <c r="K414">
        <f>IF(J414&gt;=5100,"ставка","мин.ставка")</f>
        <v/>
      </c>
      <c r="L414" s="3">
        <f>ROUND(IF(K414="мин.ставка",I414*100,G414/102*2),2)</f>
        <v/>
      </c>
      <c r="M414" s="5" t="n">
        <v>46225.5</v>
      </c>
      <c r="N414" t="inlineStr">
        <is>
          <t>TravelLine ресепшн</t>
        </is>
      </c>
      <c r="O414" s="2" t="inlineStr">
        <is>
          <t>СТАНДАРТНЫЙ ОДНОМЕСТНЫЙ НОМЕР</t>
        </is>
      </c>
      <c r="P414" s="6" t="n"/>
      <c r="R414" t="inlineStr"/>
      <c r="S414" t="inlineStr">
        <is>
          <t>Тариф с завтраком</t>
        </is>
      </c>
      <c r="T414" t="n">
        <v>0</v>
      </c>
      <c r="U414" t="n">
        <v>15400</v>
      </c>
    </row>
    <row r="415">
      <c r="A415" t="inlineStr">
        <is>
          <t>20260827-8186-461586024</t>
        </is>
      </c>
      <c r="B415" t="n">
        <v>1</v>
      </c>
      <c r="C415" s="2" t="inlineStr">
        <is>
          <t>Евгений Езеев</t>
        </is>
      </c>
      <c r="D415" s="3" t="n">
        <v>56750</v>
      </c>
      <c r="E415" s="4" t="n">
        <v>0</v>
      </c>
      <c r="F415" t="inlineStr">
        <is>
          <t>Прямые бронирования (стойка) [Чайковский]</t>
        </is>
      </c>
      <c r="G415" s="3">
        <f>ROUND(D415/(100-E415)*100,2)</f>
        <v/>
      </c>
      <c r="H415" s="5" t="n">
        <v>46261.58333333334</v>
      </c>
      <c r="I415" t="n">
        <v>5</v>
      </c>
      <c r="J415" s="3">
        <f>G415/I415</f>
        <v/>
      </c>
      <c r="K415">
        <f>IF(J415&gt;=5100,"ставка","мин.ставка")</f>
        <v/>
      </c>
      <c r="L415" s="3">
        <f>ROUND(IF(K415="мин.ставка",I415*100,G415/102*2),2)</f>
        <v/>
      </c>
      <c r="M415" s="5" t="n">
        <v>46266.5</v>
      </c>
      <c r="N415" t="inlineStr">
        <is>
          <t>TravelLine ресепшн</t>
        </is>
      </c>
      <c r="O415" s="2" t="inlineStr">
        <is>
          <t>СТАНДАРТНЫЙ ДВУХМЕСТНЫЙ НОМЕР</t>
        </is>
      </c>
      <c r="P415" s="6" t="n"/>
      <c r="R415" t="inlineStr"/>
      <c r="S415" t="inlineStr">
        <is>
          <t>Тариф с завтраком</t>
        </is>
      </c>
      <c r="T415" t="n">
        <v>0</v>
      </c>
      <c r="U415" t="n">
        <v>56750</v>
      </c>
    </row>
    <row r="416">
      <c r="A416" t="inlineStr">
        <is>
          <t>20260906-8186-463599556</t>
        </is>
      </c>
      <c r="B416" t="n">
        <v>1</v>
      </c>
      <c r="C416" s="2" t="inlineStr">
        <is>
          <t>Евгений Езеев</t>
        </is>
      </c>
      <c r="D416" s="3" t="n">
        <v>15800</v>
      </c>
      <c r="E416" s="4" t="n">
        <v>0</v>
      </c>
      <c r="F416" t="inlineStr">
        <is>
          <t>Прямые бронирования (стойка) [Чайковский]</t>
        </is>
      </c>
      <c r="G416" s="3">
        <f>ROUND(D416/(100-E416)*100,2)</f>
        <v/>
      </c>
      <c r="H416" s="5" t="n">
        <v>46271.58333333334</v>
      </c>
      <c r="I416" t="n">
        <v>2</v>
      </c>
      <c r="J416" s="3">
        <f>G416/I416</f>
        <v/>
      </c>
      <c r="K416">
        <f>IF(J416&gt;=5100,"ставка","мин.ставка")</f>
        <v/>
      </c>
      <c r="L416" s="3">
        <f>ROUND(IF(K416="мин.ставка",I416*100,G416/102*2),2)</f>
        <v/>
      </c>
      <c r="M416" s="5" t="n">
        <v>46273.5</v>
      </c>
      <c r="N416" t="inlineStr">
        <is>
          <t>TravelLine ресепшн</t>
        </is>
      </c>
      <c r="O416" s="2" t="inlineStr">
        <is>
          <t>УЛУЧШЕННЫЙ ДВУХМЕСТНЫЙ НОМЕР</t>
        </is>
      </c>
      <c r="P416" s="6" t="n"/>
      <c r="R416" t="inlineStr"/>
      <c r="S416" t="inlineStr">
        <is>
          <t>Тариф с завтраком</t>
        </is>
      </c>
      <c r="T416" t="n">
        <v>0</v>
      </c>
      <c r="U416" t="n">
        <v>15800</v>
      </c>
    </row>
    <row r="417">
      <c r="A417" t="inlineStr">
        <is>
          <t>20260723-8186-449923724</t>
        </is>
      </c>
      <c r="B417" t="n">
        <v>1</v>
      </c>
      <c r="C417" s="2" t="inlineStr">
        <is>
          <t>Евгений МИХАЙЛОВ</t>
        </is>
      </c>
      <c r="D417" s="3" t="n">
        <v>7700</v>
      </c>
      <c r="E417" s="4" t="n">
        <v>0</v>
      </c>
      <c r="F417" t="inlineStr">
        <is>
          <t>Прямые бронирования (стойка) [Чайковский]</t>
        </is>
      </c>
      <c r="G417" s="3">
        <f>ROUND(D417/(100-E417)*100,2)</f>
        <v/>
      </c>
      <c r="H417" s="5" t="n">
        <v>46226.58333333334</v>
      </c>
      <c r="I417" t="n">
        <v>1</v>
      </c>
      <c r="J417" s="3">
        <f>G417/I417</f>
        <v/>
      </c>
      <c r="K417">
        <f>IF(J417&gt;=5100,"ставка","мин.ставка")</f>
        <v/>
      </c>
      <c r="L417" s="3">
        <f>ROUND(IF(K417="мин.ставка",I417*100,G417/102*2),2)</f>
        <v/>
      </c>
      <c r="M417" s="5" t="n">
        <v>46227.5</v>
      </c>
      <c r="N417" t="inlineStr">
        <is>
          <t>TravelLine ресепшн</t>
        </is>
      </c>
      <c r="O417" s="2" t="inlineStr">
        <is>
          <t>СТАНДАРТНЫЙ ОДНОМЕСТНЫЙ НОМЕР</t>
        </is>
      </c>
      <c r="P417" s="6" t="n"/>
      <c r="R417" t="inlineStr"/>
      <c r="S417" t="inlineStr">
        <is>
          <t>Тариф с завтраком</t>
        </is>
      </c>
      <c r="T417" t="n">
        <v>0</v>
      </c>
      <c r="U417" t="n">
        <v>7700</v>
      </c>
    </row>
    <row r="418">
      <c r="A418" t="inlineStr">
        <is>
          <t>20260705-8186-444726111</t>
        </is>
      </c>
      <c r="B418" t="n">
        <v>1</v>
      </c>
      <c r="C418" s="2" t="inlineStr">
        <is>
          <t>Евгений МИХАЙЛОВ, Надежда Матвеева</t>
        </is>
      </c>
      <c r="D418" s="3" t="n">
        <v>26700</v>
      </c>
      <c r="E418" s="4" t="n">
        <v>0</v>
      </c>
      <c r="F418" t="inlineStr">
        <is>
          <t>Прямые бронирования (стойка) [Чайковский]</t>
        </is>
      </c>
      <c r="G418" s="3">
        <f>ROUND(D418/(100-E418)*100,2)</f>
        <v/>
      </c>
      <c r="H418" s="5" t="n">
        <v>46208.58333333334</v>
      </c>
      <c r="I418" t="n">
        <v>2</v>
      </c>
      <c r="J418" s="3">
        <f>G418/I418</f>
        <v/>
      </c>
      <c r="K418">
        <f>IF(J418&gt;=5100,"ставка","мин.ставка")</f>
        <v/>
      </c>
      <c r="L418" s="3">
        <f>ROUND(IF(K418="мин.ставка",I418*100,G418/102*2),2)</f>
        <v/>
      </c>
      <c r="M418" s="5" t="n">
        <v>46210.5</v>
      </c>
      <c r="N418" t="inlineStr">
        <is>
          <t>TravelLine ресепшн</t>
        </is>
      </c>
      <c r="O418" s="2" t="inlineStr">
        <is>
          <t>СТАНДАРТНЫЙ ДВУХМЕСТНЫЙ НОМЕР</t>
        </is>
      </c>
      <c r="P418" s="6" t="n"/>
      <c r="R418" t="inlineStr"/>
      <c r="S418" t="inlineStr">
        <is>
          <t>Тариф с завтраком</t>
        </is>
      </c>
      <c r="T418" t="n">
        <v>0</v>
      </c>
      <c r="U418" t="n">
        <v>26700</v>
      </c>
    </row>
    <row r="419">
      <c r="A419" t="inlineStr">
        <is>
          <t>20260814-8186-455467392</t>
        </is>
      </c>
      <c r="B419" t="n">
        <v>1</v>
      </c>
      <c r="C419" s="2" t="inlineStr">
        <is>
          <t>Евгений Рафаилов, Вячеслав Рафаилов</t>
        </is>
      </c>
      <c r="D419" s="3" t="n">
        <v>22161</v>
      </c>
      <c r="E419" s="4" t="n">
        <v>18</v>
      </c>
      <c r="F419" t="inlineStr">
        <is>
          <t>Яндекс.Путешествия [Чайковский]</t>
        </is>
      </c>
      <c r="G419" s="3">
        <f>ROUND(D419/(100-E419)*100,2)</f>
        <v/>
      </c>
      <c r="H419" s="5" t="n">
        <v>46248.58333333334</v>
      </c>
      <c r="I419" t="n">
        <v>2</v>
      </c>
      <c r="J419" s="3">
        <f>G419/I419</f>
        <v/>
      </c>
      <c r="K419">
        <f>IF(J419&gt;=5100,"ставка","мин.ставка")</f>
        <v/>
      </c>
      <c r="L419" s="3">
        <f>ROUND(IF(K419="мин.ставка",I419*100,G419/102*2),2)</f>
        <v/>
      </c>
      <c r="M419" s="5" t="n">
        <v>46250.5</v>
      </c>
      <c r="N419" t="inlineStr">
        <is>
          <t>TravelLine YAX</t>
        </is>
      </c>
      <c r="O419" s="2" t="inlineStr">
        <is>
          <t>СТАНДАРТНЫЙ ДВУХМЕСТНЫЙ НОМЕР</t>
        </is>
      </c>
      <c r="P419" s="6" t="n"/>
      <c r="R419" t="inlineStr"/>
      <c r="S419" t="inlineStr">
        <is>
          <t>Тариф с завтраком</t>
        </is>
      </c>
      <c r="T419" t="n">
        <v>0</v>
      </c>
      <c r="U419" t="n">
        <v>44322</v>
      </c>
    </row>
    <row r="420">
      <c r="A420" t="inlineStr">
        <is>
          <t>20260925-8186-467701142</t>
        </is>
      </c>
      <c r="B420" t="n">
        <v>1</v>
      </c>
      <c r="C420" s="2" t="inlineStr">
        <is>
          <t>Евгений Родионов, Кристина Сокол</t>
        </is>
      </c>
      <c r="D420" s="3" t="n">
        <v>20000</v>
      </c>
      <c r="E420" s="4" t="n">
        <v>20</v>
      </c>
      <c r="F420" t="inlineStr">
        <is>
          <t>ООО «Дубль Гис» (OTELLO) [Чайковский]</t>
        </is>
      </c>
      <c r="G420" s="3">
        <f>ROUND(D420/(100-E420)*100,2)</f>
        <v/>
      </c>
      <c r="H420" s="5" t="n">
        <v>46290.58333333334</v>
      </c>
      <c r="I420" t="n">
        <v>2</v>
      </c>
      <c r="J420" s="3">
        <f>G420/I420</f>
        <v/>
      </c>
      <c r="K420">
        <f>IF(J420&gt;=5100,"ставка","мин.ставка")</f>
        <v/>
      </c>
      <c r="L420" s="3">
        <f>ROUND(IF(K420="мин.ставка",I420*100,G420/102*2),2)</f>
        <v/>
      </c>
      <c r="M420" s="5" t="n">
        <v>46292.5</v>
      </c>
      <c r="N420" t="inlineStr">
        <is>
          <t>TravelLine OL2</t>
        </is>
      </c>
      <c r="O420" s="2" t="inlineStr">
        <is>
          <t>СЕМЕЙНЫЙ НОМЕР КАТЕГОРИИ "СТАНДАРТ" ВТОРОЙ КОРПУС</t>
        </is>
      </c>
      <c r="P420" s="6" t="n"/>
      <c r="R420" t="inlineStr"/>
      <c r="S420" t="inlineStr">
        <is>
          <t>Основной тариф без завтрака</t>
        </is>
      </c>
      <c r="T420" t="n">
        <v>0</v>
      </c>
      <c r="U420" t="n">
        <v>20000</v>
      </c>
    </row>
    <row r="421">
      <c r="A421" t="inlineStr">
        <is>
          <t>20260710-8186-411189660</t>
        </is>
      </c>
      <c r="B421" t="n">
        <v>1</v>
      </c>
      <c r="C421" s="2" t="inlineStr">
        <is>
          <t>Евгений Станчук, Татьяна Станчук</t>
        </is>
      </c>
      <c r="D421" s="3" t="n">
        <v>17533</v>
      </c>
      <c r="E421" s="4" t="n">
        <v>4</v>
      </c>
      <c r="F421" t="inlineStr">
        <is>
          <t>TravelLine Booking Engine [Чайковский]</t>
        </is>
      </c>
      <c r="G421" s="3">
        <f>ROUND(D421/(100-E421)*100,2)</f>
        <v/>
      </c>
      <c r="H421" s="5" t="n">
        <v>46213.58333333334</v>
      </c>
      <c r="I421" t="n">
        <v>1</v>
      </c>
      <c r="J421" s="3">
        <f>G421/I421</f>
        <v/>
      </c>
      <c r="K421">
        <f>IF(J421&gt;=5100,"ставка","мин.ставка")</f>
        <v/>
      </c>
      <c r="L421" s="3">
        <f>ROUND(IF(K421="мин.ставка",I421*100,G421/102*2),2)</f>
        <v/>
      </c>
      <c r="M421" s="5" t="n">
        <v>46214.5</v>
      </c>
      <c r="N421" t="inlineStr">
        <is>
          <t>TravelLine сайт</t>
        </is>
      </c>
      <c r="O421" s="2" t="inlineStr">
        <is>
          <t>ЛЮКС</t>
        </is>
      </c>
      <c r="P421" s="6" t="n"/>
      <c r="R421" t="inlineStr"/>
      <c r="S421" t="inlineStr">
        <is>
          <t>Тариф с завтраком</t>
        </is>
      </c>
      <c r="T421" t="n">
        <v>0</v>
      </c>
      <c r="U421" t="n">
        <v>17533</v>
      </c>
    </row>
    <row r="422">
      <c r="A422" t="inlineStr">
        <is>
          <t>20260922-8186-466786045</t>
        </is>
      </c>
      <c r="B422" t="n">
        <v>1</v>
      </c>
      <c r="C422" s="2" t="inlineStr">
        <is>
          <t>Евгения Бердникова</t>
        </is>
      </c>
      <c r="D422" s="3" t="n">
        <v>9080</v>
      </c>
      <c r="E422" s="4" t="n">
        <v>20</v>
      </c>
      <c r="F422" t="inlineStr">
        <is>
          <t>ООО "КОМПАНИЯ БРОНЕВИК" [Чайковский]</t>
        </is>
      </c>
      <c r="G422" s="3">
        <f>ROUND(D422/(100-E422)*100,2)</f>
        <v/>
      </c>
      <c r="H422" s="5" t="n">
        <v>46287.58333333334</v>
      </c>
      <c r="I422" t="n">
        <v>1</v>
      </c>
      <c r="J422" s="3">
        <f>G422/I422</f>
        <v/>
      </c>
      <c r="K422">
        <f>IF(J422&gt;=5100,"ставка","мин.ставка")</f>
        <v/>
      </c>
      <c r="L422" s="3">
        <f>ROUND(IF(K422="мин.ставка",I422*100,G422/102*2),2)</f>
        <v/>
      </c>
      <c r="M422" s="5" t="n">
        <v>46288.5</v>
      </c>
      <c r="N422" t="inlineStr">
        <is>
          <t>TravelLine BR2</t>
        </is>
      </c>
      <c r="O422" s="2" t="inlineStr">
        <is>
          <t>СТАНДАРТНЫЙ ДВУХМЕСТНЫЙ НОМЕР</t>
        </is>
      </c>
      <c r="P422" s="6" t="n"/>
      <c r="R422" t="inlineStr"/>
      <c r="S422" t="inlineStr">
        <is>
          <t>Тариф с завтраком</t>
        </is>
      </c>
      <c r="T422" t="n">
        <v>0</v>
      </c>
      <c r="U422" t="n">
        <v>9080</v>
      </c>
    </row>
    <row r="423">
      <c r="A423" t="inlineStr">
        <is>
          <t>20260930-8186-462775980</t>
        </is>
      </c>
      <c r="B423" t="n">
        <v>1</v>
      </c>
      <c r="C423" s="2" t="inlineStr">
        <is>
          <t>Евгения Каменщикова, Константин Попов</t>
        </is>
      </c>
      <c r="D423" s="3" t="n">
        <v>20957.5</v>
      </c>
      <c r="E423" s="4" t="n">
        <v>18</v>
      </c>
      <c r="F423" t="inlineStr">
        <is>
          <t>Яндекс.Путешествия [Чайковский]</t>
        </is>
      </c>
      <c r="G423" s="3">
        <f>ROUND(D423/(100-E423)*100,2)</f>
        <v/>
      </c>
      <c r="H423" s="5" t="n">
        <v>46295.58333333334</v>
      </c>
      <c r="I423" t="n">
        <v>2</v>
      </c>
      <c r="J423" s="3">
        <f>G423/I423</f>
        <v/>
      </c>
      <c r="K423">
        <f>IF(J423&gt;=5100,"ставка","мин.ставка")</f>
        <v/>
      </c>
      <c r="L423" s="3">
        <f>ROUND(IF(K423="мин.ставка",I423*100,G423/102*2),2)</f>
        <v/>
      </c>
      <c r="M423" s="5" t="n">
        <v>46297.5</v>
      </c>
      <c r="N423" t="inlineStr">
        <is>
          <t>TravelLine YAX</t>
        </is>
      </c>
      <c r="O423" s="2" t="inlineStr">
        <is>
          <t>СТАНДАРТНЫЙ ДВУХМЕСТНЫЙ НОМЕР</t>
        </is>
      </c>
      <c r="P423" s="6" t="n"/>
      <c r="R423" t="inlineStr"/>
      <c r="S423" t="inlineStr">
        <is>
          <t>Тариф с завтраком</t>
        </is>
      </c>
      <c r="T423" t="n">
        <v>0</v>
      </c>
      <c r="U423" t="n">
        <v>20957.5</v>
      </c>
    </row>
    <row r="424">
      <c r="A424" t="inlineStr">
        <is>
          <t>20260709-8186-415694678</t>
        </is>
      </c>
      <c r="B424" t="n">
        <v>1</v>
      </c>
      <c r="C424" s="2" t="inlineStr">
        <is>
          <t>Евгения Комарова</t>
        </is>
      </c>
      <c r="D424" s="3" t="n">
        <v>25878</v>
      </c>
      <c r="E424" s="4" t="n">
        <v>18</v>
      </c>
      <c r="F424" t="inlineStr">
        <is>
          <t>Яндекс.Путешествия [Чайковский]</t>
        </is>
      </c>
      <c r="G424" s="3">
        <f>ROUND(D424/(100-E424)*100,2)</f>
        <v/>
      </c>
      <c r="H424" s="5" t="n">
        <v>46212.58333333334</v>
      </c>
      <c r="I424" t="n">
        <v>3</v>
      </c>
      <c r="J424" s="3">
        <f>G424/I424</f>
        <v/>
      </c>
      <c r="K424">
        <f>IF(J424&gt;=5100,"ставка","мин.ставка")</f>
        <v/>
      </c>
      <c r="L424" s="3">
        <f>ROUND(IF(K424="мин.ставка",I424*100,G424/102*2),2)</f>
        <v/>
      </c>
      <c r="M424" s="5" t="n">
        <v>46215.5</v>
      </c>
      <c r="N424" t="inlineStr">
        <is>
          <t>TravelLine YAX</t>
        </is>
      </c>
      <c r="O424" s="2" t="inlineStr">
        <is>
          <t>СТАНДАРТНЫЙ ДВУХМЕСТНЫЙ НОМЕР</t>
        </is>
      </c>
      <c r="P424" s="6" t="n"/>
      <c r="R424" t="inlineStr"/>
      <c r="S424" t="inlineStr">
        <is>
          <t>Тариф с завтраком</t>
        </is>
      </c>
      <c r="T424" t="n">
        <v>0</v>
      </c>
      <c r="U424" t="n">
        <v>25878</v>
      </c>
    </row>
    <row r="425">
      <c r="A425" t="inlineStr">
        <is>
          <t>20260823-8186-456417085</t>
        </is>
      </c>
      <c r="B425" t="n">
        <v>1</v>
      </c>
      <c r="C425" s="2" t="inlineStr">
        <is>
          <t>Евгения Мельникова, Кирилл Мельников</t>
        </is>
      </c>
      <c r="D425" s="3" t="n">
        <v>8217</v>
      </c>
      <c r="E425" s="4" t="n">
        <v>17</v>
      </c>
      <c r="F425" t="inlineStr">
        <is>
          <t>ООО «Интернет Трэвел» (OZON) [Чайковский]</t>
        </is>
      </c>
      <c r="G425" s="3">
        <f>ROUND(D425/(100-E425)*100,2)</f>
        <v/>
      </c>
      <c r="H425" s="5" t="n">
        <v>46257.58333333334</v>
      </c>
      <c r="I425" t="n">
        <v>1</v>
      </c>
      <c r="J425" s="3">
        <f>G425/I425</f>
        <v/>
      </c>
      <c r="K425">
        <f>IF(J425&gt;=5100,"ставка","мин.ставка")</f>
        <v/>
      </c>
      <c r="L425" s="3">
        <f>ROUND(IF(K425="мин.ставка",I425*100,G425/102*2),2)</f>
        <v/>
      </c>
      <c r="M425" s="5" t="n">
        <v>46258.5</v>
      </c>
      <c r="N425" t="inlineStr">
        <is>
          <t>TravelLine OZ2</t>
        </is>
      </c>
      <c r="O425" s="2" t="inlineStr">
        <is>
          <t>СТАНДАРТНЫЙ ДВУХМЕСТНЫЙ НОМЕР (МАНСАРДА)</t>
        </is>
      </c>
      <c r="P425" s="6" t="n"/>
      <c r="R425" t="inlineStr"/>
      <c r="S425" t="inlineStr">
        <is>
          <t>Тариф с завтраком</t>
        </is>
      </c>
      <c r="T425" t="n">
        <v>0</v>
      </c>
      <c r="U425" t="n">
        <v>8217</v>
      </c>
    </row>
    <row r="426">
      <c r="A426" t="inlineStr">
        <is>
          <t>20260831-8186-449066045</t>
        </is>
      </c>
      <c r="B426" t="n">
        <v>1</v>
      </c>
      <c r="C426" s="2" t="inlineStr">
        <is>
          <t>Евгения Михеева, Василий Михеев</t>
        </is>
      </c>
      <c r="D426" s="3" t="n">
        <v>42075</v>
      </c>
      <c r="E426" s="4" t="n">
        <v>15</v>
      </c>
      <c r="F426" t="inlineStr">
        <is>
          <t>ООО Тинькофф Путешествия [Чайковский]</t>
        </is>
      </c>
      <c r="G426" s="3">
        <f>ROUND(D426/(100-E426)*100,2)</f>
        <v/>
      </c>
      <c r="H426" s="5" t="n">
        <v>46265.58333333334</v>
      </c>
      <c r="I426" t="n">
        <v>5</v>
      </c>
      <c r="J426" s="3">
        <f>G426/I426</f>
        <v/>
      </c>
      <c r="K426">
        <f>IF(J426&gt;=5100,"ставка","мин.ставка")</f>
        <v/>
      </c>
      <c r="L426" s="3">
        <f>ROUND(IF(K426="мин.ставка",I426*100,G426/102*2),2)</f>
        <v/>
      </c>
      <c r="M426" s="5" t="n">
        <v>46270.5</v>
      </c>
      <c r="N426" t="inlineStr">
        <is>
          <t>TravelLine TNK</t>
        </is>
      </c>
      <c r="O426" s="2" t="inlineStr">
        <is>
          <t>СТАНДАРТНЫЙ ДВУХМЕСТНЫЙ НОМЕР (МАНСАРДА)</t>
        </is>
      </c>
      <c r="P426" s="6" t="n"/>
      <c r="R426" t="inlineStr"/>
      <c r="S426" t="inlineStr">
        <is>
          <t>Тариф с завтраком</t>
        </is>
      </c>
      <c r="T426" t="n">
        <v>0</v>
      </c>
      <c r="U426" t="n">
        <v>42075</v>
      </c>
    </row>
    <row r="427">
      <c r="A427" t="inlineStr">
        <is>
          <t>20260807-8186-456741568</t>
        </is>
      </c>
      <c r="B427" t="n">
        <v>1</v>
      </c>
      <c r="C427" s="2" t="inlineStr">
        <is>
          <t>Егор Михайлов, Инна Михайлова</t>
        </is>
      </c>
      <c r="D427" s="3" t="n">
        <v>13695</v>
      </c>
      <c r="E427" s="4" t="n">
        <v>18</v>
      </c>
      <c r="F427" t="inlineStr">
        <is>
          <t>Яндекс.Путешествия [Чайковский]</t>
        </is>
      </c>
      <c r="G427" s="3">
        <f>ROUND(D427/(100-E427)*100,2)</f>
        <v/>
      </c>
      <c r="H427" s="5" t="n">
        <v>46241.58333333334</v>
      </c>
      <c r="I427" t="n">
        <v>1</v>
      </c>
      <c r="J427" s="3">
        <f>G427/I427</f>
        <v/>
      </c>
      <c r="K427">
        <f>IF(J427&gt;=5100,"ставка","мин.ставка")</f>
        <v/>
      </c>
      <c r="L427" s="3">
        <f>ROUND(IF(K427="мин.ставка",I427*100,G427/102*2),2)</f>
        <v/>
      </c>
      <c r="M427" s="5" t="n">
        <v>46242.5</v>
      </c>
      <c r="N427" t="inlineStr">
        <is>
          <t>TravelLine YAX</t>
        </is>
      </c>
      <c r="O427" s="2" t="inlineStr">
        <is>
          <t>ПОЛУЛЮКС</t>
        </is>
      </c>
      <c r="P427" s="6" t="n"/>
      <c r="R427" t="inlineStr"/>
      <c r="S427" t="inlineStr">
        <is>
          <t>Тариф с завтраком</t>
        </is>
      </c>
      <c r="T427" t="n">
        <v>0</v>
      </c>
      <c r="U427" t="n">
        <v>13695</v>
      </c>
    </row>
    <row r="428">
      <c r="A428" t="inlineStr">
        <is>
          <t>20260723-8186-449878225</t>
        </is>
      </c>
      <c r="B428" t="n">
        <v>1</v>
      </c>
      <c r="C428" s="2" t="inlineStr">
        <is>
          <t>Егор Пожидаев, Олеся Лидле</t>
        </is>
      </c>
      <c r="D428" s="3" t="n">
        <v>35333</v>
      </c>
      <c r="E428" s="4" t="n">
        <v>4</v>
      </c>
      <c r="F428" t="inlineStr">
        <is>
          <t>TravelLine Booking Engine [Чайковский]</t>
        </is>
      </c>
      <c r="G428" s="3">
        <f>ROUND(D428/(100-E428)*100,2)</f>
        <v/>
      </c>
      <c r="H428" s="5" t="n">
        <v>46226.58333333334</v>
      </c>
      <c r="I428" t="n">
        <v>2</v>
      </c>
      <c r="J428" s="3">
        <f>G428/I428</f>
        <v/>
      </c>
      <c r="K428">
        <f>IF(J428&gt;=5100,"ставка","мин.ставка")</f>
        <v/>
      </c>
      <c r="L428" s="3">
        <f>ROUND(IF(K428="мин.ставка",I428*100,G428/102*2),2)</f>
        <v/>
      </c>
      <c r="M428" s="5" t="n">
        <v>46228.5</v>
      </c>
      <c r="N428" t="inlineStr">
        <is>
          <t>TravelLine сайт</t>
        </is>
      </c>
      <c r="O428" s="2" t="inlineStr">
        <is>
          <t>ЛЮКС ВТОРОЙ КОРПУС</t>
        </is>
      </c>
      <c r="P428" s="6" t="n"/>
      <c r="R428" t="inlineStr"/>
      <c r="S428" t="inlineStr">
        <is>
          <t>Тариф с завтраком</t>
        </is>
      </c>
      <c r="T428" t="n">
        <v>0</v>
      </c>
      <c r="U428" t="n">
        <v>35333</v>
      </c>
    </row>
    <row r="429">
      <c r="A429" t="inlineStr">
        <is>
          <t>20260905-8186-454296159</t>
        </is>
      </c>
      <c r="B429" t="n">
        <v>1</v>
      </c>
      <c r="C429" s="2" t="inlineStr">
        <is>
          <t>Егор Яковлев, Дарья Мухина</t>
        </is>
      </c>
      <c r="D429" s="3" t="n">
        <v>52800</v>
      </c>
      <c r="E429" s="4" t="n">
        <v>18</v>
      </c>
      <c r="F429" t="inlineStr">
        <is>
          <t>Яндекс.Путешествия [Чайковский]</t>
        </is>
      </c>
      <c r="G429" s="3">
        <f>ROUND(D429/(100-E429)*100,2)</f>
        <v/>
      </c>
      <c r="H429" s="5" t="n">
        <v>46270.58333333334</v>
      </c>
      <c r="I429" t="n">
        <v>4</v>
      </c>
      <c r="J429" s="3">
        <f>G429/I429</f>
        <v/>
      </c>
      <c r="K429">
        <f>IF(J429&gt;=5100,"ставка","мин.ставка")</f>
        <v/>
      </c>
      <c r="L429" s="3">
        <f>ROUND(IF(K429="мин.ставка",I429*100,G429/102*2),2)</f>
        <v/>
      </c>
      <c r="M429" s="5" t="n">
        <v>46274.5</v>
      </c>
      <c r="N429" t="inlineStr">
        <is>
          <t>TravelLine YAX</t>
        </is>
      </c>
      <c r="O429" s="2" t="inlineStr">
        <is>
          <t>ПОЛУЛЮКС</t>
        </is>
      </c>
      <c r="P429" s="6" t="n"/>
      <c r="R429" t="inlineStr"/>
      <c r="S429" t="inlineStr">
        <is>
          <t>Тариф с завтраком</t>
        </is>
      </c>
      <c r="T429" t="n">
        <v>0</v>
      </c>
      <c r="U429" t="n">
        <v>52800</v>
      </c>
    </row>
    <row r="430">
      <c r="A430" t="inlineStr">
        <is>
          <t>20260819-8186-459277807</t>
        </is>
      </c>
      <c r="B430" t="n">
        <v>1</v>
      </c>
      <c r="C430" s="2" t="inlineStr">
        <is>
          <t>ЕКАТЕРИНА БАСАРАБЕЦ</t>
        </is>
      </c>
      <c r="D430" s="3" t="n">
        <v>9647.5</v>
      </c>
      <c r="E430" s="4" t="n">
        <v>15</v>
      </c>
      <c r="F430" t="inlineStr">
        <is>
          <t>ООО "АКАДЕМ-ОНЛАЙН" [Чайковский]</t>
        </is>
      </c>
      <c r="G430" s="3">
        <f>ROUND(D430/(100-E430)*100,2)</f>
        <v/>
      </c>
      <c r="H430" s="5" t="n">
        <v>46253.58333333334</v>
      </c>
      <c r="I430" t="n">
        <v>1</v>
      </c>
      <c r="J430" s="3">
        <f>G430/I430</f>
        <v/>
      </c>
      <c r="K430">
        <f>IF(J430&gt;=5100,"ставка","мин.ставка")</f>
        <v/>
      </c>
      <c r="L430" s="3">
        <f>ROUND(IF(K430="мин.ставка",I430*100,G430/102*2),2)</f>
        <v/>
      </c>
      <c r="M430" s="5" t="n">
        <v>46254.5</v>
      </c>
      <c r="N430" t="inlineStr">
        <is>
          <t>TravelLine ACS</t>
        </is>
      </c>
      <c r="O430" s="2" t="inlineStr">
        <is>
          <t>СТАНДАРТНЫЙ ДВУХМЕСТНЫЙ НОМЕР</t>
        </is>
      </c>
      <c r="P430" s="6" t="n"/>
      <c r="R430" t="inlineStr"/>
      <c r="S430" t="inlineStr">
        <is>
          <t>Тариф с завтраком</t>
        </is>
      </c>
      <c r="T430" t="n">
        <v>0</v>
      </c>
      <c r="U430" t="n">
        <v>9647.5</v>
      </c>
    </row>
    <row r="431">
      <c r="A431" t="inlineStr">
        <is>
          <t>20260922-8186-459295837</t>
        </is>
      </c>
      <c r="B431" t="n">
        <v>1</v>
      </c>
      <c r="C431" s="2" t="inlineStr">
        <is>
          <t>ЕКАТЕРИНА ЕВТУШЕНКО</t>
        </is>
      </c>
      <c r="D431" s="3" t="n">
        <v>11704</v>
      </c>
      <c r="E431" s="4" t="n">
        <v>18</v>
      </c>
      <c r="F431" t="inlineStr">
        <is>
          <t>Яндекс.Путешествия [Чайковский]</t>
        </is>
      </c>
      <c r="G431" s="3">
        <f>ROUND(D431/(100-E431)*100,2)</f>
        <v/>
      </c>
      <c r="H431" s="5" t="n">
        <v>46287.58333333334</v>
      </c>
      <c r="I431" t="n">
        <v>2</v>
      </c>
      <c r="J431" s="3">
        <f>G431/I431</f>
        <v/>
      </c>
      <c r="K431">
        <f>IF(J431&gt;=5100,"ставка","мин.ставка")</f>
        <v/>
      </c>
      <c r="L431" s="3">
        <f>ROUND(IF(K431="мин.ставка",I431*100,G431/102*2),2)</f>
        <v/>
      </c>
      <c r="M431" s="5" t="n">
        <v>46289.5</v>
      </c>
      <c r="N431" t="inlineStr">
        <is>
          <t>TravelLine YAX</t>
        </is>
      </c>
      <c r="O431" s="2" t="inlineStr">
        <is>
          <t>СТАНДАРТНЫЙ ОДНОМЕСТНЫЙ НОМЕР</t>
        </is>
      </c>
      <c r="P431" s="6" t="n"/>
      <c r="R431" t="inlineStr"/>
      <c r="S431" t="inlineStr">
        <is>
          <t>Тариф с завтраком</t>
        </is>
      </c>
      <c r="T431" t="n">
        <v>0</v>
      </c>
      <c r="U431" t="n">
        <v>11704</v>
      </c>
    </row>
    <row r="432">
      <c r="A432" t="inlineStr">
        <is>
          <t>20260715-8186-423873505</t>
        </is>
      </c>
      <c r="B432" t="n">
        <v>1</v>
      </c>
      <c r="C432" s="2" t="inlineStr">
        <is>
          <t>Екатерина Егорова</t>
        </is>
      </c>
      <c r="D432" s="3" t="n">
        <v>25280</v>
      </c>
      <c r="E432" s="4" t="n">
        <v>18</v>
      </c>
      <c r="F432" t="inlineStr">
        <is>
          <t>Яндекс.Путешествия [Чайковский]</t>
        </is>
      </c>
      <c r="G432" s="3">
        <f>ROUND(D432/(100-E432)*100,2)</f>
        <v/>
      </c>
      <c r="H432" s="5" t="n">
        <v>46218.58333333334</v>
      </c>
      <c r="I432" t="n">
        <v>4</v>
      </c>
      <c r="J432" s="3">
        <f>G432/I432</f>
        <v/>
      </c>
      <c r="K432">
        <f>IF(J432&gt;=5100,"ставка","мин.ставка")</f>
        <v/>
      </c>
      <c r="L432" s="3">
        <f>ROUND(IF(K432="мин.ставка",I432*100,G432/102*2),2)</f>
        <v/>
      </c>
      <c r="M432" s="5" t="n">
        <v>46222.5</v>
      </c>
      <c r="N432" t="inlineStr">
        <is>
          <t>TravelLine YAX</t>
        </is>
      </c>
      <c r="O432" s="2" t="inlineStr">
        <is>
          <t>СТАНДАРТНЫЙ ДВУХМЕСТНЫЙ НОМЕР (МАНСАРДА)</t>
        </is>
      </c>
      <c r="P432" s="6" t="n"/>
      <c r="R432" t="inlineStr"/>
      <c r="S432" t="inlineStr">
        <is>
          <t>Тариф с завтраком</t>
        </is>
      </c>
      <c r="T432" t="n">
        <v>0</v>
      </c>
      <c r="U432" t="n">
        <v>25280</v>
      </c>
    </row>
    <row r="433">
      <c r="A433" t="inlineStr">
        <is>
          <t>20260829-8186-460256896</t>
        </is>
      </c>
      <c r="B433" t="n">
        <v>1</v>
      </c>
      <c r="C433" s="2" t="inlineStr">
        <is>
          <t>ЕКАТЕРИНА ЕГОРОВА</t>
        </is>
      </c>
      <c r="D433" s="3" t="n">
        <v>15555.1</v>
      </c>
      <c r="E433" s="4" t="n">
        <v>4</v>
      </c>
      <c r="F433" t="inlineStr">
        <is>
          <t>TravelLine Booking Engine [Чайковский]</t>
        </is>
      </c>
      <c r="G433" s="3">
        <f>ROUND(D433/(100-E433)*100,2)</f>
        <v/>
      </c>
      <c r="H433" s="5" t="n">
        <v>46263.58333333334</v>
      </c>
      <c r="I433" t="n">
        <v>2</v>
      </c>
      <c r="J433" s="3">
        <f>G433/I433</f>
        <v/>
      </c>
      <c r="K433">
        <f>IF(J433&gt;=5100,"ставка","мин.ставка")</f>
        <v/>
      </c>
      <c r="L433" s="3">
        <f>ROUND(IF(K433="мин.ставка",I433*100,G433/102*2),2)</f>
        <v/>
      </c>
      <c r="M433" s="5" t="n">
        <v>46265.5</v>
      </c>
      <c r="N433" t="inlineStr">
        <is>
          <t>TravelLine сайт</t>
        </is>
      </c>
      <c r="O433" s="2" t="inlineStr">
        <is>
          <t>СТАНДАРТНЫЙ ДВУХМЕСТНЫЙ НОМЕР (МАНСАРДА)</t>
        </is>
      </c>
      <c r="P433" s="6" t="n"/>
      <c r="R433" t="inlineStr"/>
      <c r="S433" t="inlineStr">
        <is>
          <t>Тариф с завтраком</t>
        </is>
      </c>
      <c r="T433" t="n">
        <v>0</v>
      </c>
      <c r="U433" t="n">
        <v>15555.1</v>
      </c>
    </row>
    <row r="434">
      <c r="A434" t="inlineStr">
        <is>
          <t>20260823-8186-457343418</t>
        </is>
      </c>
      <c r="B434" t="n">
        <v>1</v>
      </c>
      <c r="C434" s="2" t="inlineStr">
        <is>
          <t>Екатерина Зайцева, Александр Демидов</t>
        </is>
      </c>
      <c r="D434" s="3" t="n">
        <v>89474</v>
      </c>
      <c r="E434" s="4" t="n">
        <v>17</v>
      </c>
      <c r="F434" t="inlineStr">
        <is>
          <t>ООО «Интернет Трэвел» (OZON) [Чайковский]</t>
        </is>
      </c>
      <c r="G434" s="3">
        <f>ROUND(D434/(100-E434)*100,2)</f>
        <v/>
      </c>
      <c r="H434" s="5" t="n">
        <v>46257.58333333334</v>
      </c>
      <c r="I434" t="n">
        <v>7</v>
      </c>
      <c r="J434" s="3">
        <f>G434/I434</f>
        <v/>
      </c>
      <c r="K434">
        <f>IF(J434&gt;=5100,"ставка","мин.ставка")</f>
        <v/>
      </c>
      <c r="L434" s="3">
        <f>ROUND(IF(K434="мин.ставка",I434*100,G434/102*2),2)</f>
        <v/>
      </c>
      <c r="M434" s="5" t="n">
        <v>46264.5</v>
      </c>
      <c r="N434" t="inlineStr">
        <is>
          <t>TravelLine OZ2</t>
        </is>
      </c>
      <c r="O434" s="2" t="inlineStr">
        <is>
          <t>УЛУЧШЕННЫЙ ДВУХМЕСТНЫЙ НОМЕР</t>
        </is>
      </c>
      <c r="P434" s="6" t="n"/>
      <c r="R434" t="inlineStr"/>
      <c r="S434" t="inlineStr">
        <is>
          <t>Тариф с завтраком</t>
        </is>
      </c>
      <c r="T434" t="n">
        <v>0</v>
      </c>
      <c r="U434" t="n">
        <v>89474</v>
      </c>
    </row>
    <row r="435">
      <c r="A435" t="inlineStr">
        <is>
          <t>20260724-8186-452008771</t>
        </is>
      </c>
      <c r="B435" t="n">
        <v>1</v>
      </c>
      <c r="C435" s="2" t="inlineStr">
        <is>
          <t>Екатерина Закревская</t>
        </is>
      </c>
      <c r="D435" s="3" t="n">
        <v>6160</v>
      </c>
      <c r="E435" s="4" t="n">
        <v>20</v>
      </c>
      <c r="F435" t="inlineStr">
        <is>
          <t>ООО "КОМПАНИЯ БРОНЕВИК" [Чайковский]</t>
        </is>
      </c>
      <c r="G435" s="3">
        <f>ROUND(D435/(100-E435)*100,2)</f>
        <v/>
      </c>
      <c r="H435" s="5" t="n">
        <v>46227.58333333334</v>
      </c>
      <c r="I435" t="n">
        <v>1</v>
      </c>
      <c r="J435" s="3">
        <f>G435/I435</f>
        <v/>
      </c>
      <c r="K435">
        <f>IF(J435&gt;=5100,"ставка","мин.ставка")</f>
        <v/>
      </c>
      <c r="L435" s="3">
        <f>ROUND(IF(K435="мин.ставка",I435*100,G435/102*2),2)</f>
        <v/>
      </c>
      <c r="M435" s="5" t="n">
        <v>46228.5</v>
      </c>
      <c r="N435" t="inlineStr">
        <is>
          <t>TravelLine BR2</t>
        </is>
      </c>
      <c r="O435" s="2" t="inlineStr">
        <is>
          <t>СТАНДАРТНЫЙ ОДНОМЕСТНЫЙ НОМЕР</t>
        </is>
      </c>
      <c r="P435" s="6" t="n"/>
      <c r="R435" t="inlineStr"/>
      <c r="S435" t="inlineStr">
        <is>
          <t>Тариф с завтраком</t>
        </is>
      </c>
      <c r="T435" t="n">
        <v>0</v>
      </c>
      <c r="U435" t="n">
        <v>6160</v>
      </c>
    </row>
    <row r="436">
      <c r="A436" t="inlineStr">
        <is>
          <t>20260707-8186-425680261</t>
        </is>
      </c>
      <c r="B436" t="n">
        <v>1</v>
      </c>
      <c r="C436" s="2" t="inlineStr">
        <is>
          <t>Екатерина Лобанова</t>
        </is>
      </c>
      <c r="D436" s="3" t="n">
        <v>21945</v>
      </c>
      <c r="E436" s="4" t="n">
        <v>17</v>
      </c>
      <c r="F436" t="inlineStr">
        <is>
          <t>ООО "ОНЛАЙН ИННОВАЦИИ" (101 Отель) [Чайковский]</t>
        </is>
      </c>
      <c r="G436" s="3">
        <f>ROUND(D436/(100-E436)*100,2)</f>
        <v/>
      </c>
      <c r="H436" s="5" t="n">
        <v>46210.58333333334</v>
      </c>
      <c r="I436" t="n">
        <v>3</v>
      </c>
      <c r="J436" s="3">
        <f>G436/I436</f>
        <v/>
      </c>
      <c r="K436">
        <f>IF(J436&gt;=5100,"ставка","мин.ставка")</f>
        <v/>
      </c>
      <c r="L436" s="3">
        <f>ROUND(IF(K436="мин.ставка",I436*100,G436/102*2),2)</f>
        <v/>
      </c>
      <c r="M436" s="5" t="n">
        <v>46213.5</v>
      </c>
      <c r="N436" t="inlineStr">
        <is>
          <t>TravelLine H1C</t>
        </is>
      </c>
      <c r="O436" s="2" t="inlineStr">
        <is>
          <t>СТАНДАРТНЫЙ ОДНОМЕСТНЫЙ НОМЕР</t>
        </is>
      </c>
      <c r="P436" s="6" t="n"/>
      <c r="R436" t="inlineStr"/>
      <c r="S436" t="inlineStr">
        <is>
          <t>Тариф с завтраком</t>
        </is>
      </c>
      <c r="T436" t="n">
        <v>0</v>
      </c>
      <c r="U436" t="n">
        <v>21945</v>
      </c>
    </row>
    <row r="437">
      <c r="A437" t="inlineStr">
        <is>
          <t>20260829-8186-459139578</t>
        </is>
      </c>
      <c r="B437" t="n">
        <v>1</v>
      </c>
      <c r="C437" s="2" t="inlineStr">
        <is>
          <t>Екатерина Лотова, константин лотов</t>
        </is>
      </c>
      <c r="D437" s="3" t="n">
        <v>8217</v>
      </c>
      <c r="E437" s="4" t="n">
        <v>18</v>
      </c>
      <c r="F437" t="inlineStr">
        <is>
          <t>Яндекс.Путешествия [Чайковский]</t>
        </is>
      </c>
      <c r="G437" s="3">
        <f>ROUND(D437/(100-E437)*100,2)</f>
        <v/>
      </c>
      <c r="H437" s="5" t="n">
        <v>46263.58333333334</v>
      </c>
      <c r="I437" t="n">
        <v>1</v>
      </c>
      <c r="J437" s="3">
        <f>G437/I437</f>
        <v/>
      </c>
      <c r="K437">
        <f>IF(J437&gt;=5100,"ставка","мин.ставка")</f>
        <v/>
      </c>
      <c r="L437" s="3">
        <f>ROUND(IF(K437="мин.ставка",I437*100,G437/102*2),2)</f>
        <v/>
      </c>
      <c r="M437" s="5" t="n">
        <v>46264.5</v>
      </c>
      <c r="N437" t="inlineStr">
        <is>
          <t>TravelLine YAX</t>
        </is>
      </c>
      <c r="O437" s="2" t="inlineStr">
        <is>
          <t>СТАНДАРТНЫЙ ДВУХМЕСТНЫЙ НОМЕР</t>
        </is>
      </c>
      <c r="P437" s="6" t="n"/>
      <c r="R437" t="inlineStr"/>
      <c r="S437" t="inlineStr">
        <is>
          <t>Тариф с завтраком</t>
        </is>
      </c>
      <c r="T437" t="n">
        <v>0</v>
      </c>
      <c r="U437" t="n">
        <v>8217</v>
      </c>
    </row>
    <row r="438">
      <c r="A438" t="inlineStr">
        <is>
          <t>20260705-8186-445487488</t>
        </is>
      </c>
      <c r="B438" t="n">
        <v>1</v>
      </c>
      <c r="C438" s="2" t="inlineStr">
        <is>
          <t>ЕКАТЕРИНА МАТУСЕВИЧ</t>
        </is>
      </c>
      <c r="D438" s="3" t="n">
        <v>9080</v>
      </c>
      <c r="E438" s="4" t="n">
        <v>20</v>
      </c>
      <c r="F438" t="inlineStr">
        <is>
          <t>ООО "ХБ-ПРО" [Чайковский]</t>
        </is>
      </c>
      <c r="G438" s="3">
        <f>ROUND(D438/(100-E438)*100,2)</f>
        <v/>
      </c>
      <c r="H438" s="5" t="n">
        <v>46208.58333333334</v>
      </c>
      <c r="I438" t="n">
        <v>1</v>
      </c>
      <c r="J438" s="3">
        <f>G438/I438</f>
        <v/>
      </c>
      <c r="K438">
        <f>IF(J438&gt;=5100,"ставка","мин.ставка")</f>
        <v/>
      </c>
      <c r="L438" s="3">
        <f>ROUND(IF(K438="мин.ставка",I438*100,G438/102*2),2)</f>
        <v/>
      </c>
      <c r="M438" s="5" t="n">
        <v>46209.5</v>
      </c>
      <c r="N438" t="inlineStr">
        <is>
          <t>TravelLine UTS</t>
        </is>
      </c>
      <c r="O438" s="2" t="inlineStr">
        <is>
          <t>СТАНДАРТНЫЙ ДВУХМЕСТНЫЙ НОМЕР</t>
        </is>
      </c>
      <c r="P438" s="6" t="n"/>
      <c r="R438" t="inlineStr"/>
      <c r="S438" t="inlineStr">
        <is>
          <t>Тариф с завтраком</t>
        </is>
      </c>
      <c r="T438" t="n">
        <v>0</v>
      </c>
      <c r="U438" t="n">
        <v>9080</v>
      </c>
    </row>
    <row r="439">
      <c r="A439" t="inlineStr">
        <is>
          <t>20260902-8186-461101023</t>
        </is>
      </c>
      <c r="B439" t="n">
        <v>1</v>
      </c>
      <c r="C439" s="2" t="inlineStr">
        <is>
          <t>Екатерина Михалева</t>
        </is>
      </c>
      <c r="D439" s="3" t="n">
        <v>27921</v>
      </c>
      <c r="E439" s="4" t="n">
        <v>18</v>
      </c>
      <c r="F439" t="inlineStr">
        <is>
          <t>ООО "Эй энд Эй" [Чайковский]</t>
        </is>
      </c>
      <c r="G439" s="3">
        <f>ROUND(D439/(100-E439)*100,2)</f>
        <v/>
      </c>
      <c r="H439" s="5" t="n">
        <v>46267.58333333334</v>
      </c>
      <c r="I439" t="n">
        <v>3</v>
      </c>
      <c r="J439" s="3">
        <f>G439/I439</f>
        <v/>
      </c>
      <c r="K439">
        <f>IF(J439&gt;=5100,"ставка","мин.ставка")</f>
        <v/>
      </c>
      <c r="L439" s="3">
        <f>ROUND(IF(K439="мин.ставка",I439*100,G439/102*2),2)</f>
        <v/>
      </c>
      <c r="M439" s="5" t="n">
        <v>46270.5</v>
      </c>
      <c r="N439" t="inlineStr">
        <is>
          <t>TravelLine ANA</t>
        </is>
      </c>
      <c r="O439" s="2" t="inlineStr">
        <is>
          <t>СТАНДАРТНЫЙ ДВУХМЕСТНЫЙ НОМЕР</t>
        </is>
      </c>
      <c r="P439" s="6" t="n"/>
      <c r="R439" t="inlineStr"/>
      <c r="S439" t="inlineStr">
        <is>
          <t>Тариф с завтраком</t>
        </is>
      </c>
      <c r="T439" t="n">
        <v>0</v>
      </c>
      <c r="U439" t="n">
        <v>27921</v>
      </c>
    </row>
    <row r="440">
      <c r="A440" t="inlineStr">
        <is>
          <t>20260914-8186-465905610</t>
        </is>
      </c>
      <c r="B440" t="n">
        <v>1</v>
      </c>
      <c r="C440" s="2" t="inlineStr">
        <is>
          <t>ЕКАТЕРИНА МОЛОДЦОВА</t>
        </is>
      </c>
      <c r="D440" s="3" t="n">
        <v>6545</v>
      </c>
      <c r="E440" s="4" t="n">
        <v>15</v>
      </c>
      <c r="F440" t="inlineStr">
        <is>
          <t>ООО «12Т» (ранее ONE TWO TRIP) [Чайковский]</t>
        </is>
      </c>
      <c r="G440" s="3">
        <f>ROUND(D440/(100-E440)*100,2)</f>
        <v/>
      </c>
      <c r="H440" s="5" t="n">
        <v>46279.58333333334</v>
      </c>
      <c r="I440" t="n">
        <v>1</v>
      </c>
      <c r="J440" s="3">
        <f>G440/I440</f>
        <v/>
      </c>
      <c r="K440">
        <f>IF(J440&gt;=5100,"ставка","мин.ставка")</f>
        <v/>
      </c>
      <c r="L440" s="3">
        <f>ROUND(IF(K440="мин.ставка",I440*100,G440/102*2),2)</f>
        <v/>
      </c>
      <c r="M440" s="5" t="n">
        <v>46280.5</v>
      </c>
      <c r="N440" t="inlineStr">
        <is>
          <t>TravelLine OTT</t>
        </is>
      </c>
      <c r="O440" s="2" t="inlineStr">
        <is>
          <t>СТАНДАРТНЫЙ ОДНОМЕСТНЫЙ НОМЕР</t>
        </is>
      </c>
      <c r="P440" s="6" t="n"/>
      <c r="R440" t="inlineStr"/>
      <c r="S440" t="inlineStr">
        <is>
          <t>Тариф с завтраком</t>
        </is>
      </c>
      <c r="T440" t="n">
        <v>0</v>
      </c>
      <c r="U440" t="n">
        <v>6545</v>
      </c>
    </row>
    <row r="441">
      <c r="A441" t="inlineStr">
        <is>
          <t>20260826-8186-459009003</t>
        </is>
      </c>
      <c r="B441" t="n">
        <v>1</v>
      </c>
      <c r="C441" s="2" t="inlineStr">
        <is>
          <t>Екатерина Назарова</t>
        </is>
      </c>
      <c r="D441" s="3" t="n">
        <v>7584.5</v>
      </c>
      <c r="E441" s="4" t="n">
        <v>4</v>
      </c>
      <c r="F441" t="inlineStr">
        <is>
          <t>TravelLine Booking Engine [Чайковский]</t>
        </is>
      </c>
      <c r="G441" s="3">
        <f>ROUND(D441/(100-E441)*100,2)</f>
        <v/>
      </c>
      <c r="H441" s="5" t="n">
        <v>46260.58333333334</v>
      </c>
      <c r="I441" t="n">
        <v>1</v>
      </c>
      <c r="J441" s="3">
        <f>G441/I441</f>
        <v/>
      </c>
      <c r="K441">
        <f>IF(J441&gt;=5100,"ставка","мин.ставка")</f>
        <v/>
      </c>
      <c r="L441" s="3">
        <f>ROUND(IF(K441="мин.ставка",I441*100,G441/102*2),2)</f>
        <v/>
      </c>
      <c r="M441" s="5" t="n">
        <v>46261.5</v>
      </c>
      <c r="N441" t="inlineStr">
        <is>
          <t>TravelLine сайт</t>
        </is>
      </c>
      <c r="O441" s="2" t="inlineStr">
        <is>
          <t>СТАНДАРТНЫЙ ОДНОМЕСТНЫЙ НОМЕР</t>
        </is>
      </c>
      <c r="P441" s="6" t="n"/>
      <c r="R441" t="inlineStr"/>
      <c r="S441" t="inlineStr">
        <is>
          <t>Тариф с завтраком</t>
        </is>
      </c>
      <c r="T441" t="n">
        <v>0</v>
      </c>
      <c r="U441" t="n">
        <v>7584.5</v>
      </c>
    </row>
    <row r="442">
      <c r="A442" t="inlineStr">
        <is>
          <t>20260710-8186-448939418</t>
        </is>
      </c>
      <c r="B442" t="n">
        <v>1</v>
      </c>
      <c r="C442" s="2" t="inlineStr">
        <is>
          <t>Екатерина Привалова, Семен Лаврин</t>
        </is>
      </c>
      <c r="D442" s="3" t="n">
        <v>8415</v>
      </c>
      <c r="E442" s="4" t="n">
        <v>15</v>
      </c>
      <c r="F442" t="inlineStr">
        <is>
          <t>ООО "БРОНИРОВАНИЕ ГОСТИНИЦ" (OSTROVOK) [Чайковский]</t>
        </is>
      </c>
      <c r="G442" s="3">
        <f>ROUND(D442/(100-E442)*100,2)</f>
        <v/>
      </c>
      <c r="H442" s="5" t="n">
        <v>46213.58333333334</v>
      </c>
      <c r="I442" t="n">
        <v>1</v>
      </c>
      <c r="J442" s="3">
        <f>G442/I442</f>
        <v/>
      </c>
      <c r="K442">
        <f>IF(J442&gt;=5100,"ставка","мин.ставка")</f>
        <v/>
      </c>
      <c r="L442" s="3">
        <f>ROUND(IF(K442="мин.ставка",I442*100,G442/102*2),2)</f>
        <v/>
      </c>
      <c r="M442" s="5" t="n">
        <v>46214.5</v>
      </c>
      <c r="N442" t="inlineStr">
        <is>
          <t>TravelLine OTK</t>
        </is>
      </c>
      <c r="O442" s="2" t="inlineStr">
        <is>
          <t>СТАНДАРТНЫЙ ДВУХМЕСТНЫЙ НОМЕР (МАНСАРДА)</t>
        </is>
      </c>
      <c r="P442" s="6" t="n"/>
      <c r="R442" t="inlineStr"/>
      <c r="S442" t="inlineStr">
        <is>
          <t>Тариф с завтраком</t>
        </is>
      </c>
      <c r="T442" t="n">
        <v>0</v>
      </c>
      <c r="U442" t="n">
        <v>8415</v>
      </c>
    </row>
    <row r="443">
      <c r="A443" t="inlineStr">
        <is>
          <t>20260704-8186-447564209</t>
        </is>
      </c>
      <c r="B443" t="n">
        <v>1</v>
      </c>
      <c r="C443" s="2" t="inlineStr">
        <is>
          <t>ЕКАТЕРИНА ПРОВОЗИНА, ФЁДОР ПРОВОЗИН</t>
        </is>
      </c>
      <c r="D443" s="3" t="n">
        <v>21100</v>
      </c>
      <c r="E443" s="4" t="n">
        <v>18</v>
      </c>
      <c r="F443" t="inlineStr">
        <is>
          <t>Яндекс.Путешествия [Чайковский]</t>
        </is>
      </c>
      <c r="G443" s="3">
        <f>ROUND(D443/(100-E443)*100,2)</f>
        <v/>
      </c>
      <c r="H443" s="5" t="n">
        <v>46207.58333333334</v>
      </c>
      <c r="I443" t="n">
        <v>2</v>
      </c>
      <c r="J443" s="3">
        <f>G443/I443</f>
        <v/>
      </c>
      <c r="K443">
        <f>IF(J443&gt;=5100,"ставка","мин.ставка")</f>
        <v/>
      </c>
      <c r="L443" s="3">
        <f>ROUND(IF(K443="мин.ставка",I443*100,G443/102*2),2)</f>
        <v/>
      </c>
      <c r="M443" s="5" t="n">
        <v>46209.5</v>
      </c>
      <c r="N443" t="inlineStr">
        <is>
          <t>TravelLine YAX</t>
        </is>
      </c>
      <c r="O443" s="2" t="inlineStr">
        <is>
          <t>ПОЛУЛЮКС</t>
        </is>
      </c>
      <c r="P443" s="6" t="n"/>
      <c r="R443" t="inlineStr"/>
      <c r="S443" t="inlineStr">
        <is>
          <t>Основной тариф без завтрака</t>
        </is>
      </c>
      <c r="T443" t="n">
        <v>0</v>
      </c>
      <c r="U443" t="n">
        <v>21100</v>
      </c>
    </row>
    <row r="444">
      <c r="A444" t="inlineStr">
        <is>
          <t>20260902-8186-463011978</t>
        </is>
      </c>
      <c r="B444" t="n">
        <v>1</v>
      </c>
      <c r="C444" s="2" t="inlineStr">
        <is>
          <t>Екатерина Сабайда</t>
        </is>
      </c>
      <c r="D444" s="3" t="n">
        <v>9960</v>
      </c>
      <c r="E444" s="4" t="n">
        <v>18</v>
      </c>
      <c r="F444" t="inlineStr">
        <is>
          <t>Яндекс.Путешествия [Чайковский]</t>
        </is>
      </c>
      <c r="G444" s="3">
        <f>ROUND(D444/(100-E444)*100,2)</f>
        <v/>
      </c>
      <c r="H444" s="5" t="n">
        <v>46267.58333333334</v>
      </c>
      <c r="I444" t="n">
        <v>1</v>
      </c>
      <c r="J444" s="3">
        <f>G444/I444</f>
        <v/>
      </c>
      <c r="K444">
        <f>IF(J444&gt;=5100,"ставка","мин.ставка")</f>
        <v/>
      </c>
      <c r="L444" s="3">
        <f>ROUND(IF(K444="мин.ставка",I444*100,G444/102*2),2)</f>
        <v/>
      </c>
      <c r="M444" s="5" t="n">
        <v>46268.5</v>
      </c>
      <c r="N444" t="inlineStr">
        <is>
          <t>TravelLine YAX</t>
        </is>
      </c>
      <c r="O444" s="2" t="inlineStr">
        <is>
          <t>СЕМЕЙНЫЙ НОМЕР КАТЕГОРИИ "СТАНДАРТ" ВТОРОЙ КОРПУС</t>
        </is>
      </c>
      <c r="P444" s="6" t="n"/>
      <c r="R444" t="inlineStr"/>
      <c r="S444" t="inlineStr">
        <is>
          <t>Тариф с завтраком</t>
        </is>
      </c>
      <c r="T444" t="n">
        <v>0</v>
      </c>
      <c r="U444" t="n">
        <v>9960</v>
      </c>
    </row>
    <row r="445">
      <c r="A445" t="inlineStr">
        <is>
          <t>20260929-8186-468407727</t>
        </is>
      </c>
      <c r="B445" t="n">
        <v>1</v>
      </c>
      <c r="C445" s="2" t="inlineStr">
        <is>
          <t>Екатерина Сабайда</t>
        </is>
      </c>
      <c r="D445" s="3" t="n">
        <v>9080</v>
      </c>
      <c r="E445" s="4" t="n">
        <v>18</v>
      </c>
      <c r="F445" t="inlineStr">
        <is>
          <t>Яндекс.Путешествия [Чайковский]</t>
        </is>
      </c>
      <c r="G445" s="3">
        <f>ROUND(D445/(100-E445)*100,2)</f>
        <v/>
      </c>
      <c r="H445" s="5" t="n">
        <v>46294.58333333334</v>
      </c>
      <c r="I445" t="n">
        <v>1</v>
      </c>
      <c r="J445" s="3">
        <f>G445/I445</f>
        <v/>
      </c>
      <c r="K445">
        <f>IF(J445&gt;=5100,"ставка","мин.ставка")</f>
        <v/>
      </c>
      <c r="L445" s="3">
        <f>ROUND(IF(K445="мин.ставка",I445*100,G445/102*2),2)</f>
        <v/>
      </c>
      <c r="M445" s="5" t="n">
        <v>46295.5</v>
      </c>
      <c r="N445" t="inlineStr">
        <is>
          <t>TravelLine YAX</t>
        </is>
      </c>
      <c r="O445" s="2" t="inlineStr">
        <is>
          <t>СТАНДАРТНЫЙ ДВУХМЕСТНЫЙ НОМЕР</t>
        </is>
      </c>
      <c r="P445" s="6" t="n"/>
      <c r="R445" t="inlineStr"/>
      <c r="S445" t="inlineStr">
        <is>
          <t>Тариф с завтраком</t>
        </is>
      </c>
      <c r="T445" t="n">
        <v>0</v>
      </c>
      <c r="U445" t="n">
        <v>9080</v>
      </c>
    </row>
    <row r="446">
      <c r="A446" t="inlineStr">
        <is>
          <t>20260922-8186-466965314</t>
        </is>
      </c>
      <c r="B446" t="n">
        <v>1</v>
      </c>
      <c r="C446" s="2" t="inlineStr">
        <is>
          <t>Екатерина Склярова</t>
        </is>
      </c>
      <c r="D446" s="3" t="n">
        <v>53550</v>
      </c>
      <c r="E446" s="4" t="n">
        <v>18</v>
      </c>
      <c r="F446" t="inlineStr">
        <is>
          <t>Яндекс.Путешествия [Чайковский]</t>
        </is>
      </c>
      <c r="G446" s="3">
        <f>ROUND(D446/(100-E446)*100,2)</f>
        <v/>
      </c>
      <c r="H446" s="5" t="n">
        <v>46287.58333333334</v>
      </c>
      <c r="I446" t="n">
        <v>6</v>
      </c>
      <c r="J446" s="3">
        <f>G446/I446</f>
        <v/>
      </c>
      <c r="K446">
        <f>IF(J446&gt;=5100,"ставка","мин.ставка")</f>
        <v/>
      </c>
      <c r="L446" s="3">
        <f>ROUND(IF(K446="мин.ставка",I446*100,G446/102*2),2)</f>
        <v/>
      </c>
      <c r="M446" s="5" t="n">
        <v>46293.5</v>
      </c>
      <c r="N446" t="inlineStr">
        <is>
          <t>TravelLine YAX</t>
        </is>
      </c>
      <c r="O446" s="2" t="inlineStr">
        <is>
          <t>УЛУЧШЕННЫЙ ДВУХМЕСТНЫЙ НОМЕР</t>
        </is>
      </c>
      <c r="P446" s="6" t="n"/>
      <c r="R446" t="inlineStr"/>
      <c r="S446" t="inlineStr">
        <is>
          <t>Основной тариф без завтрака</t>
        </is>
      </c>
      <c r="T446" t="n">
        <v>0</v>
      </c>
      <c r="U446" t="n">
        <v>53550</v>
      </c>
    </row>
    <row r="447">
      <c r="A447" t="inlineStr">
        <is>
          <t>20260930-8186-467222109</t>
        </is>
      </c>
      <c r="B447" t="n">
        <v>1</v>
      </c>
      <c r="C447" s="2" t="inlineStr">
        <is>
          <t>ЕКАТЕРИНА СОКОЛОВА, АНДРЕЙ СОКОЛОВ</t>
        </is>
      </c>
      <c r="D447" s="3" t="n">
        <v>17052</v>
      </c>
      <c r="E447" s="4" t="n">
        <v>16</v>
      </c>
      <c r="F447" t="inlineStr">
        <is>
          <t>ООО "БРОНИРОВАНИЕ ГОСТИНИЦ" (OSTROVOK) [Чайковский]</t>
        </is>
      </c>
      <c r="G447" s="3">
        <f>ROUND(D447/(100-E447)*100,2)</f>
        <v/>
      </c>
      <c r="H447" s="5" t="n">
        <v>46295.58333333334</v>
      </c>
      <c r="I447" t="n">
        <v>2</v>
      </c>
      <c r="J447" s="3">
        <f>G447/I447</f>
        <v/>
      </c>
      <c r="K447">
        <f>IF(J447&gt;=5100,"ставка","мин.ставка")</f>
        <v/>
      </c>
      <c r="L447" s="3">
        <f>ROUND(IF(K447="мин.ставка",I447*100,G447/102*2),2)</f>
        <v/>
      </c>
      <c r="M447" s="5" t="n">
        <v>46297.5</v>
      </c>
      <c r="N447" t="inlineStr">
        <is>
          <t>TravelLine OTK</t>
        </is>
      </c>
      <c r="O447" s="2" t="inlineStr">
        <is>
          <t>СТАНДАРТНЫЙ ДВУХМЕСТНЫЙ НОМЕР</t>
        </is>
      </c>
      <c r="P447" s="6" t="n"/>
      <c r="R447" t="inlineStr"/>
      <c r="S447" t="inlineStr">
        <is>
          <t>Основной тариф без завтрака</t>
        </is>
      </c>
      <c r="T447" t="n">
        <v>0</v>
      </c>
      <c r="U447" t="n">
        <v>17052</v>
      </c>
    </row>
    <row r="448">
      <c r="A448" t="inlineStr">
        <is>
          <t>20260729-8186-449842450</t>
        </is>
      </c>
      <c r="B448" t="n">
        <v>1</v>
      </c>
      <c r="C448" s="2" t="inlineStr">
        <is>
          <t>ЕКАТЕРИНА ТИМОФЕЕВА, ДАРЬЯ ТИМОФЕЕВА</t>
        </is>
      </c>
      <c r="D448" s="3" t="n">
        <v>53400</v>
      </c>
      <c r="E448" s="4" t="n">
        <v>0</v>
      </c>
      <c r="F448" t="inlineStr">
        <is>
          <t>Прямые бронирования (стойка) [Чайковский]</t>
        </is>
      </c>
      <c r="G448" s="3">
        <f>ROUND(D448/(100-E448)*100,2)</f>
        <v/>
      </c>
      <c r="H448" s="5" t="n">
        <v>46232.58333333334</v>
      </c>
      <c r="I448" t="n">
        <v>5</v>
      </c>
      <c r="J448" s="3">
        <f>G448/I448</f>
        <v/>
      </c>
      <c r="K448">
        <f>IF(J448&gt;=5100,"ставка","мин.ставка")</f>
        <v/>
      </c>
      <c r="L448" s="3">
        <f>ROUND(IF(K448="мин.ставка",I448*100,G448/102*2),2)</f>
        <v/>
      </c>
      <c r="M448" s="5" t="n">
        <v>46237.5</v>
      </c>
      <c r="N448" t="inlineStr">
        <is>
          <t>TravelLine ресепшн</t>
        </is>
      </c>
      <c r="O448" s="2" t="inlineStr">
        <is>
          <t>СТАНДАРТНЫЙ ДВУХМЕСТНЫЙ НОМЕР</t>
        </is>
      </c>
      <c r="P448" s="6" t="n"/>
      <c r="R448" t="inlineStr"/>
      <c r="S448" t="inlineStr">
        <is>
          <t>Тариф с завтраком</t>
        </is>
      </c>
      <c r="T448" t="n">
        <v>0</v>
      </c>
      <c r="U448" t="n">
        <v>53400</v>
      </c>
    </row>
    <row r="449">
      <c r="A449" t="inlineStr">
        <is>
          <t>20260918-8186-466279182</t>
        </is>
      </c>
      <c r="B449" t="n">
        <v>1</v>
      </c>
      <c r="C449" s="2" t="inlineStr">
        <is>
          <t>ЕЛЕНА АНДРЕЕВА</t>
        </is>
      </c>
      <c r="D449" s="3" t="n">
        <v>7700</v>
      </c>
      <c r="E449" s="4" t="n">
        <v>0</v>
      </c>
      <c r="F449" t="inlineStr">
        <is>
          <t>Прямые бронирования (стойка) [Чайковский]</t>
        </is>
      </c>
      <c r="G449" s="3">
        <f>ROUND(D449/(100-E449)*100,2)</f>
        <v/>
      </c>
      <c r="H449" s="5" t="n">
        <v>46283.58333333334</v>
      </c>
      <c r="I449" t="n">
        <v>1</v>
      </c>
      <c r="J449" s="3">
        <f>G449/I449</f>
        <v/>
      </c>
      <c r="K449">
        <f>IF(J449&gt;=5100,"ставка","мин.ставка")</f>
        <v/>
      </c>
      <c r="L449" s="3">
        <f>ROUND(IF(K449="мин.ставка",I449*100,G449/102*2),2)</f>
        <v/>
      </c>
      <c r="M449" s="5" t="n">
        <v>46284.5</v>
      </c>
      <c r="N449" t="inlineStr">
        <is>
          <t>TravelLine ресепшн</t>
        </is>
      </c>
      <c r="O449" s="2" t="inlineStr">
        <is>
          <t>СТАНДАРТНЫЙ ОДНОМЕСТНЫЙ НОМЕР</t>
        </is>
      </c>
      <c r="P449" s="6" t="n"/>
      <c r="R449" t="inlineStr"/>
      <c r="S449" t="inlineStr">
        <is>
          <t>Тариф с завтраком</t>
        </is>
      </c>
      <c r="T449" t="n">
        <v>0</v>
      </c>
      <c r="U449" t="n">
        <v>7700</v>
      </c>
    </row>
    <row r="450">
      <c r="A450" t="inlineStr">
        <is>
          <t>20260710-8186-443713905</t>
        </is>
      </c>
      <c r="B450" t="n">
        <v>1</v>
      </c>
      <c r="C450" s="2" t="inlineStr">
        <is>
          <t>Елена Веретенина</t>
        </is>
      </c>
      <c r="D450" s="3" t="n">
        <v>38261.3</v>
      </c>
      <c r="E450" s="4" t="n">
        <v>4</v>
      </c>
      <c r="F450" t="inlineStr">
        <is>
          <t>TravelLine Booking Engine [Чайковский]</t>
        </is>
      </c>
      <c r="G450" s="3">
        <f>ROUND(D450/(100-E450)*100,2)</f>
        <v/>
      </c>
      <c r="H450" s="5" t="n">
        <v>46213.58333333334</v>
      </c>
      <c r="I450" t="n">
        <v>5</v>
      </c>
      <c r="J450" s="3">
        <f>G450/I450</f>
        <v/>
      </c>
      <c r="K450">
        <f>IF(J450&gt;=5100,"ставка","мин.ставка")</f>
        <v/>
      </c>
      <c r="L450" s="3">
        <f>ROUND(IF(K450="мин.ставка",I450*100,G450/102*2),2)</f>
        <v/>
      </c>
      <c r="M450" s="5" t="n">
        <v>46218.5</v>
      </c>
      <c r="N450" t="inlineStr">
        <is>
          <t>TravelLine сайт</t>
        </is>
      </c>
      <c r="O450" s="2" t="inlineStr">
        <is>
          <t>СТАНДАРТНЫЙ ОДНОМЕСТНЫЙ НОМЕР</t>
        </is>
      </c>
      <c r="P450" s="6" t="n"/>
      <c r="R450" t="inlineStr"/>
      <c r="S450" t="inlineStr">
        <is>
          <t>Тариф с завтраком</t>
        </is>
      </c>
      <c r="T450" t="n">
        <v>0</v>
      </c>
      <c r="U450" t="n">
        <v>38261.3</v>
      </c>
    </row>
    <row r="451">
      <c r="A451" t="inlineStr">
        <is>
          <t>20260819-8186-409104448</t>
        </is>
      </c>
      <c r="B451" t="n">
        <v>1</v>
      </c>
      <c r="C451" s="2" t="inlineStr">
        <is>
          <t>Елена Гончарова, Варвара Гонсарова</t>
        </is>
      </c>
      <c r="D451" s="3" t="n">
        <v>24354</v>
      </c>
      <c r="E451" s="4" t="n">
        <v>18</v>
      </c>
      <c r="F451" t="inlineStr">
        <is>
          <t>Яндекс.Путешествия [Чайковский]</t>
        </is>
      </c>
      <c r="G451" s="3">
        <f>ROUND(D451/(100-E451)*100,2)</f>
        <v/>
      </c>
      <c r="H451" s="5" t="n">
        <v>46253.58333333334</v>
      </c>
      <c r="I451" t="n">
        <v>3</v>
      </c>
      <c r="J451" s="3">
        <f>G451/I451</f>
        <v/>
      </c>
      <c r="K451">
        <f>IF(J451&gt;=5100,"ставка","мин.ставка")</f>
        <v/>
      </c>
      <c r="L451" s="3">
        <f>ROUND(IF(K451="мин.ставка",I451*100,G451/102*2),2)</f>
        <v/>
      </c>
      <c r="M451" s="5" t="n">
        <v>46256.58333333334</v>
      </c>
      <c r="N451" t="inlineStr">
        <is>
          <t>TravelLine YAX</t>
        </is>
      </c>
      <c r="O451" s="2" t="inlineStr">
        <is>
          <t>СТАНДАРТНЫЙ ДВУХМЕСТНЫЙ НОМЕР (МАНСАРДА)</t>
        </is>
      </c>
      <c r="P451" s="6" t="n"/>
      <c r="R451" t="inlineStr"/>
      <c r="S451" t="inlineStr">
        <is>
          <t>Тариф с завтраком</t>
        </is>
      </c>
      <c r="T451" t="n">
        <v>0</v>
      </c>
      <c r="U451" t="n">
        <v>32472</v>
      </c>
    </row>
    <row r="452">
      <c r="A452" t="inlineStr">
        <is>
          <t>20260819-8186-409104448</t>
        </is>
      </c>
      <c r="B452" t="n">
        <v>1</v>
      </c>
      <c r="C452" s="2" t="inlineStr">
        <is>
          <t>Елена Гончарова, Варвара Гонсарова</t>
        </is>
      </c>
      <c r="D452" s="3" t="n">
        <v>8118</v>
      </c>
      <c r="E452" s="4" t="n">
        <v>18</v>
      </c>
      <c r="F452" t="inlineStr">
        <is>
          <t>Яндекс.Путешествия [Чайковский]</t>
        </is>
      </c>
      <c r="G452" s="3">
        <f>ROUND(D452/(100-E452)*100,2)</f>
        <v/>
      </c>
      <c r="H452" s="5" t="n">
        <v>46256.58333333334</v>
      </c>
      <c r="I452" t="n">
        <v>1</v>
      </c>
      <c r="J452" s="3">
        <f>G452/I452</f>
        <v/>
      </c>
      <c r="K452">
        <f>IF(J452&gt;=5100,"ставка","мин.ставка")</f>
        <v/>
      </c>
      <c r="L452" s="3">
        <f>ROUND(IF(K452="мин.ставка",I452*100,G452/102*2),2)</f>
        <v/>
      </c>
      <c r="M452" s="5" t="n">
        <v>46257.5</v>
      </c>
      <c r="N452" t="inlineStr">
        <is>
          <t>TravelLine YAX</t>
        </is>
      </c>
      <c r="O452" s="2" t="inlineStr">
        <is>
          <t>СТАНДАРТНЫЙ ДВУХМЕСТНЫЙ НОМЕР (МАНСАРДА)</t>
        </is>
      </c>
      <c r="P452" s="6" t="n"/>
      <c r="R452" t="inlineStr"/>
      <c r="S452" t="inlineStr">
        <is>
          <t>Тариф с завтраком</t>
        </is>
      </c>
      <c r="T452" t="n">
        <v>0</v>
      </c>
      <c r="U452" t="n">
        <v>32472</v>
      </c>
    </row>
    <row r="453">
      <c r="A453" t="inlineStr">
        <is>
          <t>20260711-8186-428820979</t>
        </is>
      </c>
      <c r="B453" t="n">
        <v>1</v>
      </c>
      <c r="C453" s="2" t="inlineStr">
        <is>
          <t>Елена Губарева, Любовь Балинова</t>
        </is>
      </c>
      <c r="D453" s="3" t="n">
        <v>10680</v>
      </c>
      <c r="E453" s="4" t="n">
        <v>18</v>
      </c>
      <c r="F453" t="inlineStr">
        <is>
          <t>Яндекс.Путешествия [Чайковский]</t>
        </is>
      </c>
      <c r="G453" s="3">
        <f>ROUND(D453/(100-E453)*100,2)</f>
        <v/>
      </c>
      <c r="H453" s="5" t="n">
        <v>46214.58333333334</v>
      </c>
      <c r="I453" t="n">
        <v>1</v>
      </c>
      <c r="J453" s="3">
        <f>G453/I453</f>
        <v/>
      </c>
      <c r="K453">
        <f>IF(J453&gt;=5100,"ставка","мин.ставка")</f>
        <v/>
      </c>
      <c r="L453" s="3">
        <f>ROUND(IF(K453="мин.ставка",I453*100,G453/102*2),2)</f>
        <v/>
      </c>
      <c r="M453" s="5" t="n">
        <v>46215.5</v>
      </c>
      <c r="N453" t="inlineStr">
        <is>
          <t>TravelLine YAX</t>
        </is>
      </c>
      <c r="O453" s="2" t="inlineStr">
        <is>
          <t>СТАНДАРТНЫЙ ДВУХМЕСТНЫЙ НОМЕР</t>
        </is>
      </c>
      <c r="P453" s="6" t="n"/>
      <c r="R453" t="inlineStr"/>
      <c r="S453" t="inlineStr">
        <is>
          <t>Тариф с завтраком</t>
        </is>
      </c>
      <c r="T453" t="n">
        <v>0</v>
      </c>
      <c r="U453" t="n">
        <v>10680</v>
      </c>
    </row>
    <row r="454">
      <c r="A454" t="inlineStr">
        <is>
          <t>20260912-8186-460335116</t>
        </is>
      </c>
      <c r="B454" t="n">
        <v>1</v>
      </c>
      <c r="C454" s="2" t="inlineStr">
        <is>
          <t>Елена Денисова, Марина Сергиенко</t>
        </is>
      </c>
      <c r="D454" s="3" t="n">
        <v>10680</v>
      </c>
      <c r="E454" s="4" t="n">
        <v>18</v>
      </c>
      <c r="F454" t="inlineStr">
        <is>
          <t>Яндекс.Путешествия [Чайковский]</t>
        </is>
      </c>
      <c r="G454" s="3">
        <f>ROUND(D454/(100-E454)*100,2)</f>
        <v/>
      </c>
      <c r="H454" s="5" t="n">
        <v>46277.58333333334</v>
      </c>
      <c r="I454" t="n">
        <v>1</v>
      </c>
      <c r="J454" s="3">
        <f>G454/I454</f>
        <v/>
      </c>
      <c r="K454">
        <f>IF(J454&gt;=5100,"ставка","мин.ставка")</f>
        <v/>
      </c>
      <c r="L454" s="3">
        <f>ROUND(IF(K454="мин.ставка",I454*100,G454/102*2),2)</f>
        <v/>
      </c>
      <c r="M454" s="5" t="n">
        <v>46278.5</v>
      </c>
      <c r="N454" t="inlineStr">
        <is>
          <t>TravelLine YAX</t>
        </is>
      </c>
      <c r="O454" s="2" t="inlineStr">
        <is>
          <t>УЛУЧШЕННЫЙ ДВУХМЕСТНЫЙ НОМЕР</t>
        </is>
      </c>
      <c r="P454" s="6" t="n"/>
      <c r="R454" t="inlineStr"/>
      <c r="S454" t="inlineStr">
        <is>
          <t>Тариф с завтраком</t>
        </is>
      </c>
      <c r="T454" t="n">
        <v>2050</v>
      </c>
      <c r="U454" t="n">
        <v>12730</v>
      </c>
    </row>
    <row r="455">
      <c r="A455" t="inlineStr">
        <is>
          <t>20260830-8186-461554904</t>
        </is>
      </c>
      <c r="B455" t="n">
        <v>1</v>
      </c>
      <c r="C455" s="2" t="inlineStr">
        <is>
          <t>Елена Додонова</t>
        </is>
      </c>
      <c r="D455" s="3" t="n">
        <v>12640</v>
      </c>
      <c r="E455" s="4" t="n">
        <v>20</v>
      </c>
      <c r="F455" t="inlineStr">
        <is>
          <t>ООО "КОМПАНИЯ БРОНЕВИК" [Чайковский]</t>
        </is>
      </c>
      <c r="G455" s="3">
        <f>ROUND(D455/(100-E455)*100,2)</f>
        <v/>
      </c>
      <c r="H455" s="5" t="n">
        <v>46264.58333333334</v>
      </c>
      <c r="I455" t="n">
        <v>2</v>
      </c>
      <c r="J455" s="3">
        <f>G455/I455</f>
        <v/>
      </c>
      <c r="K455">
        <f>IF(J455&gt;=5100,"ставка","мин.ставка")</f>
        <v/>
      </c>
      <c r="L455" s="3">
        <f>ROUND(IF(K455="мин.ставка",I455*100,G455/102*2),2)</f>
        <v/>
      </c>
      <c r="M455" s="5" t="n">
        <v>46266.5</v>
      </c>
      <c r="N455" t="inlineStr">
        <is>
          <t>TravelLine BR2</t>
        </is>
      </c>
      <c r="O455" s="2" t="inlineStr">
        <is>
          <t>СТАНДАРТНЫЙ ДВУХМЕСТНЫЙ НОМЕР</t>
        </is>
      </c>
      <c r="P455" s="6" t="n"/>
      <c r="R455" t="inlineStr"/>
      <c r="S455" t="inlineStr">
        <is>
          <t>Тариф с завтраком</t>
        </is>
      </c>
      <c r="T455" t="n">
        <v>0</v>
      </c>
      <c r="U455" t="n">
        <v>12640</v>
      </c>
    </row>
    <row r="456">
      <c r="A456" t="inlineStr">
        <is>
          <t>20260806-8186-450640950</t>
        </is>
      </c>
      <c r="B456" t="n">
        <v>1</v>
      </c>
      <c r="C456" s="2" t="inlineStr">
        <is>
          <t>ЕЛЕНА ЖУЧКОВА</t>
        </is>
      </c>
      <c r="D456" s="3" t="n">
        <v>28942.5</v>
      </c>
      <c r="E456" s="4" t="n">
        <v>15</v>
      </c>
      <c r="F456" t="inlineStr">
        <is>
          <t>ООО «12Т» (ранее ONE TWO TRIP) [Чайковский]</t>
        </is>
      </c>
      <c r="G456" s="3">
        <f>ROUND(D456/(100-E456)*100,2)</f>
        <v/>
      </c>
      <c r="H456" s="5" t="n">
        <v>46240.58333333334</v>
      </c>
      <c r="I456" t="n">
        <v>3</v>
      </c>
      <c r="J456" s="3">
        <f>G456/I456</f>
        <v/>
      </c>
      <c r="K456">
        <f>IF(J456&gt;=5100,"ставка","мин.ставка")</f>
        <v/>
      </c>
      <c r="L456" s="3">
        <f>ROUND(IF(K456="мин.ставка",I456*100,G456/102*2),2)</f>
        <v/>
      </c>
      <c r="M456" s="5" t="n">
        <v>46243.5</v>
      </c>
      <c r="N456" t="inlineStr">
        <is>
          <t>TravelLine OTT</t>
        </is>
      </c>
      <c r="O456" s="2" t="inlineStr">
        <is>
          <t>СТАНДАРТНЫЙ ДВУХМЕСТНЫЙ НОМЕР</t>
        </is>
      </c>
      <c r="P456" s="6" t="n"/>
      <c r="R456" t="inlineStr"/>
      <c r="S456" t="inlineStr">
        <is>
          <t>Тариф с завтраком</t>
        </is>
      </c>
      <c r="T456" t="n">
        <v>0</v>
      </c>
      <c r="U456" t="n">
        <v>86827.5</v>
      </c>
    </row>
    <row r="457">
      <c r="A457" t="inlineStr">
        <is>
          <t>20260916-8186-460139143</t>
        </is>
      </c>
      <c r="B457" t="n">
        <v>1</v>
      </c>
      <c r="C457" s="2" t="inlineStr">
        <is>
          <t>ЕЛЕНА ЗАДНЕПРОВСКАЯ</t>
        </is>
      </c>
      <c r="D457" s="3" t="n">
        <v>9080</v>
      </c>
      <c r="E457" s="4" t="n">
        <v>20</v>
      </c>
      <c r="F457" t="inlineStr">
        <is>
          <t>ООО "ХБ-ПРО" [Чайковский]</t>
        </is>
      </c>
      <c r="G457" s="3">
        <f>ROUND(D457/(100-E457)*100,2)</f>
        <v/>
      </c>
      <c r="H457" s="5" t="n">
        <v>46281.58333333334</v>
      </c>
      <c r="I457" t="n">
        <v>1</v>
      </c>
      <c r="J457" s="3">
        <f>G457/I457</f>
        <v/>
      </c>
      <c r="K457">
        <f>IF(J457&gt;=5100,"ставка","мин.ставка")</f>
        <v/>
      </c>
      <c r="L457" s="3">
        <f>ROUND(IF(K457="мин.ставка",I457*100,G457/102*2),2)</f>
        <v/>
      </c>
      <c r="M457" s="5" t="n">
        <v>46282.5</v>
      </c>
      <c r="N457" t="inlineStr">
        <is>
          <t>TravelLine UTS</t>
        </is>
      </c>
      <c r="O457" s="2" t="inlineStr">
        <is>
          <t>СТАНДАРТНЫЙ ДВУХМЕСТНЫЙ НОМЕР</t>
        </is>
      </c>
      <c r="P457" s="6" t="n"/>
      <c r="R457" t="inlineStr"/>
      <c r="S457" t="inlineStr">
        <is>
          <t>Тариф с завтраком</t>
        </is>
      </c>
      <c r="T457" t="n">
        <v>0</v>
      </c>
      <c r="U457" t="n">
        <v>9080</v>
      </c>
    </row>
    <row r="458">
      <c r="A458" t="inlineStr">
        <is>
          <t>20260908-8186-461882753</t>
        </is>
      </c>
      <c r="B458" t="n">
        <v>1</v>
      </c>
      <c r="C458" s="2" t="inlineStr">
        <is>
          <t>Елена Иготти, АНТОН БОРИСЕНКО</t>
        </is>
      </c>
      <c r="D458" s="3" t="n">
        <v>57782.5</v>
      </c>
      <c r="E458" s="4" t="n">
        <v>4</v>
      </c>
      <c r="F458" t="inlineStr">
        <is>
          <t>TravelLine Booking Engine [Чайковский]</t>
        </is>
      </c>
      <c r="G458" s="3">
        <f>ROUND(D458/(100-E458)*100,2)</f>
        <v/>
      </c>
      <c r="H458" s="5" t="n">
        <v>46273.83333333334</v>
      </c>
      <c r="I458" t="n">
        <v>4</v>
      </c>
      <c r="J458" s="3">
        <f>G458/I458</f>
        <v/>
      </c>
      <c r="K458">
        <f>IF(J458&gt;=5100,"ставка","мин.ставка")</f>
        <v/>
      </c>
      <c r="L458" s="3">
        <f>ROUND(IF(K458="мин.ставка",I458*100,G458/102*2),2)</f>
        <v/>
      </c>
      <c r="M458" s="5" t="n">
        <v>46277.5</v>
      </c>
      <c r="N458" t="inlineStr">
        <is>
          <t>TravelLine сайт</t>
        </is>
      </c>
      <c r="O458" s="2" t="inlineStr">
        <is>
          <t>ЛЮКС ВТОРОЙ КОРПУС</t>
        </is>
      </c>
      <c r="P458" s="6" t="n"/>
      <c r="R458" t="inlineStr"/>
      <c r="S458" t="inlineStr">
        <is>
          <t>Основной тариф без завтрака</t>
        </is>
      </c>
      <c r="T458" t="n">
        <v>0</v>
      </c>
      <c r="U458" t="n">
        <v>57782.5</v>
      </c>
    </row>
    <row r="459">
      <c r="A459" t="inlineStr">
        <is>
          <t>20260717-8186-428675584</t>
        </is>
      </c>
      <c r="B459" t="n">
        <v>1</v>
      </c>
      <c r="C459" s="2" t="inlineStr">
        <is>
          <t>Елена Казаченко, Вера Казаченко</t>
        </is>
      </c>
      <c r="D459" s="3" t="n">
        <v>36960</v>
      </c>
      <c r="E459" s="4" t="n">
        <v>18</v>
      </c>
      <c r="F459" t="inlineStr">
        <is>
          <t>Яндекс.Путешествия [Чайковский]</t>
        </is>
      </c>
      <c r="G459" s="3">
        <f>ROUND(D459/(100-E459)*100,2)</f>
        <v/>
      </c>
      <c r="H459" s="5" t="n">
        <v>46220.58333333334</v>
      </c>
      <c r="I459" t="n">
        <v>3</v>
      </c>
      <c r="J459" s="3">
        <f>G459/I459</f>
        <v/>
      </c>
      <c r="K459">
        <f>IF(J459&gt;=5100,"ставка","мин.ставка")</f>
        <v/>
      </c>
      <c r="L459" s="3">
        <f>ROUND(IF(K459="мин.ставка",I459*100,G459/102*2),2)</f>
        <v/>
      </c>
      <c r="M459" s="5" t="n">
        <v>46223.5</v>
      </c>
      <c r="N459" t="inlineStr">
        <is>
          <t>TravelLine YAX</t>
        </is>
      </c>
      <c r="O459" s="2" t="inlineStr">
        <is>
          <t>УЛУЧШЕННЫЙ ДВУХМЕСТНЫЙ НОМЕР</t>
        </is>
      </c>
      <c r="P459" s="6" t="n"/>
      <c r="R459" t="inlineStr"/>
      <c r="S459" t="inlineStr">
        <is>
          <t>Тариф с завтраком</t>
        </is>
      </c>
      <c r="T459" t="n">
        <v>0</v>
      </c>
      <c r="U459" t="n">
        <v>36960</v>
      </c>
    </row>
    <row r="460">
      <c r="A460" t="inlineStr">
        <is>
          <t>20260802-8186-452038545</t>
        </is>
      </c>
      <c r="B460" t="n">
        <v>1</v>
      </c>
      <c r="C460" s="2" t="inlineStr">
        <is>
          <t>Елена Комова, МАРИЯ ДЬЯЧЕНКО</t>
        </is>
      </c>
      <c r="D460" s="3" t="n">
        <v>39600</v>
      </c>
      <c r="E460" s="4" t="n">
        <v>0</v>
      </c>
      <c r="F460" t="inlineStr">
        <is>
          <t>Прямые бронирования (стойка) [Чайковский]</t>
        </is>
      </c>
      <c r="G460" s="3">
        <f>ROUND(D460/(100-E460)*100,2)</f>
        <v/>
      </c>
      <c r="H460" s="5" t="n">
        <v>46236.58333333334</v>
      </c>
      <c r="I460" t="n">
        <v>3</v>
      </c>
      <c r="J460" s="3">
        <f>G460/I460</f>
        <v/>
      </c>
      <c r="K460">
        <f>IF(J460&gt;=5100,"ставка","мин.ставка")</f>
        <v/>
      </c>
      <c r="L460" s="3">
        <f>ROUND(IF(K460="мин.ставка",I460*100,G460/102*2),2)</f>
        <v/>
      </c>
      <c r="M460" s="5" t="n">
        <v>46239.5</v>
      </c>
      <c r="N460" t="inlineStr">
        <is>
          <t>TravelLine ресепшн</t>
        </is>
      </c>
      <c r="O460" s="2" t="inlineStr">
        <is>
          <t>ПОЛУЛЮКС</t>
        </is>
      </c>
      <c r="P460" s="6" t="n"/>
      <c r="R460" t="inlineStr"/>
      <c r="S460" t="inlineStr">
        <is>
          <t>Тариф с завтраком</t>
        </is>
      </c>
      <c r="T460" t="n">
        <v>0</v>
      </c>
      <c r="U460" t="n">
        <v>39600</v>
      </c>
    </row>
    <row r="461">
      <c r="A461" t="inlineStr">
        <is>
          <t>20260922-8186-464443892</t>
        </is>
      </c>
      <c r="B461" t="n">
        <v>1</v>
      </c>
      <c r="C461" s="2" t="inlineStr">
        <is>
          <t>ЕЛЕНА КОРНИЕНКО</t>
        </is>
      </c>
      <c r="D461" s="3" t="n">
        <v>38590</v>
      </c>
      <c r="E461" s="4" t="n">
        <v>15</v>
      </c>
      <c r="F461" t="inlineStr">
        <is>
          <t>ООО «12Т» (ранее ONE TWO TRIP) [Чайковский]</t>
        </is>
      </c>
      <c r="G461" s="3">
        <f>ROUND(D461/(100-E461)*100,2)</f>
        <v/>
      </c>
      <c r="H461" s="5" t="n">
        <v>46287.58333333334</v>
      </c>
      <c r="I461" t="n">
        <v>4</v>
      </c>
      <c r="J461" s="3">
        <f>G461/I461</f>
        <v/>
      </c>
      <c r="K461">
        <f>IF(J461&gt;=5100,"ставка","мин.ставка")</f>
        <v/>
      </c>
      <c r="L461" s="3">
        <f>ROUND(IF(K461="мин.ставка",I461*100,G461/102*2),2)</f>
        <v/>
      </c>
      <c r="M461" s="5" t="n">
        <v>46291.5</v>
      </c>
      <c r="N461" t="inlineStr">
        <is>
          <t>TravelLine OTT</t>
        </is>
      </c>
      <c r="O461" s="2" t="inlineStr">
        <is>
          <t>СТАНДАРТНЫЙ ДВУХМЕСТНЫЙ НОМЕР</t>
        </is>
      </c>
      <c r="P461" s="6" t="n"/>
      <c r="R461" t="inlineStr"/>
      <c r="S461" t="inlineStr">
        <is>
          <t>Тариф с завтраком</t>
        </is>
      </c>
      <c r="T461" t="n">
        <v>0</v>
      </c>
      <c r="U461" t="n">
        <v>38590</v>
      </c>
    </row>
    <row r="462">
      <c r="A462" t="inlineStr">
        <is>
          <t>20260922-8186-444240000</t>
        </is>
      </c>
      <c r="B462" t="n">
        <v>1</v>
      </c>
      <c r="C462" s="2" t="inlineStr">
        <is>
          <t>ЕЛЕНА КОСТРЫКИНА, Альбина Лоншакова</t>
        </is>
      </c>
      <c r="D462" s="3" t="n">
        <v>19493.1</v>
      </c>
      <c r="E462" s="4" t="n">
        <v>4</v>
      </c>
      <c r="F462" t="inlineStr">
        <is>
          <t>TravelLine Booking Engine [Чайковский]</t>
        </is>
      </c>
      <c r="G462" s="3">
        <f>ROUND(D462/(100-E462)*100,2)</f>
        <v/>
      </c>
      <c r="H462" s="5" t="n">
        <v>46287.72916666666</v>
      </c>
      <c r="I462" t="n">
        <v>2</v>
      </c>
      <c r="J462" s="3">
        <f>G462/I462</f>
        <v/>
      </c>
      <c r="K462">
        <f>IF(J462&gt;=5100,"ставка","мин.ставка")</f>
        <v/>
      </c>
      <c r="L462" s="3">
        <f>ROUND(IF(K462="мин.ставка",I462*100,G462/102*2),2)</f>
        <v/>
      </c>
      <c r="M462" s="5" t="n">
        <v>46289.5</v>
      </c>
      <c r="N462" t="inlineStr">
        <is>
          <t>TravelLine сайт</t>
        </is>
      </c>
      <c r="O462" s="2" t="inlineStr">
        <is>
          <t>СТАНДАРТНЫЙ ДВУХМЕСТНЫЙ НОМЕР (МАНСАРДА)</t>
        </is>
      </c>
      <c r="P462" s="6" t="n"/>
      <c r="R462" t="inlineStr"/>
      <c r="S462" t="inlineStr">
        <is>
          <t>Тариф с завтраком</t>
        </is>
      </c>
      <c r="T462" t="n">
        <v>0</v>
      </c>
      <c r="U462" t="n">
        <v>19493.1</v>
      </c>
    </row>
    <row r="463">
      <c r="A463" t="inlineStr">
        <is>
          <t>20260913-8186-463968378</t>
        </is>
      </c>
      <c r="B463" t="n">
        <v>1</v>
      </c>
      <c r="C463" s="2" t="inlineStr">
        <is>
          <t>Елена Котова, Сергей Котов</t>
        </is>
      </c>
      <c r="D463" s="3" t="n">
        <v>14025</v>
      </c>
      <c r="E463" s="4" t="n">
        <v>15</v>
      </c>
      <c r="F463" t="inlineStr">
        <is>
          <t>ООО Тинькофф Путешествия [Чайковский]</t>
        </is>
      </c>
      <c r="G463" s="3">
        <f>ROUND(D463/(100-E463)*100,2)</f>
        <v/>
      </c>
      <c r="H463" s="5" t="n">
        <v>46278.66666666666</v>
      </c>
      <c r="I463" t="n">
        <v>1</v>
      </c>
      <c r="J463" s="3">
        <f>G463/I463</f>
        <v/>
      </c>
      <c r="K463">
        <f>IF(J463&gt;=5100,"ставка","мин.ставка")</f>
        <v/>
      </c>
      <c r="L463" s="3">
        <f>ROUND(IF(K463="мин.ставка",I463*100,G463/102*2),2)</f>
        <v/>
      </c>
      <c r="M463" s="5" t="n">
        <v>46279.5</v>
      </c>
      <c r="N463" t="inlineStr">
        <is>
          <t>TravelLine TNK</t>
        </is>
      </c>
      <c r="O463" s="2" t="inlineStr">
        <is>
          <t>ПОЛУЛЮКС</t>
        </is>
      </c>
      <c r="P463" s="6" t="n"/>
      <c r="R463" t="inlineStr"/>
      <c r="S463" t="inlineStr">
        <is>
          <t>Тариф с завтраком</t>
        </is>
      </c>
      <c r="T463" t="n">
        <v>0</v>
      </c>
      <c r="U463" t="n">
        <v>14025</v>
      </c>
    </row>
    <row r="464">
      <c r="A464" t="inlineStr">
        <is>
          <t>20260922-8186-466727212</t>
        </is>
      </c>
      <c r="B464" t="n">
        <v>1</v>
      </c>
      <c r="C464" s="2" t="inlineStr">
        <is>
          <t>ЕЛЕНА КРОТОВА</t>
        </is>
      </c>
      <c r="D464" s="3" t="n">
        <v>19068</v>
      </c>
      <c r="E464" s="4" t="n">
        <v>16</v>
      </c>
      <c r="F464" t="inlineStr">
        <is>
          <t>ООО "БРОНИРОВАНИЕ ГОСТИНИЦ" (OSTROVOK) [Чайковский]</t>
        </is>
      </c>
      <c r="G464" s="3">
        <f>ROUND(D464/(100-E464)*100,2)</f>
        <v/>
      </c>
      <c r="H464" s="5" t="n">
        <v>46287.58333333334</v>
      </c>
      <c r="I464" t="n">
        <v>2</v>
      </c>
      <c r="J464" s="3">
        <f>G464/I464</f>
        <v/>
      </c>
      <c r="K464">
        <f>IF(J464&gt;=5100,"ставка","мин.ставка")</f>
        <v/>
      </c>
      <c r="L464" s="3">
        <f>ROUND(IF(K464="мин.ставка",I464*100,G464/102*2),2)</f>
        <v/>
      </c>
      <c r="M464" s="5" t="n">
        <v>46289.5</v>
      </c>
      <c r="N464" t="inlineStr">
        <is>
          <t>TravelLine OTK</t>
        </is>
      </c>
      <c r="O464" s="2" t="inlineStr">
        <is>
          <t>СТАНДАРТНЫЙ ДВУХМЕСТНЫЙ НОМЕР</t>
        </is>
      </c>
      <c r="P464" s="6" t="n"/>
      <c r="R464" t="inlineStr"/>
      <c r="S464" t="inlineStr">
        <is>
          <t>Тариф с завтраком</t>
        </is>
      </c>
      <c r="T464" t="n">
        <v>0</v>
      </c>
      <c r="U464" t="n">
        <v>19068</v>
      </c>
    </row>
    <row r="465">
      <c r="A465" t="inlineStr">
        <is>
          <t>20260926-8186-466754555</t>
        </is>
      </c>
      <c r="B465" t="n">
        <v>1</v>
      </c>
      <c r="C465" s="2" t="inlineStr">
        <is>
          <t>Елена Маевских</t>
        </is>
      </c>
      <c r="D465" s="3" t="n">
        <v>30684.5</v>
      </c>
      <c r="E465" s="4" t="n">
        <v>4</v>
      </c>
      <c r="F465" t="inlineStr">
        <is>
          <t>TravelLine Booking Engine [Чайковский]</t>
        </is>
      </c>
      <c r="G465" s="3">
        <f>ROUND(D465/(100-E465)*100,2)</f>
        <v/>
      </c>
      <c r="H465" s="5" t="n">
        <v>46291.58333333334</v>
      </c>
      <c r="I465" t="n">
        <v>4</v>
      </c>
      <c r="J465" s="3">
        <f>G465/I465</f>
        <v/>
      </c>
      <c r="K465">
        <f>IF(J465&gt;=5100,"ставка","мин.ставка")</f>
        <v/>
      </c>
      <c r="L465" s="3">
        <f>ROUND(IF(K465="мин.ставка",I465*100,G465/102*2),2)</f>
        <v/>
      </c>
      <c r="M465" s="5" t="n">
        <v>46295.5</v>
      </c>
      <c r="N465" t="inlineStr">
        <is>
          <t>TravelLine сайт</t>
        </is>
      </c>
      <c r="O465" s="2" t="inlineStr">
        <is>
          <t>СТАНДАРТНЫЙ ОДНОМЕСТНЫЙ НОМЕР</t>
        </is>
      </c>
      <c r="P465" s="6" t="n"/>
      <c r="R465" t="inlineStr"/>
      <c r="S465" t="inlineStr">
        <is>
          <t>Тариф с завтраком</t>
        </is>
      </c>
      <c r="T465" t="n">
        <v>0</v>
      </c>
      <c r="U465" t="n">
        <v>30684.5</v>
      </c>
    </row>
    <row r="466">
      <c r="A466" t="inlineStr">
        <is>
          <t>20260803-8186-414251130</t>
        </is>
      </c>
      <c r="B466" t="n">
        <v>1</v>
      </c>
      <c r="C466" s="2" t="inlineStr">
        <is>
          <t>Елена Мастрюкова</t>
        </is>
      </c>
      <c r="D466" s="3" t="n">
        <v>13090</v>
      </c>
      <c r="E466" s="4" t="n">
        <v>15</v>
      </c>
      <c r="F466" t="inlineStr">
        <is>
          <t>ООО Тинькофф Путешествия [Чайковский]</t>
        </is>
      </c>
      <c r="G466" s="3">
        <f>ROUND(D466/(100-E466)*100,2)</f>
        <v/>
      </c>
      <c r="H466" s="5" t="n">
        <v>46237.58333333334</v>
      </c>
      <c r="I466" t="n">
        <v>2</v>
      </c>
      <c r="J466" s="3">
        <f>G466/I466</f>
        <v/>
      </c>
      <c r="K466">
        <f>IF(J466&gt;=5100,"ставка","мин.ставка")</f>
        <v/>
      </c>
      <c r="L466" s="3">
        <f>ROUND(IF(K466="мин.ставка",I466*100,G466/102*2),2)</f>
        <v/>
      </c>
      <c r="M466" s="5" t="n">
        <v>46239.5</v>
      </c>
      <c r="N466" t="inlineStr">
        <is>
          <t>TravelLine TNK</t>
        </is>
      </c>
      <c r="O466" s="2" t="inlineStr">
        <is>
          <t>СТАНДАРТНЫЙ ОДНОМЕСТНЫЙ НОМЕР</t>
        </is>
      </c>
      <c r="P466" s="6" t="n"/>
      <c r="R466" t="inlineStr"/>
      <c r="S466" t="inlineStr">
        <is>
          <t>Тариф с завтраком</t>
        </is>
      </c>
      <c r="T466" t="n">
        <v>0</v>
      </c>
      <c r="U466" t="n">
        <v>13090</v>
      </c>
    </row>
    <row r="467">
      <c r="A467" t="inlineStr">
        <is>
          <t>20260901-8186-432644424</t>
        </is>
      </c>
      <c r="B467" t="n">
        <v>1</v>
      </c>
      <c r="C467" s="2" t="inlineStr">
        <is>
          <t>ЕЛЕНА МАХАЛЬСКАЯ, СВЕТЛАНА САВИНА</t>
        </is>
      </c>
      <c r="D467" s="3" t="n">
        <v>25245</v>
      </c>
      <c r="E467" s="4" t="n">
        <v>0</v>
      </c>
      <c r="F467" t="inlineStr">
        <is>
          <t>ООО "АЛЕАН ОТДЫХ" [Чайковский]</t>
        </is>
      </c>
      <c r="G467" s="3">
        <f>ROUND(D467/(100-E467)*100,2)</f>
        <v/>
      </c>
      <c r="H467" s="5" t="n">
        <v>46266.58333333334</v>
      </c>
      <c r="I467" t="n">
        <v>3</v>
      </c>
      <c r="J467" s="3">
        <f>G467/I467</f>
        <v/>
      </c>
      <c r="K467">
        <f>IF(J467&gt;=5100,"ставка","мин.ставка")</f>
        <v/>
      </c>
      <c r="L467" s="3">
        <f>ROUND(IF(K467="мин.ставка",I467*100,G467/102*2),2)</f>
        <v/>
      </c>
      <c r="M467" s="5" t="n">
        <v>46269.5</v>
      </c>
      <c r="N467" t="inlineStr">
        <is>
          <t>TravelLine ALN</t>
        </is>
      </c>
      <c r="O467" s="2" t="inlineStr">
        <is>
          <t>СТАНДАРТНЫЙ ДВУХМЕСТНЫЙ НОМЕР</t>
        </is>
      </c>
      <c r="P467" s="6" t="n"/>
      <c r="R467" t="inlineStr"/>
      <c r="S467" t="inlineStr">
        <is>
          <t>Тариф с завтраком</t>
        </is>
      </c>
      <c r="T467" t="n">
        <v>0</v>
      </c>
      <c r="U467" t="n">
        <v>25245</v>
      </c>
    </row>
    <row r="468">
      <c r="A468" t="inlineStr">
        <is>
          <t>20260804-8186-455712496</t>
        </is>
      </c>
      <c r="B468" t="n">
        <v>1</v>
      </c>
      <c r="C468" s="2" t="inlineStr">
        <is>
          <t>Елена Милеева</t>
        </is>
      </c>
      <c r="D468" s="3" t="n">
        <v>32964</v>
      </c>
      <c r="E468" s="4" t="n">
        <v>18</v>
      </c>
      <c r="F468" t="inlineStr">
        <is>
          <t>ООО "Эй энд Эй" [Чайковский]</t>
        </is>
      </c>
      <c r="G468" s="3">
        <f>ROUND(D468/(100-E468)*100,2)</f>
        <v/>
      </c>
      <c r="H468" s="5" t="n">
        <v>46238.58333333334</v>
      </c>
      <c r="I468" t="n">
        <v>3</v>
      </c>
      <c r="J468" s="3">
        <f>G468/I468</f>
        <v/>
      </c>
      <c r="K468">
        <f>IF(J468&gt;=5100,"ставка","мин.ставка")</f>
        <v/>
      </c>
      <c r="L468" s="3">
        <f>ROUND(IF(K468="мин.ставка",I468*100,G468/102*2),2)</f>
        <v/>
      </c>
      <c r="M468" s="5" t="n">
        <v>46241.5</v>
      </c>
      <c r="N468" t="inlineStr">
        <is>
          <t>TravelLine ANA</t>
        </is>
      </c>
      <c r="O468" s="2" t="inlineStr">
        <is>
          <t>УЛУЧШЕННЫЙ ДВУХМЕСТНЫЙ НОМЕР</t>
        </is>
      </c>
      <c r="P468" s="6" t="n"/>
      <c r="R468" t="inlineStr"/>
      <c r="S468" t="inlineStr">
        <is>
          <t>Тариф с завтраком</t>
        </is>
      </c>
      <c r="T468" t="n">
        <v>0</v>
      </c>
      <c r="U468" t="n">
        <v>32964</v>
      </c>
    </row>
    <row r="469">
      <c r="A469" t="inlineStr">
        <is>
          <t>20260809-8186-434031511</t>
        </is>
      </c>
      <c r="B469" t="n">
        <v>1</v>
      </c>
      <c r="C469" s="2" t="inlineStr">
        <is>
          <t>Елена Митина, ЕКАТЕРИНА МИТИНА</t>
        </is>
      </c>
      <c r="D469" s="3" t="n">
        <v>41085</v>
      </c>
      <c r="E469" s="4" t="n">
        <v>20</v>
      </c>
      <c r="F469" t="inlineStr">
        <is>
          <t>ООО «Дубль Гис» (OTELLO) [Чайковский]</t>
        </is>
      </c>
      <c r="G469" s="3">
        <f>ROUND(D469/(100-E469)*100,2)</f>
        <v/>
      </c>
      <c r="H469" s="5" t="n">
        <v>46243.58333333334</v>
      </c>
      <c r="I469" t="n">
        <v>5</v>
      </c>
      <c r="J469" s="3">
        <f>G469/I469</f>
        <v/>
      </c>
      <c r="K469">
        <f>IF(J469&gt;=5100,"ставка","мин.ставка")</f>
        <v/>
      </c>
      <c r="L469" s="3">
        <f>ROUND(IF(K469="мин.ставка",I469*100,G469/102*2),2)</f>
        <v/>
      </c>
      <c r="M469" s="5" t="n">
        <v>46248.5</v>
      </c>
      <c r="N469" t="inlineStr">
        <is>
          <t>TravelLine OL2</t>
        </is>
      </c>
      <c r="O469" s="2" t="inlineStr">
        <is>
          <t>СТАНДАРТНЫЙ ДВУХМЕСТНЫЙ НОМЕР (МАНСАРДА)</t>
        </is>
      </c>
      <c r="P469" s="6" t="n"/>
      <c r="R469" t="inlineStr"/>
      <c r="S469" t="inlineStr">
        <is>
          <t>Тариф с завтраком</t>
        </is>
      </c>
      <c r="T469" t="n">
        <v>0</v>
      </c>
      <c r="U469" t="n">
        <v>41085</v>
      </c>
    </row>
    <row r="470">
      <c r="A470" t="inlineStr">
        <is>
          <t>20260713-8186-449269362</t>
        </is>
      </c>
      <c r="B470" t="n">
        <v>1</v>
      </c>
      <c r="C470" s="2" t="inlineStr">
        <is>
          <t>Елена Мишина</t>
        </is>
      </c>
      <c r="D470" s="3" t="n">
        <v>6557</v>
      </c>
      <c r="E470" s="4" t="n">
        <v>17</v>
      </c>
      <c r="F470" t="inlineStr">
        <is>
          <t>ООО «Интернет Трэвел» (OZON) [Чайковский]</t>
        </is>
      </c>
      <c r="G470" s="3">
        <f>ROUND(D470/(100-E470)*100,2)</f>
        <v/>
      </c>
      <c r="H470" s="5" t="n">
        <v>46216.58333333334</v>
      </c>
      <c r="I470" t="n">
        <v>1</v>
      </c>
      <c r="J470" s="3">
        <f>G470/I470</f>
        <v/>
      </c>
      <c r="K470">
        <f>IF(J470&gt;=5100,"ставка","мин.ставка")</f>
        <v/>
      </c>
      <c r="L470" s="3">
        <f>ROUND(IF(K470="мин.ставка",I470*100,G470/102*2),2)</f>
        <v/>
      </c>
      <c r="M470" s="5" t="n">
        <v>46217.5</v>
      </c>
      <c r="N470" t="inlineStr">
        <is>
          <t>TravelLine OZ2</t>
        </is>
      </c>
      <c r="O470" s="2" t="inlineStr">
        <is>
          <t>СТАНДАРТНЫЙ ДВУХМЕСТНЫЙ НОМЕР (МАНСАРДА)</t>
        </is>
      </c>
      <c r="P470" s="6" t="n"/>
      <c r="R470" t="inlineStr"/>
      <c r="S470" t="inlineStr">
        <is>
          <t>Тариф с завтраком</t>
        </is>
      </c>
      <c r="T470" t="n">
        <v>0</v>
      </c>
      <c r="U470" t="n">
        <v>6557</v>
      </c>
    </row>
    <row r="471">
      <c r="A471" t="inlineStr">
        <is>
          <t>20260706-8186-446718602</t>
        </is>
      </c>
      <c r="B471" t="n">
        <v>1</v>
      </c>
      <c r="C471" s="2" t="inlineStr">
        <is>
          <t>Елена Мороз</t>
        </is>
      </c>
      <c r="D471" s="3" t="n">
        <v>34050</v>
      </c>
      <c r="E471" s="4" t="n">
        <v>4</v>
      </c>
      <c r="F471" t="inlineStr">
        <is>
          <t>TravelLine Booking Engine [Чайковский]</t>
        </is>
      </c>
      <c r="G471" s="3">
        <f>ROUND(D471/(100-E471)*100,2)</f>
        <v/>
      </c>
      <c r="H471" s="5" t="n">
        <v>46209.58333333334</v>
      </c>
      <c r="I471" t="n">
        <v>3</v>
      </c>
      <c r="J471" s="3">
        <f>G471/I471</f>
        <v/>
      </c>
      <c r="K471">
        <f>IF(J471&gt;=5100,"ставка","мин.ставка")</f>
        <v/>
      </c>
      <c r="L471" s="3">
        <f>ROUND(IF(K471="мин.ставка",I471*100,G471/102*2),2)</f>
        <v/>
      </c>
      <c r="M471" s="5" t="n">
        <v>46212.5</v>
      </c>
      <c r="N471" t="inlineStr">
        <is>
          <t>TravelLine сайт</t>
        </is>
      </c>
      <c r="O471" s="2" t="inlineStr">
        <is>
          <t>СТАНДАРТНЫЙ ДВУХМЕСТНЫЙ НОМЕР</t>
        </is>
      </c>
      <c r="P471" s="6" t="n"/>
      <c r="R471" t="inlineStr"/>
      <c r="S471" t="inlineStr">
        <is>
          <t>Тариф с завтраком</t>
        </is>
      </c>
      <c r="T471" t="n">
        <v>0</v>
      </c>
      <c r="U471" t="n">
        <v>34050</v>
      </c>
    </row>
    <row r="472">
      <c r="A472" t="inlineStr">
        <is>
          <t>20260829-8186-460361195</t>
        </is>
      </c>
      <c r="B472" t="n">
        <v>1</v>
      </c>
      <c r="C472" s="2" t="inlineStr">
        <is>
          <t>ЕЛЕНА МУЛЛАНУРОВА</t>
        </is>
      </c>
      <c r="D472" s="3" t="n">
        <v>11256</v>
      </c>
      <c r="E472" s="4" t="n">
        <v>16</v>
      </c>
      <c r="F472" t="inlineStr">
        <is>
          <t>ООО "БРОНИРОВАНИЕ ГОСТИНИЦ" (OSTROVOK) [Чайковский]</t>
        </is>
      </c>
      <c r="G472" s="3">
        <f>ROUND(D472/(100-E472)*100,2)</f>
        <v/>
      </c>
      <c r="H472" s="5" t="n">
        <v>46263.58333333334</v>
      </c>
      <c r="I472" t="n">
        <v>1</v>
      </c>
      <c r="J472" s="3">
        <f>G472/I472</f>
        <v/>
      </c>
      <c r="K472">
        <f>IF(J472&gt;=5100,"ставка","мин.ставка")</f>
        <v/>
      </c>
      <c r="L472" s="3">
        <f>ROUND(IF(K472="мин.ставка",I472*100,G472/102*2),2)</f>
        <v/>
      </c>
      <c r="M472" s="5" t="n">
        <v>46264.66666666666</v>
      </c>
      <c r="N472" t="inlineStr">
        <is>
          <t>TravelLine OTK</t>
        </is>
      </c>
      <c r="O472" s="2" t="inlineStr">
        <is>
          <t>ПОЛУЛЮКС</t>
        </is>
      </c>
      <c r="P472" s="6" t="n"/>
      <c r="R472" t="inlineStr"/>
      <c r="S472" t="inlineStr">
        <is>
          <t>Тариф с завтраком</t>
        </is>
      </c>
      <c r="T472" t="n">
        <v>2240</v>
      </c>
      <c r="U472" t="n">
        <v>13496</v>
      </c>
    </row>
    <row r="473">
      <c r="A473" t="inlineStr">
        <is>
          <t>20260703-8186-445213205</t>
        </is>
      </c>
      <c r="B473" t="n">
        <v>1</v>
      </c>
      <c r="C473" s="2" t="inlineStr">
        <is>
          <t>Елена Мухаметшина</t>
        </is>
      </c>
      <c r="D473" s="3" t="n">
        <v>27240</v>
      </c>
      <c r="E473" s="4" t="n">
        <v>20</v>
      </c>
      <c r="F473" t="inlineStr">
        <is>
          <t>ООО "УК ГЦБ и Т" [Чайковский]</t>
        </is>
      </c>
      <c r="G473" s="3">
        <f>ROUND(D473/(100-E473)*100,2)</f>
        <v/>
      </c>
      <c r="H473" s="5" t="n">
        <v>46206.58333333334</v>
      </c>
      <c r="I473" t="n">
        <v>3</v>
      </c>
      <c r="J473" s="3">
        <f>G473/I473</f>
        <v/>
      </c>
      <c r="K473">
        <f>IF(J473&gt;=5100,"ставка","мин.ставка")</f>
        <v/>
      </c>
      <c r="L473" s="3">
        <f>ROUND(IF(K473="мин.ставка",I473*100,G473/102*2),2)</f>
        <v/>
      </c>
      <c r="M473" s="5" t="n">
        <v>46209.5</v>
      </c>
      <c r="N473" t="inlineStr">
        <is>
          <t>TravelLine CBC</t>
        </is>
      </c>
      <c r="O473" s="2" t="inlineStr">
        <is>
          <t>СТАНДАРТНЫЙ ДВУХМЕСТНЫЙ НОМЕР</t>
        </is>
      </c>
      <c r="P473" s="6" t="n"/>
      <c r="R473" t="inlineStr"/>
      <c r="S473" t="inlineStr">
        <is>
          <t>Тариф с завтраком</t>
        </is>
      </c>
      <c r="T473" t="n">
        <v>0</v>
      </c>
      <c r="U473" t="n">
        <v>27240</v>
      </c>
    </row>
    <row r="474">
      <c r="A474" t="inlineStr">
        <is>
          <t>20260730-8186-451555879</t>
        </is>
      </c>
      <c r="B474" t="n">
        <v>1</v>
      </c>
      <c r="C474" s="2" t="inlineStr">
        <is>
          <t>Елена Огородникова, Дарья Огородникова</t>
        </is>
      </c>
      <c r="D474" s="3" t="n">
        <v>26286.15</v>
      </c>
      <c r="E474" s="4" t="n">
        <v>4</v>
      </c>
      <c r="F474" t="inlineStr">
        <is>
          <t>TravelLine Booking Engine [Чайковский]</t>
        </is>
      </c>
      <c r="G474" s="3">
        <f>ROUND(D474/(100-E474)*100,2)</f>
        <v/>
      </c>
      <c r="H474" s="5" t="n">
        <v>46233.58333333334</v>
      </c>
      <c r="I474" t="n">
        <v>2</v>
      </c>
      <c r="J474" s="3">
        <f>G474/I474</f>
        <v/>
      </c>
      <c r="K474">
        <f>IF(J474&gt;=5100,"ставка","мин.ставка")</f>
        <v/>
      </c>
      <c r="L474" s="3">
        <f>ROUND(IF(K474="мин.ставка",I474*100,G474/102*2),2)</f>
        <v/>
      </c>
      <c r="M474" s="5" t="n">
        <v>46235.5</v>
      </c>
      <c r="N474" t="inlineStr">
        <is>
          <t>TravelLine сайт</t>
        </is>
      </c>
      <c r="O474" s="2" t="inlineStr">
        <is>
          <t>СТАНДАРТНЫЙ ДВУХМЕСТНЫЙ НОМЕР</t>
        </is>
      </c>
      <c r="P474" s="6" t="n"/>
      <c r="R474" t="inlineStr"/>
      <c r="S474" t="inlineStr">
        <is>
          <t>Тариф с завтраком</t>
        </is>
      </c>
      <c r="T474" t="n">
        <v>0</v>
      </c>
      <c r="U474" t="n">
        <v>26286.15</v>
      </c>
    </row>
    <row r="475">
      <c r="A475" t="inlineStr">
        <is>
          <t>20260806-8186-454695826</t>
        </is>
      </c>
      <c r="B475" t="n">
        <v>1</v>
      </c>
      <c r="C475" s="2" t="inlineStr">
        <is>
          <t>ЕЛЕНА ПЕРМЯКОВА</t>
        </is>
      </c>
      <c r="D475" s="3" t="n">
        <v>6004</v>
      </c>
      <c r="E475" s="4" t="n">
        <v>18</v>
      </c>
      <c r="F475" t="inlineStr">
        <is>
          <t>Яндекс.Путешествия [Чайковский]</t>
        </is>
      </c>
      <c r="G475" s="3">
        <f>ROUND(D475/(100-E475)*100,2)</f>
        <v/>
      </c>
      <c r="H475" s="5" t="n">
        <v>46240.58333333334</v>
      </c>
      <c r="I475" t="n">
        <v>1</v>
      </c>
      <c r="J475" s="3">
        <f>G475/I475</f>
        <v/>
      </c>
      <c r="K475">
        <f>IF(J475&gt;=5100,"ставка","мин.ставка")</f>
        <v/>
      </c>
      <c r="L475" s="3">
        <f>ROUND(IF(K475="мин.ставка",I475*100,G475/102*2),2)</f>
        <v/>
      </c>
      <c r="M475" s="5" t="n">
        <v>46241.5</v>
      </c>
      <c r="N475" t="inlineStr">
        <is>
          <t>TravelLine YAX</t>
        </is>
      </c>
      <c r="O475" s="2" t="inlineStr">
        <is>
          <t>СТАНДАРТНЫЙ ДВУХМЕСТНЫЙ НОМЕР (МАНСАРДА)</t>
        </is>
      </c>
      <c r="P475" s="6" t="n"/>
      <c r="R475" t="inlineStr"/>
      <c r="S475" t="inlineStr">
        <is>
          <t>Тариф с завтраком</t>
        </is>
      </c>
      <c r="T475" t="n">
        <v>0</v>
      </c>
      <c r="U475" t="n">
        <v>6004</v>
      </c>
    </row>
    <row r="476">
      <c r="A476" t="inlineStr">
        <is>
          <t>20260727-8186-445278925</t>
        </is>
      </c>
      <c r="B476" t="n">
        <v>1</v>
      </c>
      <c r="C476" s="2" t="inlineStr">
        <is>
          <t>Елена Петрова, Антон Прокофьев</t>
        </is>
      </c>
      <c r="D476" s="3" t="n">
        <v>106800</v>
      </c>
      <c r="E476" s="4" t="n">
        <v>20</v>
      </c>
      <c r="F476" t="inlineStr">
        <is>
          <t>ООО "КОМПАНИЯ БРОНЕВИК" [Чайковский]</t>
        </is>
      </c>
      <c r="G476" s="3">
        <f>ROUND(D476/(100-E476)*100,2)</f>
        <v/>
      </c>
      <c r="H476" s="5" t="n">
        <v>46230.58333333334</v>
      </c>
      <c r="I476" t="n">
        <v>10</v>
      </c>
      <c r="J476" s="3">
        <f>G476/I476</f>
        <v/>
      </c>
      <c r="K476">
        <f>IF(J476&gt;=5100,"ставка","мин.ставка")</f>
        <v/>
      </c>
      <c r="L476" s="3">
        <f>ROUND(IF(K476="мин.ставка",I476*100,G476/102*2),2)</f>
        <v/>
      </c>
      <c r="M476" s="5" t="n">
        <v>46240.5</v>
      </c>
      <c r="N476" t="inlineStr">
        <is>
          <t>TravelLine BR2</t>
        </is>
      </c>
      <c r="O476" s="2" t="inlineStr">
        <is>
          <t>СТАНДАРТНЫЙ ДВУХМЕСТНЫЙ НОМЕР</t>
        </is>
      </c>
      <c r="P476" s="6" t="n"/>
      <c r="R476" t="inlineStr"/>
      <c r="S476" t="inlineStr">
        <is>
          <t>Тариф с завтраком</t>
        </is>
      </c>
      <c r="T476" t="n">
        <v>0</v>
      </c>
      <c r="U476" t="n">
        <v>106800</v>
      </c>
    </row>
    <row r="477">
      <c r="A477" t="inlineStr">
        <is>
          <t>20260817-8186-455605495</t>
        </is>
      </c>
      <c r="B477" t="n">
        <v>1</v>
      </c>
      <c r="C477" s="2" t="inlineStr">
        <is>
          <t>ЕЛЕНА РОДИОНОВА, ПОЛИНА ПОТАПОВА</t>
        </is>
      </c>
      <c r="D477" s="3" t="n">
        <v>30260</v>
      </c>
      <c r="E477" s="4" t="n">
        <v>15</v>
      </c>
      <c r="F477" t="inlineStr">
        <is>
          <t>ООО "Библио-Глобус Туроператор" [Чайковский]</t>
        </is>
      </c>
      <c r="G477" s="3">
        <f>ROUND(D477/(100-E477)*100,2)</f>
        <v/>
      </c>
      <c r="H477" s="5" t="n">
        <v>46251.58333333334</v>
      </c>
      <c r="I477" t="n">
        <v>2</v>
      </c>
      <c r="J477" s="3">
        <f>G477/I477</f>
        <v/>
      </c>
      <c r="K477">
        <f>IF(J477&gt;=5100,"ставка","мин.ставка")</f>
        <v/>
      </c>
      <c r="L477" s="3">
        <f>ROUND(IF(K477="мин.ставка",I477*100,G477/102*2),2)</f>
        <v/>
      </c>
      <c r="M477" s="5" t="n">
        <v>46253.5</v>
      </c>
      <c r="N477" t="inlineStr">
        <is>
          <t>TravelLine BGL</t>
        </is>
      </c>
      <c r="O477" s="2" t="inlineStr">
        <is>
          <t>ЛЮКС ВТОРОЙ КОРПУС</t>
        </is>
      </c>
      <c r="P477" s="6" t="n"/>
      <c r="R477" t="inlineStr"/>
      <c r="S477" t="inlineStr">
        <is>
          <t>Тариф с завтраком</t>
        </is>
      </c>
      <c r="T477" t="n">
        <v>0</v>
      </c>
      <c r="U477" t="n">
        <v>30260</v>
      </c>
    </row>
    <row r="478">
      <c r="A478" t="inlineStr">
        <is>
          <t>20260824-8186-427406859</t>
        </is>
      </c>
      <c r="B478" t="n">
        <v>1</v>
      </c>
      <c r="C478" s="2" t="inlineStr">
        <is>
          <t>Елена Селина, Жанна Киташина</t>
        </is>
      </c>
      <c r="D478" s="3" t="n">
        <v>6261.15</v>
      </c>
      <c r="E478" s="4" t="n">
        <v>4</v>
      </c>
      <c r="F478" t="inlineStr">
        <is>
          <t>TravelLine Booking Engine [Чайковский]</t>
        </is>
      </c>
      <c r="G478" s="3">
        <f>ROUND(D478/(100-E478)*100,2)</f>
        <v/>
      </c>
      <c r="H478" s="5" t="n">
        <v>46258.58333333334</v>
      </c>
      <c r="I478" t="n">
        <v>1</v>
      </c>
      <c r="J478" s="3">
        <f>G478/I478</f>
        <v/>
      </c>
      <c r="K478">
        <f>IF(J478&gt;=5100,"ставка","мин.ставка")</f>
        <v/>
      </c>
      <c r="L478" s="3">
        <f>ROUND(IF(K478="мин.ставка",I478*100,G478/102*2),2)</f>
        <v/>
      </c>
      <c r="M478" s="5" t="n">
        <v>46259.5</v>
      </c>
      <c r="N478" t="inlineStr">
        <is>
          <t>TravelLine сайт</t>
        </is>
      </c>
      <c r="O478" s="2" t="inlineStr">
        <is>
          <t>СТАНДАРТНЫЙ ДВУХМЕСТНЫЙ НОМЕР</t>
        </is>
      </c>
      <c r="P478" s="6" t="n"/>
      <c r="R478" t="inlineStr"/>
      <c r="S478" t="inlineStr">
        <is>
          <t>Тариф с завтраком</t>
        </is>
      </c>
      <c r="T478" t="n">
        <v>6675</v>
      </c>
      <c r="U478" t="n">
        <v>72597.3</v>
      </c>
    </row>
    <row r="479">
      <c r="A479" t="inlineStr">
        <is>
          <t>20260917-8186-466532217</t>
        </is>
      </c>
      <c r="B479" t="n">
        <v>1</v>
      </c>
      <c r="C479" s="2" t="inlineStr">
        <is>
          <t>Елена Соколова, Иван Соколов</t>
        </is>
      </c>
      <c r="D479" s="3" t="n">
        <v>11214</v>
      </c>
      <c r="E479" s="4" t="n">
        <v>16</v>
      </c>
      <c r="F479" t="inlineStr">
        <is>
          <t>ООО "БРОНИРОВАНИЕ ГОСТИНИЦ" (OSTROVOK) [Чайковский]</t>
        </is>
      </c>
      <c r="G479" s="3">
        <f>ROUND(D479/(100-E479)*100,2)</f>
        <v/>
      </c>
      <c r="H479" s="5" t="n">
        <v>46282.58333333334</v>
      </c>
      <c r="I479" t="n">
        <v>1</v>
      </c>
      <c r="J479" s="3">
        <f>G479/I479</f>
        <v/>
      </c>
      <c r="K479">
        <f>IF(J479&gt;=5100,"ставка","мин.ставка")</f>
        <v/>
      </c>
      <c r="L479" s="3">
        <f>ROUND(IF(K479="мин.ставка",I479*100,G479/102*2),2)</f>
        <v/>
      </c>
      <c r="M479" s="5" t="n">
        <v>46283.5</v>
      </c>
      <c r="N479" t="inlineStr">
        <is>
          <t>TravelLine OTK</t>
        </is>
      </c>
      <c r="O479" s="2" t="inlineStr">
        <is>
          <t>СТАНДАРТНЫЙ ДВУХМЕСТНЫЙ НОМЕР</t>
        </is>
      </c>
      <c r="P479" s="6" t="n"/>
      <c r="R479" t="inlineStr"/>
      <c r="S479" t="inlineStr">
        <is>
          <t>Тариф с завтраком</t>
        </is>
      </c>
      <c r="T479" t="n">
        <v>0</v>
      </c>
      <c r="U479" t="n">
        <v>11214</v>
      </c>
    </row>
    <row r="480">
      <c r="A480" t="inlineStr">
        <is>
          <t>20260715-8186-449585741</t>
        </is>
      </c>
      <c r="B480" t="n">
        <v>1</v>
      </c>
      <c r="C480" s="2" t="inlineStr">
        <is>
          <t>Елена Сорокина</t>
        </is>
      </c>
      <c r="D480" s="3" t="n">
        <v>22861.3</v>
      </c>
      <c r="E480" s="4" t="n">
        <v>4</v>
      </c>
      <c r="F480" t="inlineStr">
        <is>
          <t>TravelLine Booking Engine [Чайковский]</t>
        </is>
      </c>
      <c r="G480" s="3">
        <f>ROUND(D480/(100-E480)*100,2)</f>
        <v/>
      </c>
      <c r="H480" s="5" t="n">
        <v>46218.58333333334</v>
      </c>
      <c r="I480" t="n">
        <v>3</v>
      </c>
      <c r="J480" s="3">
        <f>G480/I480</f>
        <v/>
      </c>
      <c r="K480">
        <f>IF(J480&gt;=5100,"ставка","мин.ставка")</f>
        <v/>
      </c>
      <c r="L480" s="3">
        <f>ROUND(IF(K480="мин.ставка",I480*100,G480/102*2),2)</f>
        <v/>
      </c>
      <c r="M480" s="5" t="n">
        <v>46221.5</v>
      </c>
      <c r="N480" t="inlineStr">
        <is>
          <t>TravelLine сайт</t>
        </is>
      </c>
      <c r="O480" s="2" t="inlineStr">
        <is>
          <t>СТАНДАРТНЫЙ ОДНОМЕСТНЫЙ НОМЕР</t>
        </is>
      </c>
      <c r="P480" s="6" t="n"/>
      <c r="R480" t="inlineStr"/>
      <c r="S480" t="inlineStr">
        <is>
          <t>Тариф с завтраком</t>
        </is>
      </c>
      <c r="T480" t="n">
        <v>0</v>
      </c>
      <c r="U480" t="n">
        <v>22861.3</v>
      </c>
    </row>
    <row r="481">
      <c r="A481" t="inlineStr">
        <is>
          <t>20260923-8186-410840730</t>
        </is>
      </c>
      <c r="B481" t="n">
        <v>1</v>
      </c>
      <c r="C481" s="2" t="inlineStr">
        <is>
          <t>Елена Харисова, ДМИТРИЙ АЛЕКСЕЕВ</t>
        </is>
      </c>
      <c r="D481" s="3" t="n">
        <v>29452.5</v>
      </c>
      <c r="E481" s="4" t="n">
        <v>4</v>
      </c>
      <c r="F481" t="inlineStr">
        <is>
          <t>TravelLine Booking Engine [Чайковский]</t>
        </is>
      </c>
      <c r="G481" s="3">
        <f>ROUND(D481/(100-E481)*100,2)</f>
        <v/>
      </c>
      <c r="H481" s="5" t="n">
        <v>46288.58333333334</v>
      </c>
      <c r="I481" t="n">
        <v>3</v>
      </c>
      <c r="J481" s="3">
        <f>G481/I481</f>
        <v/>
      </c>
      <c r="K481">
        <f>IF(J481&gt;=5100,"ставка","мин.ставка")</f>
        <v/>
      </c>
      <c r="L481" s="3">
        <f>ROUND(IF(K481="мин.ставка",I481*100,G481/102*2),2)</f>
        <v/>
      </c>
      <c r="M481" s="5" t="n">
        <v>46291.5</v>
      </c>
      <c r="N481" t="inlineStr">
        <is>
          <t>TravelLine сайт</t>
        </is>
      </c>
      <c r="O481" s="2" t="inlineStr">
        <is>
          <t>СТАНДАРТНЫЙ ДВУХМЕСТНЫЙ НОМЕР (МАНСАРДА)</t>
        </is>
      </c>
      <c r="P481" s="6" t="n"/>
      <c r="R481" t="inlineStr"/>
      <c r="S481" t="inlineStr">
        <is>
          <t>Тариф с завтраком</t>
        </is>
      </c>
      <c r="T481" t="n">
        <v>0</v>
      </c>
      <c r="U481" t="n">
        <v>29452.5</v>
      </c>
    </row>
    <row r="482">
      <c r="A482" t="inlineStr">
        <is>
          <t>20260925-8186-434543735</t>
        </is>
      </c>
      <c r="B482" t="n">
        <v>1</v>
      </c>
      <c r="C482" s="2" t="inlineStr">
        <is>
          <t>ЕЛЕНА ХРАПУНОВА, АНАСТАСИЯ ДИЕСПЕРОВА</t>
        </is>
      </c>
      <c r="D482" s="3" t="n">
        <v>16830</v>
      </c>
      <c r="E482" s="4" t="n">
        <v>15</v>
      </c>
      <c r="F482" t="inlineStr">
        <is>
          <t>ООО "АКАДЕМ-ОНЛАЙН" [Чайковский]</t>
        </is>
      </c>
      <c r="G482" s="3">
        <f>ROUND(D482/(100-E482)*100,2)</f>
        <v/>
      </c>
      <c r="H482" s="5" t="n">
        <v>46290.58333333334</v>
      </c>
      <c r="I482" t="n">
        <v>2</v>
      </c>
      <c r="J482" s="3">
        <f>G482/I482</f>
        <v/>
      </c>
      <c r="K482">
        <f>IF(J482&gt;=5100,"ставка","мин.ставка")</f>
        <v/>
      </c>
      <c r="L482" s="3">
        <f>ROUND(IF(K482="мин.ставка",I482*100,G482/102*2),2)</f>
        <v/>
      </c>
      <c r="M482" s="5" t="n">
        <v>46292.5</v>
      </c>
      <c r="N482" t="inlineStr">
        <is>
          <t>TravelLine ACS</t>
        </is>
      </c>
      <c r="O482" s="2" t="inlineStr">
        <is>
          <t>СТАНДАРТНЫЙ ДВУХМЕСТНЫЙ НОМЕР (МАНСАРДА)</t>
        </is>
      </c>
      <c r="P482" s="6" t="n"/>
      <c r="R482" t="inlineStr"/>
      <c r="S482" t="inlineStr">
        <is>
          <t>Тариф с завтраком</t>
        </is>
      </c>
      <c r="T482" t="n">
        <v>0</v>
      </c>
      <c r="U482" t="n">
        <v>16830</v>
      </c>
    </row>
    <row r="483">
      <c r="A483" t="inlineStr">
        <is>
          <t>20260818-8186-438764363</t>
        </is>
      </c>
      <c r="B483" t="n">
        <v>1</v>
      </c>
      <c r="C483" s="2" t="inlineStr">
        <is>
          <t>Елена Шершикова</t>
        </is>
      </c>
      <c r="D483" s="3" t="n">
        <v>31481.5</v>
      </c>
      <c r="E483" s="4" t="n">
        <v>4</v>
      </c>
      <c r="F483" t="inlineStr">
        <is>
          <t>TravelLine Booking Engine [Чайковский]</t>
        </is>
      </c>
      <c r="G483" s="3">
        <f>ROUND(D483/(100-E483)*100,2)</f>
        <v/>
      </c>
      <c r="H483" s="5" t="n">
        <v>46252.58333333334</v>
      </c>
      <c r="I483" t="n">
        <v>4</v>
      </c>
      <c r="J483" s="3">
        <f>G483/I483</f>
        <v/>
      </c>
      <c r="K483">
        <f>IF(J483&gt;=5100,"ставка","мин.ставка")</f>
        <v/>
      </c>
      <c r="L483" s="3">
        <f>ROUND(IF(K483="мин.ставка",I483*100,G483/102*2),2)</f>
        <v/>
      </c>
      <c r="M483" s="5" t="n">
        <v>46256.5</v>
      </c>
      <c r="N483" t="inlineStr">
        <is>
          <t>TravelLine сайт</t>
        </is>
      </c>
      <c r="O483" s="2" t="inlineStr">
        <is>
          <t>СТАНДАРТНЫЙ ДВУХМЕСТНЫЙ НОМЕР (МАНСАРДА)</t>
        </is>
      </c>
      <c r="P483" s="6" t="n"/>
      <c r="R483" t="inlineStr"/>
      <c r="S483" t="inlineStr">
        <is>
          <t>Тариф с завтраком</t>
        </is>
      </c>
      <c r="T483" t="n">
        <v>0</v>
      </c>
      <c r="U483" t="n">
        <v>31481.5</v>
      </c>
    </row>
    <row r="484">
      <c r="A484" t="inlineStr">
        <is>
          <t>20260817-8186-445978911</t>
        </is>
      </c>
      <c r="B484" t="n">
        <v>1</v>
      </c>
      <c r="C484" s="2" t="inlineStr">
        <is>
          <t>ЕЛИЗАВЕТА ГОРБАЧ, АННА МАЛЬНЕВА</t>
        </is>
      </c>
      <c r="D484" s="3" t="n">
        <v>53400</v>
      </c>
      <c r="E484" s="4" t="n">
        <v>18</v>
      </c>
      <c r="F484" t="inlineStr">
        <is>
          <t>Яндекс.Путешествия [Чайковский]</t>
        </is>
      </c>
      <c r="G484" s="3">
        <f>ROUND(D484/(100-E484)*100,2)</f>
        <v/>
      </c>
      <c r="H484" s="5" t="n">
        <v>46251.58333333334</v>
      </c>
      <c r="I484" t="n">
        <v>5</v>
      </c>
      <c r="J484" s="3">
        <f>G484/I484</f>
        <v/>
      </c>
      <c r="K484">
        <f>IF(J484&gt;=5100,"ставка","мин.ставка")</f>
        <v/>
      </c>
      <c r="L484" s="3">
        <f>ROUND(IF(K484="мин.ставка",I484*100,G484/102*2),2)</f>
        <v/>
      </c>
      <c r="M484" s="5" t="n">
        <v>46256.5</v>
      </c>
      <c r="N484" t="inlineStr">
        <is>
          <t>TravelLine YAX</t>
        </is>
      </c>
      <c r="O484" s="2" t="inlineStr">
        <is>
          <t>СТАНДАРТНЫЙ ДВУХМЕСТНЫЙ НОМЕР</t>
        </is>
      </c>
      <c r="P484" s="6" t="n"/>
      <c r="R484" t="inlineStr"/>
      <c r="S484" t="inlineStr">
        <is>
          <t>Тариф с завтраком</t>
        </is>
      </c>
      <c r="T484" t="n">
        <v>0</v>
      </c>
      <c r="U484" t="n">
        <v>53400</v>
      </c>
    </row>
    <row r="485">
      <c r="A485" t="inlineStr">
        <is>
          <t>20260910-8186-439466148</t>
        </is>
      </c>
      <c r="B485" t="n">
        <v>1</v>
      </c>
      <c r="C485" s="2" t="inlineStr">
        <is>
          <t>Елизавета Сыщикова, АЛЕКСАНДР ВОЗНЮК</t>
        </is>
      </c>
      <c r="D485" s="3" t="n">
        <v>29700</v>
      </c>
      <c r="E485" s="4" t="n">
        <v>0</v>
      </c>
      <c r="F485" t="inlineStr">
        <is>
          <t>Прямые бронирования (стойка) [Чайковский]</t>
        </is>
      </c>
      <c r="G485" s="3">
        <f>ROUND(D485/(100-E485)*100,2)</f>
        <v/>
      </c>
      <c r="H485" s="5" t="n">
        <v>46275.58333333334</v>
      </c>
      <c r="I485" t="n">
        <v>2</v>
      </c>
      <c r="J485" s="3">
        <f>G485/I485</f>
        <v/>
      </c>
      <c r="K485">
        <f>IF(J485&gt;=5100,"ставка","мин.ставка")</f>
        <v/>
      </c>
      <c r="L485" s="3">
        <f>ROUND(IF(K485="мин.ставка",I485*100,G485/102*2),2)</f>
        <v/>
      </c>
      <c r="M485" s="5" t="n">
        <v>46277.5</v>
      </c>
      <c r="N485" t="inlineStr">
        <is>
          <t>TravelLine ресепшн</t>
        </is>
      </c>
      <c r="O485" s="2" t="inlineStr">
        <is>
          <t>ПОЛУЛЮКС</t>
        </is>
      </c>
      <c r="P485" s="6" t="n"/>
      <c r="R485" t="inlineStr"/>
      <c r="S485" t="inlineStr">
        <is>
          <t>Тариф с завтраком</t>
        </is>
      </c>
      <c r="T485" t="n">
        <v>0</v>
      </c>
      <c r="U485" t="n">
        <v>29700</v>
      </c>
    </row>
    <row r="486">
      <c r="A486" t="inlineStr">
        <is>
          <t>20260913-8186-455450563</t>
        </is>
      </c>
      <c r="B486" t="n">
        <v>1</v>
      </c>
      <c r="C486" s="2" t="inlineStr">
        <is>
          <t>Жанна Денисова</t>
        </is>
      </c>
      <c r="D486" s="3" t="n">
        <v>56750</v>
      </c>
      <c r="E486" s="4" t="n">
        <v>0</v>
      </c>
      <c r="F486" t="inlineStr">
        <is>
          <t>Прямые бронирования (стойка) [Чайковский]</t>
        </is>
      </c>
      <c r="G486" s="3">
        <f>ROUND(D486/(100-E486)*100,2)</f>
        <v/>
      </c>
      <c r="H486" s="5" t="n">
        <v>46278.58333333334</v>
      </c>
      <c r="I486" t="n">
        <v>5</v>
      </c>
      <c r="J486" s="3">
        <f>G486/I486</f>
        <v/>
      </c>
      <c r="K486">
        <f>IF(J486&gt;=5100,"ставка","мин.ставка")</f>
        <v/>
      </c>
      <c r="L486" s="3">
        <f>ROUND(IF(K486="мин.ставка",I486*100,G486/102*2),2)</f>
        <v/>
      </c>
      <c r="M486" s="5" t="n">
        <v>46283.75</v>
      </c>
      <c r="N486" t="inlineStr">
        <is>
          <t>TravelLine ресепшн</t>
        </is>
      </c>
      <c r="O486" s="2" t="inlineStr">
        <is>
          <t>СТАНДАРТНЫЙ ДВУХМЕСТНЫЙ НОМЕР</t>
        </is>
      </c>
      <c r="P486" s="6" t="n"/>
      <c r="R486" t="inlineStr"/>
      <c r="S486" t="inlineStr">
        <is>
          <t>Тариф с завтраком</t>
        </is>
      </c>
      <c r="T486" t="n">
        <v>5675</v>
      </c>
      <c r="U486" t="n">
        <v>62425</v>
      </c>
    </row>
    <row r="487">
      <c r="A487" t="inlineStr">
        <is>
          <t>20260921-8186-458585384</t>
        </is>
      </c>
      <c r="B487" t="n">
        <v>1</v>
      </c>
      <c r="C487" s="2" t="inlineStr">
        <is>
          <t>Жанна Садовникова</t>
        </is>
      </c>
      <c r="D487" s="3" t="n">
        <v>6557</v>
      </c>
      <c r="E487" s="4" t="n">
        <v>0</v>
      </c>
      <c r="F487" t="inlineStr">
        <is>
          <t>Прямые бронирования (стойка) [Чайковский]</t>
        </is>
      </c>
      <c r="G487" s="3">
        <f>ROUND(D487/(100-E487)*100,2)</f>
        <v/>
      </c>
      <c r="H487" s="5" t="n">
        <v>46286.58333333334</v>
      </c>
      <c r="I487" t="n">
        <v>1</v>
      </c>
      <c r="J487" s="3">
        <f>G487/I487</f>
        <v/>
      </c>
      <c r="K487">
        <f>IF(J487&gt;=5100,"ставка","мин.ставка")</f>
        <v/>
      </c>
      <c r="L487" s="3">
        <f>ROUND(IF(K487="мин.ставка",I487*100,G487/102*2),2)</f>
        <v/>
      </c>
      <c r="M487" s="5" t="n">
        <v>46287.5</v>
      </c>
      <c r="N487" t="inlineStr">
        <is>
          <t>TravelLine CMB</t>
        </is>
      </c>
      <c r="O487" s="2" t="inlineStr">
        <is>
          <t>СТАНДАРТНЫЙ ДВУХМЕСТНЫЙ НОМЕР (МАНСАРДА)</t>
        </is>
      </c>
      <c r="P487" s="6" t="n"/>
      <c r="R487" t="inlineStr"/>
      <c r="S487" t="inlineStr">
        <is>
          <t>Тариф с завтраком</t>
        </is>
      </c>
      <c r="T487" t="n">
        <v>0</v>
      </c>
      <c r="U487" t="n">
        <v>6557</v>
      </c>
    </row>
    <row r="488">
      <c r="A488" t="inlineStr">
        <is>
          <t>20260727-8186-414990787</t>
        </is>
      </c>
      <c r="B488" t="n">
        <v>1</v>
      </c>
      <c r="C488" s="2" t="inlineStr">
        <is>
          <t>Зеки Мамутов, Светлана Мамутова</t>
        </is>
      </c>
      <c r="D488" s="3" t="n">
        <v>10680</v>
      </c>
      <c r="E488" s="4" t="n">
        <v>18</v>
      </c>
      <c r="F488" t="inlineStr">
        <is>
          <t>Яндекс.Путешествия [Чайковский]</t>
        </is>
      </c>
      <c r="G488" s="3">
        <f>ROUND(D488/(100-E488)*100,2)</f>
        <v/>
      </c>
      <c r="H488" s="5" t="n">
        <v>46230.58333333334</v>
      </c>
      <c r="I488" t="n">
        <v>1</v>
      </c>
      <c r="J488" s="3">
        <f>G488/I488</f>
        <v/>
      </c>
      <c r="K488">
        <f>IF(J488&gt;=5100,"ставка","мин.ставка")</f>
        <v/>
      </c>
      <c r="L488" s="3">
        <f>ROUND(IF(K488="мин.ставка",I488*100,G488/102*2),2)</f>
        <v/>
      </c>
      <c r="M488" s="5" t="n">
        <v>46231.5</v>
      </c>
      <c r="N488" t="inlineStr">
        <is>
          <t>TravelLine YAX</t>
        </is>
      </c>
      <c r="O488" s="2" t="inlineStr">
        <is>
          <t>СТАНДАРТНЫЙ ДВУХМЕСТНЫЙ НОМЕР</t>
        </is>
      </c>
      <c r="P488" s="6" t="n"/>
      <c r="R488" t="inlineStr"/>
      <c r="S488" t="inlineStr">
        <is>
          <t>Тариф с завтраком</t>
        </is>
      </c>
      <c r="T488" t="n">
        <v>0</v>
      </c>
      <c r="U488" t="n">
        <v>10680</v>
      </c>
    </row>
    <row r="489">
      <c r="A489" t="inlineStr">
        <is>
          <t>20260730-8186-450690442</t>
        </is>
      </c>
      <c r="B489" t="n">
        <v>1</v>
      </c>
      <c r="C489" s="2" t="inlineStr">
        <is>
          <t>Зиля Мазитова, Лейсан Садретдинова</t>
        </is>
      </c>
      <c r="D489" s="3" t="n">
        <v>45390</v>
      </c>
      <c r="E489" s="4" t="n">
        <v>0</v>
      </c>
      <c r="F489" t="inlineStr">
        <is>
          <t>ООО «ХОМЛИН ЛЭНД» (ПЕГАС) [Чайковский]</t>
        </is>
      </c>
      <c r="G489" s="3">
        <f>ROUND(D489/(100-E489)*100,2)</f>
        <v/>
      </c>
      <c r="H489" s="5" t="n">
        <v>46233.58333333334</v>
      </c>
      <c r="I489" t="n">
        <v>4</v>
      </c>
      <c r="J489" s="3">
        <f>G489/I489</f>
        <v/>
      </c>
      <c r="K489">
        <f>IF(J489&gt;=5100,"ставка","мин.ставка")</f>
        <v/>
      </c>
      <c r="L489" s="3">
        <f>ROUND(IF(K489="мин.ставка",I489*100,G489/102*2),2)</f>
        <v/>
      </c>
      <c r="M489" s="5" t="n">
        <v>46237.5</v>
      </c>
      <c r="N489" t="inlineStr">
        <is>
          <t>TravelLine PGS</t>
        </is>
      </c>
      <c r="O489" s="2" t="inlineStr">
        <is>
          <t>СТАНДАРТНЫЙ ДВУХМЕСТНЫЙ НОМЕР</t>
        </is>
      </c>
      <c r="P489" s="6" t="n"/>
      <c r="R489" t="inlineStr"/>
      <c r="S489" t="inlineStr">
        <is>
          <t>Тариф с завтраком</t>
        </is>
      </c>
      <c r="T489" t="n">
        <v>0</v>
      </c>
      <c r="U489" t="n">
        <v>45390</v>
      </c>
    </row>
    <row r="490">
      <c r="A490" t="inlineStr">
        <is>
          <t>20260828-8186-461344488</t>
        </is>
      </c>
      <c r="B490" t="n">
        <v>1</v>
      </c>
      <c r="C490" s="2" t="inlineStr">
        <is>
          <t>ЗОЯ КОВНАЦКАЯ, Илья Романов</t>
        </is>
      </c>
      <c r="D490" s="3" t="n">
        <v>26286.15</v>
      </c>
      <c r="E490" s="4" t="n">
        <v>4</v>
      </c>
      <c r="F490" t="inlineStr">
        <is>
          <t>TravelLine Booking Engine [Чайковский]</t>
        </is>
      </c>
      <c r="G490" s="3">
        <f>ROUND(D490/(100-E490)*100,2)</f>
        <v/>
      </c>
      <c r="H490" s="5" t="n">
        <v>46262.58333333334</v>
      </c>
      <c r="I490" t="n">
        <v>2</v>
      </c>
      <c r="J490" s="3">
        <f>G490/I490</f>
        <v/>
      </c>
      <c r="K490">
        <f>IF(J490&gt;=5100,"ставка","мин.ставка")</f>
        <v/>
      </c>
      <c r="L490" s="3">
        <f>ROUND(IF(K490="мин.ставка",I490*100,G490/102*2),2)</f>
        <v/>
      </c>
      <c r="M490" s="5" t="n">
        <v>46264.5</v>
      </c>
      <c r="N490" t="inlineStr">
        <is>
          <t>TravelLine сайт</t>
        </is>
      </c>
      <c r="O490" s="2" t="inlineStr">
        <is>
          <t>СТАНДАРТНЫЙ ДВУХМЕСТНЫЙ НОМЕР</t>
        </is>
      </c>
      <c r="P490" s="6" t="n"/>
      <c r="R490" t="inlineStr"/>
      <c r="S490" t="inlineStr">
        <is>
          <t>Тариф с завтраком</t>
        </is>
      </c>
      <c r="T490" t="n">
        <v>0</v>
      </c>
      <c r="U490" t="n">
        <v>26286.15</v>
      </c>
    </row>
    <row r="491">
      <c r="A491" t="inlineStr">
        <is>
          <t>20260913-8186-465006249</t>
        </is>
      </c>
      <c r="B491" t="n">
        <v>1</v>
      </c>
      <c r="C491" s="2" t="inlineStr">
        <is>
          <t>Зураб Кикалишвили, Ирина Черенкова</t>
        </is>
      </c>
      <c r="D491" s="3" t="n">
        <v>63910</v>
      </c>
      <c r="E491" s="4" t="n">
        <v>17</v>
      </c>
      <c r="F491" t="inlineStr">
        <is>
          <t>ООО «Интернет Трэвел» (OZON) [Чайковский]</t>
        </is>
      </c>
      <c r="G491" s="3">
        <f>ROUND(D491/(100-E491)*100,2)</f>
        <v/>
      </c>
      <c r="H491" s="5" t="n">
        <v>46278.58333333334</v>
      </c>
      <c r="I491" t="n">
        <v>5</v>
      </c>
      <c r="J491" s="3">
        <f>G491/I491</f>
        <v/>
      </c>
      <c r="K491">
        <f>IF(J491&gt;=5100,"ставка","мин.ставка")</f>
        <v/>
      </c>
      <c r="L491" s="3">
        <f>ROUND(IF(K491="мин.ставка",I491*100,G491/102*2),2)</f>
        <v/>
      </c>
      <c r="M491" s="5" t="n">
        <v>46283.5</v>
      </c>
      <c r="N491" t="inlineStr">
        <is>
          <t>TravelLine OZ2</t>
        </is>
      </c>
      <c r="O491" s="2" t="inlineStr">
        <is>
          <t>УЛУЧШЕННЫЙ ДВУХМЕСТНЫЙ НОМЕР</t>
        </is>
      </c>
      <c r="P491" s="6" t="n"/>
      <c r="R491" t="inlineStr"/>
      <c r="S491" t="inlineStr">
        <is>
          <t>Тариф с завтраком</t>
        </is>
      </c>
      <c r="T491" t="n">
        <v>0</v>
      </c>
      <c r="U491" t="n">
        <v>63910</v>
      </c>
    </row>
    <row r="492">
      <c r="A492" t="inlineStr">
        <is>
          <t>20260903-8186-463379903</t>
        </is>
      </c>
      <c r="B492" t="n">
        <v>1</v>
      </c>
      <c r="C492" s="2" t="inlineStr">
        <is>
          <t>и Грунтович</t>
        </is>
      </c>
      <c r="D492" s="3" t="n">
        <v>12936</v>
      </c>
      <c r="E492" s="4" t="n">
        <v>0</v>
      </c>
      <c r="F492" t="inlineStr">
        <is>
          <t>Прямые бронирования (стойка) [Чайковский]</t>
        </is>
      </c>
      <c r="G492" s="3">
        <f>ROUND(D492/(100-E492)*100,2)</f>
        <v/>
      </c>
      <c r="H492" s="5" t="n">
        <v>46268.58333333334</v>
      </c>
      <c r="I492" t="n">
        <v>1</v>
      </c>
      <c r="J492" s="3">
        <f>G492/I492</f>
        <v/>
      </c>
      <c r="K492">
        <f>IF(J492&gt;=5100,"ставка","мин.ставка")</f>
        <v/>
      </c>
      <c r="L492" s="3">
        <f>ROUND(IF(K492="мин.ставка",I492*100,G492/102*2),2)</f>
        <v/>
      </c>
      <c r="M492" s="5" t="n">
        <v>46269.5</v>
      </c>
      <c r="N492" t="inlineStr">
        <is>
          <t>TravelLine ресепшн</t>
        </is>
      </c>
      <c r="O492" s="2" t="inlineStr">
        <is>
          <t>УЛУЧШЕННЫЙ ДВУХМЕСТНЫЙ НОМЕР</t>
        </is>
      </c>
      <c r="P492" s="6" t="n"/>
      <c r="R492" t="inlineStr"/>
      <c r="S492" t="inlineStr">
        <is>
          <t>Тариф с завтраком</t>
        </is>
      </c>
      <c r="T492" t="n">
        <v>0</v>
      </c>
      <c r="U492" t="n">
        <v>12936</v>
      </c>
    </row>
    <row r="493">
      <c r="A493" t="inlineStr">
        <is>
          <t>20260724-8186-452688342</t>
        </is>
      </c>
      <c r="B493" t="n">
        <v>1</v>
      </c>
      <c r="C493" s="2" t="inlineStr">
        <is>
          <t>и Картвелишвилли</t>
        </is>
      </c>
      <c r="D493" s="3" t="n">
        <v>13350</v>
      </c>
      <c r="E493" s="4" t="n">
        <v>0</v>
      </c>
      <c r="F493" t="inlineStr">
        <is>
          <t>Прямые бронирования (стойка) [Чайковский]</t>
        </is>
      </c>
      <c r="G493" s="3">
        <f>ROUND(D493/(100-E493)*100,2)</f>
        <v/>
      </c>
      <c r="H493" s="5" t="n">
        <v>46227.58333333334</v>
      </c>
      <c r="I493" t="n">
        <v>1</v>
      </c>
      <c r="J493" s="3">
        <f>G493/I493</f>
        <v/>
      </c>
      <c r="K493">
        <f>IF(J493&gt;=5100,"ставка","мин.ставка")</f>
        <v/>
      </c>
      <c r="L493" s="3">
        <f>ROUND(IF(K493="мин.ставка",I493*100,G493/102*2),2)</f>
        <v/>
      </c>
      <c r="M493" s="5" t="n">
        <v>46228.5</v>
      </c>
      <c r="N493" t="inlineStr">
        <is>
          <t>TravelLine ресепшн</t>
        </is>
      </c>
      <c r="O493" s="2" t="inlineStr">
        <is>
          <t>СТАНДАРТНЫЙ ДВУХМЕСТНЫЙ НОМЕР</t>
        </is>
      </c>
      <c r="P493" s="6" t="n"/>
      <c r="R493" t="inlineStr"/>
      <c r="S493" t="inlineStr">
        <is>
          <t>Тариф с завтраком</t>
        </is>
      </c>
      <c r="T493" t="n">
        <v>0</v>
      </c>
      <c r="U493" t="n">
        <v>13350</v>
      </c>
    </row>
    <row r="494">
      <c r="A494" t="inlineStr">
        <is>
          <t>20260825-8186-461132014</t>
        </is>
      </c>
      <c r="B494" t="n">
        <v>1</v>
      </c>
      <c r="C494" s="2" t="inlineStr">
        <is>
          <t>и Киташина</t>
        </is>
      </c>
      <c r="D494" s="3" t="n">
        <v>40050</v>
      </c>
      <c r="E494" s="4" t="n">
        <v>0</v>
      </c>
      <c r="F494" t="inlineStr">
        <is>
          <t>Прямые бронирования (стойка) [Чайковский]</t>
        </is>
      </c>
      <c r="G494" s="3">
        <f>ROUND(D494/(100-E494)*100,2)</f>
        <v/>
      </c>
      <c r="H494" s="5" t="n">
        <v>46259.58333333334</v>
      </c>
      <c r="I494" t="n">
        <v>3</v>
      </c>
      <c r="J494" s="3">
        <f>G494/I494</f>
        <v/>
      </c>
      <c r="K494">
        <f>IF(J494&gt;=5100,"ставка","мин.ставка")</f>
        <v/>
      </c>
      <c r="L494" s="3">
        <f>ROUND(IF(K494="мин.ставка",I494*100,G494/102*2),2)</f>
        <v/>
      </c>
      <c r="M494" s="5" t="n">
        <v>46262.5</v>
      </c>
      <c r="N494" t="inlineStr">
        <is>
          <t>TravelLine ресепшн</t>
        </is>
      </c>
      <c r="O494" s="2" t="inlineStr">
        <is>
          <t>СТАНДАРТНЫЙ ДВУХМЕСТНЫЙ НОМЕР</t>
        </is>
      </c>
      <c r="P494" s="6" t="n"/>
      <c r="R494" t="inlineStr"/>
      <c r="S494" t="inlineStr">
        <is>
          <t>Тариф с завтраком</t>
        </is>
      </c>
      <c r="T494" t="n">
        <v>0</v>
      </c>
      <c r="U494" t="n">
        <v>40050</v>
      </c>
    </row>
    <row r="495">
      <c r="A495" t="inlineStr">
        <is>
          <t>20260805-8186-455800466</t>
        </is>
      </c>
      <c r="B495" t="n">
        <v>1</v>
      </c>
      <c r="C495" s="2" t="inlineStr">
        <is>
          <t>и Кочин</t>
        </is>
      </c>
      <c r="D495" s="3" t="n">
        <v>15400</v>
      </c>
      <c r="E495" s="4" t="n">
        <v>0</v>
      </c>
      <c r="F495" t="inlineStr">
        <is>
          <t>Прямые бронирования (стойка) [Чайковский]</t>
        </is>
      </c>
      <c r="G495" s="3">
        <f>ROUND(D495/(100-E495)*100,2)</f>
        <v/>
      </c>
      <c r="H495" s="5" t="n">
        <v>46239.58333333334</v>
      </c>
      <c r="I495" t="n">
        <v>2</v>
      </c>
      <c r="J495" s="3">
        <f>G495/I495</f>
        <v/>
      </c>
      <c r="K495">
        <f>IF(J495&gt;=5100,"ставка","мин.ставка")</f>
        <v/>
      </c>
      <c r="L495" s="3">
        <f>ROUND(IF(K495="мин.ставка",I495*100,G495/102*2),2)</f>
        <v/>
      </c>
      <c r="M495" s="5" t="n">
        <v>46241.5</v>
      </c>
      <c r="N495" t="inlineStr">
        <is>
          <t>TravelLine ресепшн</t>
        </is>
      </c>
      <c r="O495" s="2" t="inlineStr">
        <is>
          <t>СТАНДАРТНЫЙ ОДНОМЕСТНЫЙ НОМЕР</t>
        </is>
      </c>
      <c r="P495" s="6" t="n"/>
      <c r="R495" t="inlineStr"/>
      <c r="S495" t="inlineStr">
        <is>
          <t>Тариф с завтраком</t>
        </is>
      </c>
      <c r="T495" t="n">
        <v>0</v>
      </c>
      <c r="U495" t="n">
        <v>15400</v>
      </c>
    </row>
    <row r="496">
      <c r="A496" t="inlineStr">
        <is>
          <t>20260817-8186-442297769</t>
        </is>
      </c>
      <c r="B496" t="n">
        <v>1</v>
      </c>
      <c r="C496" s="2" t="inlineStr">
        <is>
          <t>ИВАН АНДРЕЕВ</t>
        </is>
      </c>
      <c r="D496" s="3" t="n">
        <v>45229.75</v>
      </c>
      <c r="E496" s="4" t="n">
        <v>4</v>
      </c>
      <c r="F496" t="inlineStr">
        <is>
          <t>TravelLine Booking Engine [Чайковский]</t>
        </is>
      </c>
      <c r="G496" s="3">
        <f>ROUND(D496/(100-E496)*100,2)</f>
        <v/>
      </c>
      <c r="H496" s="5" t="n">
        <v>46251.58333333334</v>
      </c>
      <c r="I496" t="n">
        <v>4</v>
      </c>
      <c r="J496" s="3">
        <f>G496/I496</f>
        <v/>
      </c>
      <c r="K496">
        <f>IF(J496&gt;=5100,"ставка","мин.ставка")</f>
        <v/>
      </c>
      <c r="L496" s="3">
        <f>ROUND(IF(K496="мин.ставка",I496*100,G496/102*2),2)</f>
        <v/>
      </c>
      <c r="M496" s="5" t="n">
        <v>46255.5</v>
      </c>
      <c r="N496" t="inlineStr">
        <is>
          <t>TravelLine сайт</t>
        </is>
      </c>
      <c r="O496" s="2" t="inlineStr">
        <is>
          <t>СТАНДАРТНЫЙ ДВУХМЕСТНЫЙ НОМЕР</t>
        </is>
      </c>
      <c r="P496" s="6" t="n"/>
      <c r="R496" t="inlineStr"/>
      <c r="S496" t="inlineStr">
        <is>
          <t>Тариф с завтраком</t>
        </is>
      </c>
      <c r="T496" t="n">
        <v>0</v>
      </c>
      <c r="U496" t="n">
        <v>98628.75</v>
      </c>
    </row>
    <row r="497">
      <c r="A497" t="inlineStr">
        <is>
          <t>20260902-8186-459355198</t>
        </is>
      </c>
      <c r="B497" t="n">
        <v>1</v>
      </c>
      <c r="C497" s="2" t="inlineStr">
        <is>
          <t>ИВАН БУЛЬДЕНКОВ</t>
        </is>
      </c>
      <c r="D497" s="3" t="n">
        <v>5852</v>
      </c>
      <c r="E497" s="4" t="n">
        <v>18</v>
      </c>
      <c r="F497" t="inlineStr">
        <is>
          <t>Яндекс.Путешествия [Чайковский]</t>
        </is>
      </c>
      <c r="G497" s="3">
        <f>ROUND(D497/(100-E497)*100,2)</f>
        <v/>
      </c>
      <c r="H497" s="5" t="n">
        <v>46267.58333333334</v>
      </c>
      <c r="I497" t="n">
        <v>1</v>
      </c>
      <c r="J497" s="3">
        <f>G497/I497</f>
        <v/>
      </c>
      <c r="K497">
        <f>IF(J497&gt;=5100,"ставка","мин.ставка")</f>
        <v/>
      </c>
      <c r="L497" s="3">
        <f>ROUND(IF(K497="мин.ставка",I497*100,G497/102*2),2)</f>
        <v/>
      </c>
      <c r="M497" s="5" t="n">
        <v>46268.5</v>
      </c>
      <c r="N497" t="inlineStr">
        <is>
          <t>TravelLine YAX</t>
        </is>
      </c>
      <c r="O497" s="2" t="inlineStr">
        <is>
          <t>СТАНДАРТНЫЙ ОДНОМЕСТНЫЙ НОМЕР</t>
        </is>
      </c>
      <c r="P497" s="6" t="n"/>
      <c r="R497" t="inlineStr"/>
      <c r="S497" t="inlineStr">
        <is>
          <t>Тариф с завтраком</t>
        </is>
      </c>
      <c r="T497" t="n">
        <v>0</v>
      </c>
      <c r="U497" t="n">
        <v>5852</v>
      </c>
    </row>
    <row r="498">
      <c r="A498" t="inlineStr">
        <is>
          <t>20260805-8186-450472293</t>
        </is>
      </c>
      <c r="B498" t="n">
        <v>1</v>
      </c>
      <c r="C498" s="2" t="inlineStr">
        <is>
          <t>ИВАН БУЛЬДЕНКОВ</t>
        </is>
      </c>
      <c r="D498" s="3" t="n">
        <v>5852</v>
      </c>
      <c r="E498" s="4" t="n">
        <v>18</v>
      </c>
      <c r="F498" t="inlineStr">
        <is>
          <t>Яндекс.Путешествия [Чайковский]</t>
        </is>
      </c>
      <c r="G498" s="3">
        <f>ROUND(D498/(100-E498)*100,2)</f>
        <v/>
      </c>
      <c r="H498" s="5" t="n">
        <v>46239.58333333334</v>
      </c>
      <c r="I498" t="n">
        <v>1</v>
      </c>
      <c r="J498" s="3">
        <f>G498/I498</f>
        <v/>
      </c>
      <c r="K498">
        <f>IF(J498&gt;=5100,"ставка","мин.ставка")</f>
        <v/>
      </c>
      <c r="L498" s="3">
        <f>ROUND(IF(K498="мин.ставка",I498*100,G498/102*2),2)</f>
        <v/>
      </c>
      <c r="M498" s="5" t="n">
        <v>46240.5</v>
      </c>
      <c r="N498" t="inlineStr">
        <is>
          <t>TravelLine YAX</t>
        </is>
      </c>
      <c r="O498" s="2" t="inlineStr">
        <is>
          <t>СТАНДАРТНЫЙ ОДНОМЕСТНЫЙ НОМЕР</t>
        </is>
      </c>
      <c r="P498" s="6" t="n"/>
      <c r="R498" t="inlineStr"/>
      <c r="S498" t="inlineStr">
        <is>
          <t>Тариф с завтраком</t>
        </is>
      </c>
      <c r="T498" t="n">
        <v>0</v>
      </c>
      <c r="U498" t="n">
        <v>5852</v>
      </c>
    </row>
    <row r="499">
      <c r="A499" t="inlineStr">
        <is>
          <t>20260824-8186-451489646</t>
        </is>
      </c>
      <c r="B499" t="n">
        <v>1</v>
      </c>
      <c r="C499" s="2" t="inlineStr">
        <is>
          <t>Игорь Белоусов, Елена Белоусова</t>
        </is>
      </c>
      <c r="D499" s="3" t="n">
        <v>17248.2</v>
      </c>
      <c r="E499" s="4" t="n">
        <v>4</v>
      </c>
      <c r="F499" t="inlineStr">
        <is>
          <t>TravelLine Booking Engine [Чайковский]</t>
        </is>
      </c>
      <c r="G499" s="3">
        <f>ROUND(D499/(100-E499)*100,2)</f>
        <v/>
      </c>
      <c r="H499" s="5" t="n">
        <v>46258.58333333334</v>
      </c>
      <c r="I499" t="n">
        <v>1</v>
      </c>
      <c r="J499" s="3">
        <f>G499/I499</f>
        <v/>
      </c>
      <c r="K499">
        <f>IF(J499&gt;=5100,"ставка","мин.ставка")</f>
        <v/>
      </c>
      <c r="L499" s="3">
        <f>ROUND(IF(K499="мин.ставка",I499*100,G499/102*2),2)</f>
        <v/>
      </c>
      <c r="M499" s="5" t="n">
        <v>46259.5</v>
      </c>
      <c r="N499" t="inlineStr">
        <is>
          <t>TravelLine сайт</t>
        </is>
      </c>
      <c r="O499" s="2" t="inlineStr">
        <is>
          <t>ЛЮКС ВТОРОЙ КОРПУС</t>
        </is>
      </c>
      <c r="P499" s="6" t="n"/>
      <c r="R499" t="inlineStr"/>
      <c r="S499" t="inlineStr">
        <is>
          <t>Тариф с завтраком</t>
        </is>
      </c>
      <c r="T499" t="n">
        <v>0</v>
      </c>
      <c r="U499" t="n">
        <v>24903.3</v>
      </c>
    </row>
    <row r="500">
      <c r="A500" t="inlineStr">
        <is>
          <t>20260720-8186-440105980</t>
        </is>
      </c>
      <c r="B500" t="n">
        <v>1</v>
      </c>
      <c r="C500" s="2" t="inlineStr">
        <is>
          <t>ИГОРЬ БОЙЦОВ, ИРИНА БОЙЦОВА</t>
        </is>
      </c>
      <c r="D500" s="3" t="n">
        <v>52360</v>
      </c>
      <c r="E500" s="4" t="n">
        <v>15</v>
      </c>
      <c r="F500" t="inlineStr">
        <is>
          <t>ООО "БРОНИРОВАНИЕ ГОСТИНИЦ" (OSTROVOK) [Чайковский]</t>
        </is>
      </c>
      <c r="G500" s="3">
        <f>ROUND(D500/(100-E500)*100,2)</f>
        <v/>
      </c>
      <c r="H500" s="5" t="n">
        <v>46223.58333333334</v>
      </c>
      <c r="I500" t="n">
        <v>4</v>
      </c>
      <c r="J500" s="3">
        <f>G500/I500</f>
        <v/>
      </c>
      <c r="K500">
        <f>IF(J500&gt;=5100,"ставка","мин.ставка")</f>
        <v/>
      </c>
      <c r="L500" s="3">
        <f>ROUND(IF(K500="мин.ставка",I500*100,G500/102*2),2)</f>
        <v/>
      </c>
      <c r="M500" s="5" t="n">
        <v>46227.5</v>
      </c>
      <c r="N500" t="inlineStr">
        <is>
          <t>TravelLine OTK</t>
        </is>
      </c>
      <c r="O500" s="2" t="inlineStr">
        <is>
          <t>УЛУЧШЕННЫЙ ДВУХМЕСТНЫЙ НОМЕР</t>
        </is>
      </c>
      <c r="P500" s="6" t="n"/>
      <c r="R500" t="inlineStr"/>
      <c r="S500" t="inlineStr">
        <is>
          <t>Тариф с завтраком</t>
        </is>
      </c>
      <c r="T500" t="n">
        <v>0</v>
      </c>
      <c r="U500" t="n">
        <v>52360</v>
      </c>
    </row>
    <row r="501">
      <c r="A501" t="inlineStr">
        <is>
          <t>20260901-8186-462846499</t>
        </is>
      </c>
      <c r="B501" t="n">
        <v>1</v>
      </c>
      <c r="C501" s="2" t="inlineStr">
        <is>
          <t>игорь захаров</t>
        </is>
      </c>
      <c r="D501" s="3" t="n">
        <v>13350</v>
      </c>
      <c r="E501" s="4" t="n">
        <v>0</v>
      </c>
      <c r="F501" t="inlineStr">
        <is>
          <t>Прямые бронирования (стойка) [Чайковский]</t>
        </is>
      </c>
      <c r="G501" s="3">
        <f>ROUND(D501/(100-E501)*100,2)</f>
        <v/>
      </c>
      <c r="H501" s="5" t="n">
        <v>46266.58333333334</v>
      </c>
      <c r="I501" t="n">
        <v>1</v>
      </c>
      <c r="J501" s="3">
        <f>G501/I501</f>
        <v/>
      </c>
      <c r="K501">
        <f>IF(J501&gt;=5100,"ставка","мин.ставка")</f>
        <v/>
      </c>
      <c r="L501" s="3">
        <f>ROUND(IF(K501="мин.ставка",I501*100,G501/102*2),2)</f>
        <v/>
      </c>
      <c r="M501" s="5" t="n">
        <v>46267.5</v>
      </c>
      <c r="N501" t="inlineStr">
        <is>
          <t>TravelLine ресепшн</t>
        </is>
      </c>
      <c r="O501" s="2" t="inlineStr">
        <is>
          <t>СТАНДАРТНЫЙ ДВУХМЕСТНЫЙ НОМЕР</t>
        </is>
      </c>
      <c r="P501" s="6" t="n"/>
      <c r="R501" t="inlineStr"/>
      <c r="S501" t="inlineStr">
        <is>
          <t>Тариф с завтраком</t>
        </is>
      </c>
      <c r="T501" t="n">
        <v>0</v>
      </c>
      <c r="U501" t="n">
        <v>13350</v>
      </c>
    </row>
    <row r="502">
      <c r="A502" t="inlineStr">
        <is>
          <t>20260830-8186-462432150</t>
        </is>
      </c>
      <c r="B502" t="n">
        <v>1</v>
      </c>
      <c r="C502" s="2" t="inlineStr">
        <is>
          <t>Игорь Захаров, Анна Захарова</t>
        </is>
      </c>
      <c r="D502" s="3" t="n">
        <v>15840</v>
      </c>
      <c r="E502" s="4" t="n">
        <v>20</v>
      </c>
      <c r="F502" t="inlineStr">
        <is>
          <t>ООО "КОМПАНИЯ БРОНЕВИК" [Чайковский]</t>
        </is>
      </c>
      <c r="G502" s="3">
        <f>ROUND(D502/(100-E502)*100,2)</f>
        <v/>
      </c>
      <c r="H502" s="5" t="n">
        <v>46264.58333333334</v>
      </c>
      <c r="I502" t="n">
        <v>2</v>
      </c>
      <c r="J502" s="3">
        <f>G502/I502</f>
        <v/>
      </c>
      <c r="K502">
        <f>IF(J502&gt;=5100,"ставка","мин.ставка")</f>
        <v/>
      </c>
      <c r="L502" s="3">
        <f>ROUND(IF(K502="мин.ставка",I502*100,G502/102*2),2)</f>
        <v/>
      </c>
      <c r="M502" s="5" t="n">
        <v>46266.5</v>
      </c>
      <c r="N502" t="inlineStr">
        <is>
          <t>TravelLine BR2</t>
        </is>
      </c>
      <c r="O502" s="2" t="inlineStr">
        <is>
          <t>СТАНДАРТНЫЙ ДВУХМЕСТНЫЙ НОМЕР</t>
        </is>
      </c>
      <c r="P502" s="6" t="n"/>
      <c r="R502" t="inlineStr"/>
      <c r="S502" t="inlineStr">
        <is>
          <t>Тариф с завтраком</t>
        </is>
      </c>
      <c r="T502" t="n">
        <v>1260</v>
      </c>
      <c r="U502" t="n">
        <v>17100</v>
      </c>
    </row>
    <row r="503">
      <c r="A503" t="inlineStr">
        <is>
          <t>20260903-8186-461173385</t>
        </is>
      </c>
      <c r="B503" t="n">
        <v>1</v>
      </c>
      <c r="C503" s="2" t="inlineStr">
        <is>
          <t>Игорь Карташев</t>
        </is>
      </c>
      <c r="D503" s="3" t="n">
        <v>15284.5</v>
      </c>
      <c r="E503" s="4" t="n">
        <v>4</v>
      </c>
      <c r="F503" t="inlineStr">
        <is>
          <t>TravelLine Booking Engine [Чайковский]</t>
        </is>
      </c>
      <c r="G503" s="3">
        <f>ROUND(D503/(100-E503)*100,2)</f>
        <v/>
      </c>
      <c r="H503" s="5" t="n">
        <v>46268.58333333334</v>
      </c>
      <c r="I503" t="n">
        <v>2</v>
      </c>
      <c r="J503" s="3">
        <f>G503/I503</f>
        <v/>
      </c>
      <c r="K503">
        <f>IF(J503&gt;=5100,"ставка","мин.ставка")</f>
        <v/>
      </c>
      <c r="L503" s="3">
        <f>ROUND(IF(K503="мин.ставка",I503*100,G503/102*2),2)</f>
        <v/>
      </c>
      <c r="M503" s="5" t="n">
        <v>46270.5</v>
      </c>
      <c r="N503" t="inlineStr">
        <is>
          <t>TravelLine сайт</t>
        </is>
      </c>
      <c r="O503" s="2" t="inlineStr">
        <is>
          <t>СТАНДАРТНЫЙ ОДНОМЕСТНЫЙ НОМЕР</t>
        </is>
      </c>
      <c r="P503" s="6" t="n"/>
      <c r="R503" t="inlineStr"/>
      <c r="S503" t="inlineStr">
        <is>
          <t>Тариф с завтраком</t>
        </is>
      </c>
      <c r="T503" t="n">
        <v>0</v>
      </c>
      <c r="U503" t="n">
        <v>15284.5</v>
      </c>
    </row>
    <row r="504">
      <c r="A504" t="inlineStr">
        <is>
          <t>20260807-8186-456394511</t>
        </is>
      </c>
      <c r="B504" t="n">
        <v>1</v>
      </c>
      <c r="C504" s="2" t="inlineStr">
        <is>
          <t>Игорь Козлов</t>
        </is>
      </c>
      <c r="D504" s="3" t="n">
        <v>16020</v>
      </c>
      <c r="E504" s="4" t="n">
        <v>0</v>
      </c>
      <c r="F504" t="inlineStr">
        <is>
          <t>Прямые бронирования (стойка) [Чайковский]</t>
        </is>
      </c>
      <c r="G504" s="3">
        <f>ROUND(D504/(100-E504)*100,2)</f>
        <v/>
      </c>
      <c r="H504" s="5" t="n">
        <v>46241.58333333334</v>
      </c>
      <c r="I504" t="n">
        <v>1</v>
      </c>
      <c r="J504" s="3">
        <f>G504/I504</f>
        <v/>
      </c>
      <c r="K504">
        <f>IF(J504&gt;=5100,"ставка","мин.ставка")</f>
        <v/>
      </c>
      <c r="L504" s="3">
        <f>ROUND(IF(K504="мин.ставка",I504*100,G504/102*2),2)</f>
        <v/>
      </c>
      <c r="M504" s="5" t="n">
        <v>46242.5</v>
      </c>
      <c r="N504" t="inlineStr">
        <is>
          <t>TravelLine ресепшн</t>
        </is>
      </c>
      <c r="O504" s="2" t="inlineStr">
        <is>
          <t>ЛЮКС ВТОРОЙ КОРПУС</t>
        </is>
      </c>
      <c r="P504" s="6" t="n"/>
      <c r="R504" t="inlineStr"/>
      <c r="S504" t="inlineStr">
        <is>
          <t>Тариф с завтраком</t>
        </is>
      </c>
      <c r="T504" t="n">
        <v>0</v>
      </c>
      <c r="U504" t="n">
        <v>16020</v>
      </c>
    </row>
    <row r="505">
      <c r="A505" t="inlineStr">
        <is>
          <t>20260911-8186-464839871</t>
        </is>
      </c>
      <c r="B505" t="n">
        <v>1</v>
      </c>
      <c r="C505" s="2" t="inlineStr">
        <is>
          <t>Игорь Козлов</t>
        </is>
      </c>
      <c r="D505" s="3" t="n">
        <v>13350</v>
      </c>
      <c r="E505" s="4" t="n">
        <v>0</v>
      </c>
      <c r="F505" t="inlineStr">
        <is>
          <t>Прямые бронирования (стойка) [Чайковский]</t>
        </is>
      </c>
      <c r="G505" s="3">
        <f>ROUND(D505/(100-E505)*100,2)</f>
        <v/>
      </c>
      <c r="H505" s="5" t="n">
        <v>46276.58333333334</v>
      </c>
      <c r="I505" t="n">
        <v>1</v>
      </c>
      <c r="J505" s="3">
        <f>G505/I505</f>
        <v/>
      </c>
      <c r="K505">
        <f>IF(J505&gt;=5100,"ставка","мин.ставка")</f>
        <v/>
      </c>
      <c r="L505" s="3">
        <f>ROUND(IF(K505="мин.ставка",I505*100,G505/102*2),2)</f>
        <v/>
      </c>
      <c r="M505" s="5" t="n">
        <v>46277.5</v>
      </c>
      <c r="N505" t="inlineStr">
        <is>
          <t>TravelLine ресепшн</t>
        </is>
      </c>
      <c r="O505" s="2" t="inlineStr">
        <is>
          <t>СТАНДАРТНЫЙ ДВУХМЕСТНЫЙ НОМЕР</t>
        </is>
      </c>
      <c r="P505" s="6" t="n"/>
      <c r="R505" t="inlineStr"/>
      <c r="S505" t="inlineStr">
        <is>
          <t>Тариф с завтраком</t>
        </is>
      </c>
      <c r="T505" t="n">
        <v>0</v>
      </c>
      <c r="U505" t="n">
        <v>13350</v>
      </c>
    </row>
    <row r="506">
      <c r="A506" t="inlineStr">
        <is>
          <t>20260727-8186-451197084</t>
        </is>
      </c>
      <c r="B506" t="n">
        <v>1</v>
      </c>
      <c r="C506" s="2" t="inlineStr">
        <is>
          <t>Игорь Краснов</t>
        </is>
      </c>
      <c r="D506" s="3" t="n">
        <v>6320</v>
      </c>
      <c r="E506" s="4" t="n">
        <v>18</v>
      </c>
      <c r="F506" t="inlineStr">
        <is>
          <t>Яндекс.Путешествия [Чайковский]</t>
        </is>
      </c>
      <c r="G506" s="3">
        <f>ROUND(D506/(100-E506)*100,2)</f>
        <v/>
      </c>
      <c r="H506" s="5" t="n">
        <v>46230.58333333334</v>
      </c>
      <c r="I506" t="n">
        <v>1</v>
      </c>
      <c r="J506" s="3">
        <f>G506/I506</f>
        <v/>
      </c>
      <c r="K506">
        <f>IF(J506&gt;=5100,"ставка","мин.ставка")</f>
        <v/>
      </c>
      <c r="L506" s="3">
        <f>ROUND(IF(K506="мин.ставка",I506*100,G506/102*2),2)</f>
        <v/>
      </c>
      <c r="M506" s="5" t="n">
        <v>46231.5</v>
      </c>
      <c r="N506" t="inlineStr">
        <is>
          <t>TravelLine YAX</t>
        </is>
      </c>
      <c r="O506" s="2" t="inlineStr">
        <is>
          <t>СТАНДАРТНЫЙ ДВУХМЕСТНЫЙ НОМЕР (МАНСАРДА)</t>
        </is>
      </c>
      <c r="P506" s="6" t="n"/>
      <c r="R506" t="inlineStr"/>
      <c r="S506" t="inlineStr">
        <is>
          <t>Тариф с завтраком</t>
        </is>
      </c>
      <c r="T506" t="n">
        <v>0</v>
      </c>
      <c r="U506" t="n">
        <v>6320</v>
      </c>
    </row>
    <row r="507">
      <c r="A507" t="inlineStr">
        <is>
          <t>20260824-8186-459510208</t>
        </is>
      </c>
      <c r="B507" t="n">
        <v>1</v>
      </c>
      <c r="C507" s="2" t="inlineStr">
        <is>
          <t>Игорь Кудрявцев</t>
        </is>
      </c>
      <c r="D507" s="3" t="n">
        <v>20160</v>
      </c>
      <c r="E507" s="4" t="n">
        <v>17</v>
      </c>
      <c r="F507" t="inlineStr">
        <is>
          <t>ООО «Интернет Трэвел» (OZON) [Чайковский]</t>
        </is>
      </c>
      <c r="G507" s="3">
        <f>ROUND(D507/(100-E507)*100,2)</f>
        <v/>
      </c>
      <c r="H507" s="5" t="n">
        <v>46258.58333333334</v>
      </c>
      <c r="I507" t="n">
        <v>2</v>
      </c>
      <c r="J507" s="3">
        <f>G507/I507</f>
        <v/>
      </c>
      <c r="K507">
        <f>IF(J507&gt;=5100,"ставка","мин.ставка")</f>
        <v/>
      </c>
      <c r="L507" s="3">
        <f>ROUND(IF(K507="мин.ставка",I507*100,G507/102*2),2)</f>
        <v/>
      </c>
      <c r="M507" s="5" t="n">
        <v>46260.5</v>
      </c>
      <c r="N507" t="inlineStr">
        <is>
          <t>TravelLine OZ2</t>
        </is>
      </c>
      <c r="O507" s="2" t="inlineStr">
        <is>
          <t>СТАНДАРТНЫЙ ДВУХМЕСТНЫЙ НОМЕР</t>
        </is>
      </c>
      <c r="P507" s="6" t="n"/>
      <c r="R507" t="inlineStr"/>
      <c r="S507" t="inlineStr">
        <is>
          <t>Тариф с завтраком</t>
        </is>
      </c>
      <c r="T507" t="n">
        <v>0</v>
      </c>
      <c r="U507" t="n">
        <v>20160</v>
      </c>
    </row>
    <row r="508">
      <c r="A508" t="inlineStr">
        <is>
          <t>20260910-8186-455920278</t>
        </is>
      </c>
      <c r="B508" t="n">
        <v>1</v>
      </c>
      <c r="C508" s="2" t="inlineStr">
        <is>
          <t>ИГОРЬ МИРОШНИЧЕНКО, Татьяна Мирошниченко</t>
        </is>
      </c>
      <c r="D508" s="3" t="n">
        <v>11600</v>
      </c>
      <c r="E508" s="4" t="n">
        <v>20</v>
      </c>
      <c r="F508" t="inlineStr">
        <is>
          <t>ООО «Дубль Гис» (OTELLO) [Чайковский]</t>
        </is>
      </c>
      <c r="G508" s="3">
        <f>ROUND(D508/(100-E508)*100,2)</f>
        <v/>
      </c>
      <c r="H508" s="5" t="n">
        <v>46275.58333333334</v>
      </c>
      <c r="I508" t="n">
        <v>1</v>
      </c>
      <c r="J508" s="3">
        <f>G508/I508</f>
        <v/>
      </c>
      <c r="K508">
        <f>IF(J508&gt;=5100,"ставка","мин.ставка")</f>
        <v/>
      </c>
      <c r="L508" s="3">
        <f>ROUND(IF(K508="мин.ставка",I508*100,G508/102*2),2)</f>
        <v/>
      </c>
      <c r="M508" s="5" t="n">
        <v>46276.5</v>
      </c>
      <c r="N508" t="inlineStr">
        <is>
          <t>TravelLine OL2</t>
        </is>
      </c>
      <c r="O508" s="2" t="inlineStr">
        <is>
          <t>ЛЮКС ВТОРОЙ КОРПУС</t>
        </is>
      </c>
      <c r="P508" s="6" t="n"/>
      <c r="R508" t="inlineStr"/>
      <c r="S508" t="inlineStr">
        <is>
          <t>Основной тариф без завтрака</t>
        </is>
      </c>
      <c r="T508" t="n">
        <v>0</v>
      </c>
      <c r="U508" t="n">
        <v>11600</v>
      </c>
    </row>
    <row r="509">
      <c r="A509" t="inlineStr">
        <is>
          <t>20260828-8186-442571726</t>
        </is>
      </c>
      <c r="B509" t="n">
        <v>1</v>
      </c>
      <c r="C509" s="2" t="inlineStr">
        <is>
          <t>Игорь Мокан, Оксана Макеенко</t>
        </is>
      </c>
      <c r="D509" s="3" t="n">
        <v>15988.5</v>
      </c>
      <c r="E509" s="4" t="n">
        <v>4</v>
      </c>
      <c r="F509" t="inlineStr">
        <is>
          <t>TravelLine Booking Engine [Чайковский]</t>
        </is>
      </c>
      <c r="G509" s="3">
        <f>ROUND(D509/(100-E509)*100,2)</f>
        <v/>
      </c>
      <c r="H509" s="5" t="n">
        <v>46262.58333333334</v>
      </c>
      <c r="I509" t="n">
        <v>1</v>
      </c>
      <c r="J509" s="3">
        <f>G509/I509</f>
        <v/>
      </c>
      <c r="K509">
        <f>IF(J509&gt;=5100,"ставка","мин.ставка")</f>
        <v/>
      </c>
      <c r="L509" s="3">
        <f>ROUND(IF(K509="мин.ставка",I509*100,G509/102*2),2)</f>
        <v/>
      </c>
      <c r="M509" s="5" t="n">
        <v>46263.5</v>
      </c>
      <c r="N509" t="inlineStr">
        <is>
          <t>TravelLine сайт</t>
        </is>
      </c>
      <c r="O509" s="2" t="inlineStr">
        <is>
          <t>ПОЛУЛЮКС</t>
        </is>
      </c>
      <c r="P509" s="6" t="n"/>
      <c r="R509" t="inlineStr"/>
      <c r="S509" t="inlineStr">
        <is>
          <t>Тариф с завтраком</t>
        </is>
      </c>
      <c r="T509" t="n">
        <v>0</v>
      </c>
      <c r="U509" t="n">
        <v>15988.5</v>
      </c>
    </row>
    <row r="510">
      <c r="A510" t="inlineStr">
        <is>
          <t>20260914-8186-465529596</t>
        </is>
      </c>
      <c r="B510" t="n">
        <v>1</v>
      </c>
      <c r="C510" s="2" t="inlineStr">
        <is>
          <t>Игорь Новиков</t>
        </is>
      </c>
      <c r="D510" s="3" t="n">
        <v>26010</v>
      </c>
      <c r="E510" s="4" t="n">
        <v>0</v>
      </c>
      <c r="F510" t="inlineStr">
        <is>
          <t>Прямые бронирования (стойка) [Чайковский]</t>
        </is>
      </c>
      <c r="G510" s="3">
        <f>ROUND(D510/(100-E510)*100,2)</f>
        <v/>
      </c>
      <c r="H510" s="5" t="n">
        <v>46279.58333333334</v>
      </c>
      <c r="I510" t="n">
        <v>2</v>
      </c>
      <c r="J510" s="3">
        <f>G510/I510</f>
        <v/>
      </c>
      <c r="K510">
        <f>IF(J510&gt;=5100,"ставка","мин.ставка")</f>
        <v/>
      </c>
      <c r="L510" s="3">
        <f>ROUND(IF(K510="мин.ставка",I510*100,G510/102*2),2)</f>
        <v/>
      </c>
      <c r="M510" s="5" t="n">
        <v>46281.5</v>
      </c>
      <c r="N510" t="inlineStr">
        <is>
          <t>TravelLine ресепшн</t>
        </is>
      </c>
      <c r="O510" s="2" t="inlineStr">
        <is>
          <t>СЕМЕЙНЫЙ НОМЕР КАТЕГОРИИ "СТАНДАРТ" ВТОРОЙ КОРПУС</t>
        </is>
      </c>
      <c r="P510" s="6" t="n"/>
      <c r="R510" t="inlineStr"/>
      <c r="S510" t="inlineStr">
        <is>
          <t>Тариф с завтраком</t>
        </is>
      </c>
      <c r="T510" t="n">
        <v>0</v>
      </c>
      <c r="U510" t="n">
        <v>26010</v>
      </c>
    </row>
    <row r="511">
      <c r="A511" t="inlineStr">
        <is>
          <t>20260815-8186-441303646</t>
        </is>
      </c>
      <c r="B511" t="n">
        <v>1</v>
      </c>
      <c r="C511" s="2" t="inlineStr">
        <is>
          <t>Игорь Паршин, Анна Хрулева</t>
        </is>
      </c>
      <c r="D511" s="3" t="n">
        <v>16500</v>
      </c>
      <c r="E511" s="4" t="n">
        <v>0</v>
      </c>
      <c r="F511" t="inlineStr">
        <is>
          <t>Прямые бронирования (стойка) [Чайковский]</t>
        </is>
      </c>
      <c r="G511" s="3">
        <f>ROUND(D511/(100-E511)*100,2)</f>
        <v/>
      </c>
      <c r="H511" s="5" t="n">
        <v>46249.58333333334</v>
      </c>
      <c r="I511" t="n">
        <v>1</v>
      </c>
      <c r="J511" s="3">
        <f>G511/I511</f>
        <v/>
      </c>
      <c r="K511">
        <f>IF(J511&gt;=5100,"ставка","мин.ставка")</f>
        <v/>
      </c>
      <c r="L511" s="3">
        <f>ROUND(IF(K511="мин.ставка",I511*100,G511/102*2),2)</f>
        <v/>
      </c>
      <c r="M511" s="5" t="n">
        <v>46250.5</v>
      </c>
      <c r="N511" t="inlineStr">
        <is>
          <t>TravelLine ресепшн</t>
        </is>
      </c>
      <c r="O511" s="2" t="inlineStr">
        <is>
          <t>ПОЛУЛЮКС</t>
        </is>
      </c>
      <c r="P511" s="6" t="n"/>
      <c r="R511" t="inlineStr"/>
      <c r="S511" t="inlineStr">
        <is>
          <t>Тариф с завтраком</t>
        </is>
      </c>
      <c r="T511" t="n">
        <v>0</v>
      </c>
      <c r="U511" t="n">
        <v>16500</v>
      </c>
    </row>
    <row r="512">
      <c r="A512" t="inlineStr">
        <is>
          <t>20260906-8186-459333840</t>
        </is>
      </c>
      <c r="B512" t="n">
        <v>1</v>
      </c>
      <c r="C512" s="2" t="inlineStr">
        <is>
          <t>Игорь Погодин</t>
        </is>
      </c>
      <c r="D512" s="3" t="n">
        <v>6320</v>
      </c>
      <c r="E512" s="4" t="n">
        <v>20</v>
      </c>
      <c r="F512" t="inlineStr">
        <is>
          <t>ООО "КОМПАНИЯ БРОНЕВИК" [Чайковский]</t>
        </is>
      </c>
      <c r="G512" s="3">
        <f>ROUND(D512/(100-E512)*100,2)</f>
        <v/>
      </c>
      <c r="H512" s="5" t="n">
        <v>46271.375</v>
      </c>
      <c r="I512" t="n">
        <v>1</v>
      </c>
      <c r="J512" s="3">
        <f>G512/I512</f>
        <v/>
      </c>
      <c r="K512">
        <f>IF(J512&gt;=5100,"ставка","мин.ставка")</f>
        <v/>
      </c>
      <c r="L512" s="3">
        <f>ROUND(IF(K512="мин.ставка",I512*100,G512/102*2),2)</f>
        <v/>
      </c>
      <c r="M512" s="5" t="n">
        <v>46272.5</v>
      </c>
      <c r="N512" t="inlineStr">
        <is>
          <t>TravelLine BR2</t>
        </is>
      </c>
      <c r="O512" s="2" t="inlineStr">
        <is>
          <t>СТАНДАРТНЫЙ ДВУХМЕСТНЫЙ НОМЕР (МАНСАРДА)</t>
        </is>
      </c>
      <c r="P512" s="6" t="n"/>
      <c r="R512" t="inlineStr"/>
      <c r="S512" t="inlineStr">
        <is>
          <t>Тариф с завтраком</t>
        </is>
      </c>
      <c r="T512" t="n">
        <v>6320</v>
      </c>
      <c r="U512" t="n">
        <v>12640</v>
      </c>
    </row>
    <row r="513">
      <c r="A513" t="inlineStr">
        <is>
          <t>20260923-8186-467719195</t>
        </is>
      </c>
      <c r="B513" t="n">
        <v>1</v>
      </c>
      <c r="C513" s="2" t="inlineStr">
        <is>
          <t>Игорь Самохвалов</t>
        </is>
      </c>
      <c r="D513" s="3" t="n">
        <v>10458</v>
      </c>
      <c r="E513" s="4" t="n">
        <v>16</v>
      </c>
      <c r="F513" t="inlineStr">
        <is>
          <t>ООО "БРОНИРОВАНИЕ ГОСТИНИЦ" (OSTROVOK) [Чайковский]</t>
        </is>
      </c>
      <c r="G513" s="3">
        <f>ROUND(D513/(100-E513)*100,2)</f>
        <v/>
      </c>
      <c r="H513" s="5" t="n">
        <v>46288.58333333334</v>
      </c>
      <c r="I513" t="n">
        <v>1</v>
      </c>
      <c r="J513" s="3">
        <f>G513/I513</f>
        <v/>
      </c>
      <c r="K513">
        <f>IF(J513&gt;=5100,"ставка","мин.ставка")</f>
        <v/>
      </c>
      <c r="L513" s="3">
        <f>ROUND(IF(K513="мин.ставка",I513*100,G513/102*2),2)</f>
        <v/>
      </c>
      <c r="M513" s="5" t="n">
        <v>46289.5</v>
      </c>
      <c r="N513" t="inlineStr">
        <is>
          <t>TravelLine OTK</t>
        </is>
      </c>
      <c r="O513" s="2" t="inlineStr">
        <is>
          <t>СЕМЕЙНЫЙ НОМЕР КАТЕГОРИИ "СТАНДАРТ" ВТОРОЙ КОРПУС</t>
        </is>
      </c>
      <c r="P513" s="6" t="n"/>
      <c r="R513" t="inlineStr"/>
      <c r="S513" t="inlineStr">
        <is>
          <t>Тариф с завтраком</t>
        </is>
      </c>
      <c r="T513" t="n">
        <v>0</v>
      </c>
      <c r="U513" t="n">
        <v>10458</v>
      </c>
    </row>
    <row r="514">
      <c r="A514" t="inlineStr">
        <is>
          <t>20260929-8186-460774925</t>
        </is>
      </c>
      <c r="B514" t="n">
        <v>1</v>
      </c>
      <c r="C514" s="2" t="inlineStr">
        <is>
          <t>Игорь Сапожников, Екатерина Франц</t>
        </is>
      </c>
      <c r="D514" s="3" t="n">
        <v>9900</v>
      </c>
      <c r="E514" s="4" t="n">
        <v>15</v>
      </c>
      <c r="F514" t="inlineStr">
        <is>
          <t>ООО «12Т» (ранее ONE TWO TRIP) [Чайковский]</t>
        </is>
      </c>
      <c r="G514" s="3">
        <f>ROUND(D514/(100-E514)*100,2)</f>
        <v/>
      </c>
      <c r="H514" s="5" t="n">
        <v>46294.58333333334</v>
      </c>
      <c r="I514" t="n">
        <v>1</v>
      </c>
      <c r="J514" s="3">
        <f>G514/I514</f>
        <v/>
      </c>
      <c r="K514">
        <f>IF(J514&gt;=5100,"ставка","мин.ставка")</f>
        <v/>
      </c>
      <c r="L514" s="3">
        <f>ROUND(IF(K514="мин.ставка",I514*100,G514/102*2),2)</f>
        <v/>
      </c>
      <c r="M514" s="5" t="n">
        <v>46295.5</v>
      </c>
      <c r="N514" t="inlineStr">
        <is>
          <t>TravelLine OTT</t>
        </is>
      </c>
      <c r="O514" s="2" t="inlineStr">
        <is>
          <t>СТАНДАРТНЫЙ ДВУХМЕСТНЫЙ НОМЕР (МАНСАРДА)</t>
        </is>
      </c>
      <c r="P514" s="6" t="n"/>
      <c r="R514" t="inlineStr"/>
      <c r="S514" t="inlineStr">
        <is>
          <t>Тариф с завтраком</t>
        </is>
      </c>
      <c r="T514" t="n">
        <v>0</v>
      </c>
      <c r="U514" t="n">
        <v>9900</v>
      </c>
    </row>
    <row r="515">
      <c r="A515" t="inlineStr">
        <is>
          <t>20260707-8186-447992636</t>
        </is>
      </c>
      <c r="B515" t="n">
        <v>1</v>
      </c>
      <c r="C515" s="2" t="inlineStr">
        <is>
          <t>Игорь Сафиуллин</t>
        </is>
      </c>
      <c r="D515" s="3" t="n">
        <v>18160</v>
      </c>
      <c r="E515" s="4" t="n">
        <v>20</v>
      </c>
      <c r="F515" t="inlineStr">
        <is>
          <t>ООО "ХБ-ПРО" [Чайковский]</t>
        </is>
      </c>
      <c r="G515" s="3">
        <f>ROUND(D515/(100-E515)*100,2)</f>
        <v/>
      </c>
      <c r="H515" s="5" t="n">
        <v>46210.58333333334</v>
      </c>
      <c r="I515" t="n">
        <v>2</v>
      </c>
      <c r="J515" s="3">
        <f>G515/I515</f>
        <v/>
      </c>
      <c r="K515">
        <f>IF(J515&gt;=5100,"ставка","мин.ставка")</f>
        <v/>
      </c>
      <c r="L515" s="3">
        <f>ROUND(IF(K515="мин.ставка",I515*100,G515/102*2),2)</f>
        <v/>
      </c>
      <c r="M515" s="5" t="n">
        <v>46212.5</v>
      </c>
      <c r="N515" t="inlineStr">
        <is>
          <t>TravelLine UTS</t>
        </is>
      </c>
      <c r="O515" s="2" t="inlineStr">
        <is>
          <t>СТАНДАРТНЫЙ ДВУХМЕСТНЫЙ НОМЕР</t>
        </is>
      </c>
      <c r="P515" s="6" t="n"/>
      <c r="R515" t="inlineStr"/>
      <c r="S515" t="inlineStr">
        <is>
          <t>Тариф с завтраком</t>
        </is>
      </c>
      <c r="T515" t="n">
        <v>0</v>
      </c>
      <c r="U515" t="n">
        <v>18160</v>
      </c>
    </row>
    <row r="516">
      <c r="A516" t="inlineStr">
        <is>
          <t>20260713-8186-449857736</t>
        </is>
      </c>
      <c r="B516" t="n">
        <v>1</v>
      </c>
      <c r="C516" s="2" t="inlineStr">
        <is>
          <t>Игорь Смирнов</t>
        </is>
      </c>
      <c r="D516" s="3" t="n">
        <v>14775</v>
      </c>
      <c r="E516" s="4" t="n">
        <v>4</v>
      </c>
      <c r="F516" t="inlineStr">
        <is>
          <t>TravelLine Booking Engine [Чайковский]</t>
        </is>
      </c>
      <c r="G516" s="3">
        <f>ROUND(D516/(100-E516)*100,2)</f>
        <v/>
      </c>
      <c r="H516" s="5" t="n">
        <v>46216.58333333334</v>
      </c>
      <c r="I516" t="n">
        <v>1</v>
      </c>
      <c r="J516" s="3">
        <f>G516/I516</f>
        <v/>
      </c>
      <c r="K516">
        <f>IF(J516&gt;=5100,"ставка","мин.ставка")</f>
        <v/>
      </c>
      <c r="L516" s="3">
        <f>ROUND(IF(K516="мин.ставка",I516*100,G516/102*2),2)</f>
        <v/>
      </c>
      <c r="M516" s="5" t="n">
        <v>46217.5</v>
      </c>
      <c r="N516" t="inlineStr">
        <is>
          <t>TravelLine сайт</t>
        </is>
      </c>
      <c r="O516" s="2" t="inlineStr">
        <is>
          <t>ПОЛУЛЮКС</t>
        </is>
      </c>
      <c r="P516" s="6" t="n"/>
      <c r="R516" t="inlineStr"/>
      <c r="S516" t="inlineStr">
        <is>
          <t>Основной тариф без завтрака</t>
        </is>
      </c>
      <c r="T516" t="n">
        <v>0</v>
      </c>
      <c r="U516" t="n">
        <v>14775</v>
      </c>
    </row>
    <row r="517">
      <c r="A517" t="inlineStr">
        <is>
          <t>20260709-8186-448314556</t>
        </is>
      </c>
      <c r="B517" t="n">
        <v>1</v>
      </c>
      <c r="C517" s="2" t="inlineStr">
        <is>
          <t>ИГОРЬ ХОМУТОВСКИЙ, София Новосад</t>
        </is>
      </c>
      <c r="D517" s="3" t="n">
        <v>22991</v>
      </c>
      <c r="E517" s="4" t="n">
        <v>17</v>
      </c>
      <c r="F517" t="inlineStr">
        <is>
          <t>ООО «Дубль Гис» (OTELLO) [Чайковский]</t>
        </is>
      </c>
      <c r="G517" s="3">
        <f>ROUND(D517/(100-E517)*100,2)</f>
        <v/>
      </c>
      <c r="H517" s="5" t="n">
        <v>46212.58333333334</v>
      </c>
      <c r="I517" t="n">
        <v>2</v>
      </c>
      <c r="J517" s="3">
        <f>G517/I517</f>
        <v/>
      </c>
      <c r="K517">
        <f>IF(J517&gt;=5100,"ставка","мин.ставка")</f>
        <v/>
      </c>
      <c r="L517" s="3">
        <f>ROUND(IF(K517="мин.ставка",I517*100,G517/102*2),2)</f>
        <v/>
      </c>
      <c r="M517" s="5" t="n">
        <v>46214.5</v>
      </c>
      <c r="N517" t="inlineStr">
        <is>
          <t>TravelLine OL2</t>
        </is>
      </c>
      <c r="O517" s="2" t="inlineStr">
        <is>
          <t>ПОЛУЛЮКС</t>
        </is>
      </c>
      <c r="P517" s="6" t="n"/>
      <c r="R517" t="inlineStr"/>
      <c r="S517" t="inlineStr">
        <is>
          <t>Тариф с завтраком</t>
        </is>
      </c>
      <c r="T517" t="n">
        <v>0</v>
      </c>
      <c r="U517" t="n">
        <v>22991</v>
      </c>
    </row>
    <row r="518">
      <c r="A518" t="inlineStr">
        <is>
          <t>20260822-8186-425651545</t>
        </is>
      </c>
      <c r="B518" t="n">
        <v>1</v>
      </c>
      <c r="C518" s="2" t="inlineStr">
        <is>
          <t>Игорь Шведов, Виктория Максимова</t>
        </is>
      </c>
      <c r="D518" s="3" t="n">
        <v>60876</v>
      </c>
      <c r="E518" s="4" t="n">
        <v>18</v>
      </c>
      <c r="F518" t="inlineStr">
        <is>
          <t>Яндекс.Путешествия [Чайковский]</t>
        </is>
      </c>
      <c r="G518" s="3">
        <f>ROUND(D518/(100-E518)*100,2)</f>
        <v/>
      </c>
      <c r="H518" s="5" t="n">
        <v>46256.58333333334</v>
      </c>
      <c r="I518" t="n">
        <v>6</v>
      </c>
      <c r="J518" s="3">
        <f>G518/I518</f>
        <v/>
      </c>
      <c r="K518">
        <f>IF(J518&gt;=5100,"ставка","мин.ставка")</f>
        <v/>
      </c>
      <c r="L518" s="3">
        <f>ROUND(IF(K518="мин.ставка",I518*100,G518/102*2),2)</f>
        <v/>
      </c>
      <c r="M518" s="5" t="n">
        <v>46262.5</v>
      </c>
      <c r="N518" t="inlineStr">
        <is>
          <t>TravelLine YAX</t>
        </is>
      </c>
      <c r="O518" s="2" t="inlineStr">
        <is>
          <t>СТАНДАРТНЫЙ ДВУХМЕСТНЫЙ НОМЕР</t>
        </is>
      </c>
      <c r="P518" s="6" t="n"/>
      <c r="R518" t="inlineStr"/>
      <c r="S518" t="inlineStr">
        <is>
          <t>Тариф с завтраком</t>
        </is>
      </c>
      <c r="T518" t="n">
        <v>0</v>
      </c>
      <c r="U518" t="n">
        <v>182928</v>
      </c>
    </row>
    <row r="519">
      <c r="A519" t="inlineStr">
        <is>
          <t>20260924-8186-468104031</t>
        </is>
      </c>
      <c r="B519" t="n">
        <v>1</v>
      </c>
      <c r="C519" s="2" t="inlineStr">
        <is>
          <t>Игорь Широков, Дарья Гигина</t>
        </is>
      </c>
      <c r="D519" s="3" t="n">
        <v>16252.5</v>
      </c>
      <c r="E519" s="4" t="n">
        <v>4</v>
      </c>
      <c r="F519" t="inlineStr">
        <is>
          <t>TravelLine Booking Engine [Чайковский]</t>
        </is>
      </c>
      <c r="G519" s="3">
        <f>ROUND(D519/(100-E519)*100,2)</f>
        <v/>
      </c>
      <c r="H519" s="5" t="n">
        <v>46289.58333333334</v>
      </c>
      <c r="I519" t="n">
        <v>1</v>
      </c>
      <c r="J519" s="3">
        <f>G519/I519</f>
        <v/>
      </c>
      <c r="K519">
        <f>IF(J519&gt;=5100,"ставка","мин.ставка")</f>
        <v/>
      </c>
      <c r="L519" s="3">
        <f>ROUND(IF(K519="мин.ставка",I519*100,G519/102*2),2)</f>
        <v/>
      </c>
      <c r="M519" s="5" t="n">
        <v>46290.625</v>
      </c>
      <c r="N519" t="inlineStr">
        <is>
          <t>TravelLine сайт</t>
        </is>
      </c>
      <c r="O519" s="2" t="inlineStr">
        <is>
          <t>ПОЛУЛЮКС</t>
        </is>
      </c>
      <c r="P519" s="6" t="n"/>
      <c r="R519" t="inlineStr"/>
      <c r="S519" t="inlineStr">
        <is>
          <t>Тариф с завтраком</t>
        </is>
      </c>
      <c r="T519" t="n">
        <v>2064</v>
      </c>
      <c r="U519" t="n">
        <v>18316.5</v>
      </c>
    </row>
    <row r="520">
      <c r="A520" t="inlineStr">
        <is>
          <t>20260910-8186-452434191</t>
        </is>
      </c>
      <c r="B520" t="n">
        <v>1</v>
      </c>
      <c r="C520" s="2" t="inlineStr">
        <is>
          <t>Илона Замышляева</t>
        </is>
      </c>
      <c r="D520" s="3" t="n">
        <v>18960</v>
      </c>
      <c r="E520" s="4" t="n">
        <v>20</v>
      </c>
      <c r="F520" t="inlineStr">
        <is>
          <t>ООО "КОМПАНИЯ БРОНЕВИК" [Чайковский]</t>
        </is>
      </c>
      <c r="G520" s="3">
        <f>ROUND(D520/(100-E520)*100,2)</f>
        <v/>
      </c>
      <c r="H520" s="5" t="n">
        <v>46275.58333333334</v>
      </c>
      <c r="I520" t="n">
        <v>3</v>
      </c>
      <c r="J520" s="3">
        <f>G520/I520</f>
        <v/>
      </c>
      <c r="K520">
        <f>IF(J520&gt;=5100,"ставка","мин.ставка")</f>
        <v/>
      </c>
      <c r="L520" s="3">
        <f>ROUND(IF(K520="мин.ставка",I520*100,G520/102*2),2)</f>
        <v/>
      </c>
      <c r="M520" s="5" t="n">
        <v>46278.5</v>
      </c>
      <c r="N520" t="inlineStr">
        <is>
          <t>TravelLine BR2</t>
        </is>
      </c>
      <c r="O520" s="2" t="inlineStr">
        <is>
          <t>СТАНДАРТНЫЙ ДВУХМЕСТНЫЙ НОМЕР (МАНСАРДА)</t>
        </is>
      </c>
      <c r="P520" s="6" t="n"/>
      <c r="R520" t="inlineStr"/>
      <c r="S520" t="inlineStr">
        <is>
          <t>Тариф с завтраком</t>
        </is>
      </c>
      <c r="T520" t="n">
        <v>0</v>
      </c>
      <c r="U520" t="n">
        <v>18960</v>
      </c>
    </row>
    <row r="521">
      <c r="A521" t="inlineStr">
        <is>
          <t>20260729-8186-446839045</t>
        </is>
      </c>
      <c r="B521" t="n">
        <v>1</v>
      </c>
      <c r="C521" s="2" t="inlineStr">
        <is>
          <t>ИЛЬНУР ВАЛИУЛЛИН, АЛИНА ФЕСЮН</t>
        </is>
      </c>
      <c r="D521" s="3" t="n">
        <v>79432.5</v>
      </c>
      <c r="E521" s="4" t="n">
        <v>0</v>
      </c>
      <c r="F521" t="inlineStr">
        <is>
          <t>ООО «ХОМЛИН ЛЭНД» (ПЕГАС) [Чайковский]</t>
        </is>
      </c>
      <c r="G521" s="3">
        <f>ROUND(D521/(100-E521)*100,2)</f>
        <v/>
      </c>
      <c r="H521" s="5" t="n">
        <v>46232.58333333334</v>
      </c>
      <c r="I521" t="n">
        <v>7</v>
      </c>
      <c r="J521" s="3">
        <f>G521/I521</f>
        <v/>
      </c>
      <c r="K521">
        <f>IF(J521&gt;=5100,"ставка","мин.ставка")</f>
        <v/>
      </c>
      <c r="L521" s="3">
        <f>ROUND(IF(K521="мин.ставка",I521*100,G521/102*2),2)</f>
        <v/>
      </c>
      <c r="M521" s="5" t="n">
        <v>46239.5</v>
      </c>
      <c r="N521" t="inlineStr">
        <is>
          <t>TravelLine PGS</t>
        </is>
      </c>
      <c r="O521" s="2" t="inlineStr">
        <is>
          <t>СТАНДАРТНЫЙ ДВУХМЕСТНЫЙ НОМЕР</t>
        </is>
      </c>
      <c r="P521" s="6" t="n"/>
      <c r="R521" t="inlineStr"/>
      <c r="S521" t="inlineStr">
        <is>
          <t>Тариф с завтраком</t>
        </is>
      </c>
      <c r="T521" t="n">
        <v>0</v>
      </c>
      <c r="U521" t="n">
        <v>79432.5</v>
      </c>
    </row>
    <row r="522">
      <c r="A522" t="inlineStr">
        <is>
          <t>20260930-8186-468476975</t>
        </is>
      </c>
      <c r="B522" t="n">
        <v>1</v>
      </c>
      <c r="C522" s="2" t="inlineStr">
        <is>
          <t>Илья Бобовников</t>
        </is>
      </c>
      <c r="D522" s="3" t="n">
        <v>16601.25</v>
      </c>
      <c r="E522" s="4" t="n">
        <v>18</v>
      </c>
      <c r="F522" t="inlineStr">
        <is>
          <t>Яндекс.Путешествия [Чайковский]</t>
        </is>
      </c>
      <c r="G522" s="3">
        <f>ROUND(D522/(100-E522)*100,2)</f>
        <v/>
      </c>
      <c r="H522" s="5" t="n">
        <v>46295.58333333334</v>
      </c>
      <c r="I522" t="n">
        <v>3</v>
      </c>
      <c r="J522" s="3">
        <f>G522/I522</f>
        <v/>
      </c>
      <c r="K522">
        <f>IF(J522&gt;=5100,"ставка","мин.ставка")</f>
        <v/>
      </c>
      <c r="L522" s="3">
        <f>ROUND(IF(K522="мин.ставка",I522*100,G522/102*2),2)</f>
        <v/>
      </c>
      <c r="M522" s="5" t="n">
        <v>46298.5</v>
      </c>
      <c r="N522" t="inlineStr">
        <is>
          <t>TravelLine YAX</t>
        </is>
      </c>
      <c r="O522" s="2" t="inlineStr">
        <is>
          <t>СТАНДАРТНЫЙ ДВУХМЕСТНЫЙ НОМЕР (МАНСАРДА)</t>
        </is>
      </c>
      <c r="P522" s="6" t="n"/>
      <c r="R522" t="inlineStr"/>
      <c r="S522" t="inlineStr">
        <is>
          <t>Тариф с завтраком</t>
        </is>
      </c>
      <c r="T522" t="n">
        <v>0</v>
      </c>
      <c r="U522" t="n">
        <v>16601.25</v>
      </c>
    </row>
    <row r="523">
      <c r="A523" t="inlineStr">
        <is>
          <t>20260816-8186-459082892</t>
        </is>
      </c>
      <c r="B523" t="n">
        <v>1</v>
      </c>
      <c r="C523" s="2" t="inlineStr">
        <is>
          <t>Илья Веселов, Наталья Панюшкина</t>
        </is>
      </c>
      <c r="D523" s="3" t="n">
        <v>12936</v>
      </c>
      <c r="E523" s="4" t="n">
        <v>16</v>
      </c>
      <c r="F523" t="inlineStr">
        <is>
          <t>ООО "БРОНИРОВАНИЕ ГОСТИНИЦ" (OSTROVOK) [Чайковский]</t>
        </is>
      </c>
      <c r="G523" s="3">
        <f>ROUND(D523/(100-E523)*100,2)</f>
        <v/>
      </c>
      <c r="H523" s="5" t="n">
        <v>46250.58333333334</v>
      </c>
      <c r="I523" t="n">
        <v>1</v>
      </c>
      <c r="J523" s="3">
        <f>G523/I523</f>
        <v/>
      </c>
      <c r="K523">
        <f>IF(J523&gt;=5100,"ставка","мин.ставка")</f>
        <v/>
      </c>
      <c r="L523" s="3">
        <f>ROUND(IF(K523="мин.ставка",I523*100,G523/102*2),2)</f>
        <v/>
      </c>
      <c r="M523" s="5" t="n">
        <v>46251.5</v>
      </c>
      <c r="N523" t="inlineStr">
        <is>
          <t>TravelLine OTK</t>
        </is>
      </c>
      <c r="O523" s="2" t="inlineStr">
        <is>
          <t>УЛУЧШЕННЫЙ ДВУХМЕСТНЫЙ НОМЕР</t>
        </is>
      </c>
      <c r="P523" s="6" t="n"/>
      <c r="R523" t="inlineStr"/>
      <c r="S523" t="inlineStr">
        <is>
          <t>Тариф с завтраком</t>
        </is>
      </c>
      <c r="T523" t="n">
        <v>0</v>
      </c>
      <c r="U523" t="n">
        <v>12936</v>
      </c>
    </row>
    <row r="524">
      <c r="A524" t="inlineStr">
        <is>
          <t>20260903-8186-463301767</t>
        </is>
      </c>
      <c r="B524" t="n">
        <v>1</v>
      </c>
      <c r="C524" s="2" t="inlineStr">
        <is>
          <t>Илья Виленский</t>
        </is>
      </c>
      <c r="D524" s="3" t="n">
        <v>8512.5</v>
      </c>
      <c r="E524" s="4" t="n">
        <v>18</v>
      </c>
      <c r="F524" t="inlineStr">
        <is>
          <t>Яндекс.Путешествия [Чайковский]</t>
        </is>
      </c>
      <c r="G524" s="3">
        <f>ROUND(D524/(100-E524)*100,2)</f>
        <v/>
      </c>
      <c r="H524" s="5" t="n">
        <v>46268.58333333334</v>
      </c>
      <c r="I524" t="n">
        <v>1</v>
      </c>
      <c r="J524" s="3">
        <f>G524/I524</f>
        <v/>
      </c>
      <c r="K524">
        <f>IF(J524&gt;=5100,"ставка","мин.ставка")</f>
        <v/>
      </c>
      <c r="L524" s="3">
        <f>ROUND(IF(K524="мин.ставка",I524*100,G524/102*2),2)</f>
        <v/>
      </c>
      <c r="M524" s="5" t="n">
        <v>46269.5</v>
      </c>
      <c r="N524" t="inlineStr">
        <is>
          <t>TravelLine YAX</t>
        </is>
      </c>
      <c r="O524" s="2" t="inlineStr">
        <is>
          <t>СТАНДАРТНЫЙ ДВУХМЕСТНЫЙ НОМЕР</t>
        </is>
      </c>
      <c r="P524" s="6" t="n"/>
      <c r="R524" t="inlineStr"/>
      <c r="S524" t="inlineStr">
        <is>
          <t>Тариф с завтраком</t>
        </is>
      </c>
      <c r="T524" t="n">
        <v>0</v>
      </c>
      <c r="U524" t="n">
        <v>8512.5</v>
      </c>
    </row>
    <row r="525">
      <c r="A525" t="inlineStr">
        <is>
          <t>20260907-8186-459655458</t>
        </is>
      </c>
      <c r="B525" t="n">
        <v>1</v>
      </c>
      <c r="C525" s="2" t="inlineStr">
        <is>
          <t>Илья Воронич</t>
        </is>
      </c>
      <c r="D525" s="3" t="n">
        <v>30627</v>
      </c>
      <c r="E525" s="4" t="n">
        <v>18</v>
      </c>
      <c r="F525" t="inlineStr">
        <is>
          <t>ООО "Эй энд Эй" [Чайковский]</t>
        </is>
      </c>
      <c r="G525" s="3">
        <f>ROUND(D525/(100-E525)*100,2)</f>
        <v/>
      </c>
      <c r="H525" s="5" t="n">
        <v>46272.58333333334</v>
      </c>
      <c r="I525" t="n">
        <v>3</v>
      </c>
      <c r="J525" s="3">
        <f>G525/I525</f>
        <v/>
      </c>
      <c r="K525">
        <f>IF(J525&gt;=5100,"ставка","мин.ставка")</f>
        <v/>
      </c>
      <c r="L525" s="3">
        <f>ROUND(IF(K525="мин.ставка",I525*100,G525/102*2),2)</f>
        <v/>
      </c>
      <c r="M525" s="5" t="n">
        <v>46275.5</v>
      </c>
      <c r="N525" t="inlineStr">
        <is>
          <t>TravelLine ANA</t>
        </is>
      </c>
      <c r="O525" s="2" t="inlineStr">
        <is>
          <t>СЕМЕЙНЫЙ НОМЕР КАТЕГОРИИ "СТАНДАРТ" ВТОРОЙ КОРПУС</t>
        </is>
      </c>
      <c r="P525" s="6" t="n"/>
      <c r="R525" t="inlineStr"/>
      <c r="S525" t="inlineStr">
        <is>
          <t>Тариф с завтраком</t>
        </is>
      </c>
      <c r="T525" t="n">
        <v>0</v>
      </c>
      <c r="U525" t="n">
        <v>30627</v>
      </c>
    </row>
    <row r="526">
      <c r="A526" t="inlineStr">
        <is>
          <t>20260804-8186-454591056</t>
        </is>
      </c>
      <c r="B526" t="n">
        <v>1</v>
      </c>
      <c r="C526" s="2" t="inlineStr">
        <is>
          <t>Илья Мартьянов, Екатерина Жукова</t>
        </is>
      </c>
      <c r="D526" s="3" t="n">
        <v>32488.5</v>
      </c>
      <c r="E526" s="4" t="n">
        <v>4</v>
      </c>
      <c r="F526" t="inlineStr">
        <is>
          <t>TravelLine Booking Engine [Чайковский]</t>
        </is>
      </c>
      <c r="G526" s="3">
        <f>ROUND(D526/(100-E526)*100,2)</f>
        <v/>
      </c>
      <c r="H526" s="5" t="n">
        <v>46238.58333333334</v>
      </c>
      <c r="I526" t="n">
        <v>2</v>
      </c>
      <c r="J526" s="3">
        <f>G526/I526</f>
        <v/>
      </c>
      <c r="K526">
        <f>IF(J526&gt;=5100,"ставка","мин.ставка")</f>
        <v/>
      </c>
      <c r="L526" s="3">
        <f>ROUND(IF(K526="мин.ставка",I526*100,G526/102*2),2)</f>
        <v/>
      </c>
      <c r="M526" s="5" t="n">
        <v>46240.5</v>
      </c>
      <c r="N526" t="inlineStr">
        <is>
          <t>TravelLine сайт</t>
        </is>
      </c>
      <c r="O526" s="2" t="inlineStr">
        <is>
          <t>ПОЛУЛЮКС</t>
        </is>
      </c>
      <c r="P526" s="6" t="n"/>
      <c r="R526" t="inlineStr"/>
      <c r="S526" t="inlineStr">
        <is>
          <t>Тариф с завтраком</t>
        </is>
      </c>
      <c r="T526" t="n">
        <v>0</v>
      </c>
      <c r="U526" t="n">
        <v>32488.5</v>
      </c>
    </row>
    <row r="527">
      <c r="A527" t="inlineStr">
        <is>
          <t>20260917-8186-463151267</t>
        </is>
      </c>
      <c r="B527" t="n">
        <v>1</v>
      </c>
      <c r="C527" s="2" t="inlineStr">
        <is>
          <t>Илья Тихонович, Анастасия Юдикс</t>
        </is>
      </c>
      <c r="D527" s="3" t="n">
        <v>15840</v>
      </c>
      <c r="E527" s="4" t="n">
        <v>20</v>
      </c>
      <c r="F527" t="inlineStr">
        <is>
          <t>ООО "ХБ-ПРО" [Чайковский]</t>
        </is>
      </c>
      <c r="G527" s="3">
        <f>ROUND(D527/(100-E527)*100,2)</f>
        <v/>
      </c>
      <c r="H527" s="5" t="n">
        <v>46282.58333333334</v>
      </c>
      <c r="I527" t="n">
        <v>2</v>
      </c>
      <c r="J527" s="3">
        <f>G527/I527</f>
        <v/>
      </c>
      <c r="K527">
        <f>IF(J527&gt;=5100,"ставка","мин.ставка")</f>
        <v/>
      </c>
      <c r="L527" s="3">
        <f>ROUND(IF(K527="мин.ставка",I527*100,G527/102*2),2)</f>
        <v/>
      </c>
      <c r="M527" s="5" t="n">
        <v>46284.5</v>
      </c>
      <c r="N527" t="inlineStr">
        <is>
          <t>TravelLine UTS</t>
        </is>
      </c>
      <c r="O527" s="2" t="inlineStr">
        <is>
          <t>СТАНДАРТНЫЙ ДВУХМЕСТНЫЙ НОМЕР (МАНСАРДА)</t>
        </is>
      </c>
      <c r="P527" s="6" t="n"/>
      <c r="R527" t="inlineStr"/>
      <c r="S527" t="inlineStr">
        <is>
          <t>Тариф с завтраком</t>
        </is>
      </c>
      <c r="T527" t="n">
        <v>0</v>
      </c>
      <c r="U527" t="n">
        <v>15840</v>
      </c>
    </row>
    <row r="528">
      <c r="A528" t="inlineStr">
        <is>
          <t>20260926-8186-468708384</t>
        </is>
      </c>
      <c r="B528" t="n">
        <v>1</v>
      </c>
      <c r="C528" s="2" t="inlineStr">
        <is>
          <t>Инга Авалиани, Цотне Шалвашвили</t>
        </is>
      </c>
      <c r="D528" s="3" t="n">
        <v>14535</v>
      </c>
      <c r="E528" s="4" t="n">
        <v>4</v>
      </c>
      <c r="F528" t="inlineStr">
        <is>
          <t>TravelLine Booking Engine [Чайковский]</t>
        </is>
      </c>
      <c r="G528" s="3">
        <f>ROUND(D528/(100-E528)*100,2)</f>
        <v/>
      </c>
      <c r="H528" s="5" t="n">
        <v>46291.58333333334</v>
      </c>
      <c r="I528" t="n">
        <v>1</v>
      </c>
      <c r="J528" s="3">
        <f>G528/I528</f>
        <v/>
      </c>
      <c r="K528">
        <f>IF(J528&gt;=5100,"ставка","мин.ставка")</f>
        <v/>
      </c>
      <c r="L528" s="3">
        <f>ROUND(IF(K528="мин.ставка",I528*100,G528/102*2),2)</f>
        <v/>
      </c>
      <c r="M528" s="5" t="n">
        <v>46292.5</v>
      </c>
      <c r="N528" t="inlineStr">
        <is>
          <t>TravelLine сайт</t>
        </is>
      </c>
      <c r="O528" s="2" t="inlineStr">
        <is>
          <t>ПОЛУЛЮКС</t>
        </is>
      </c>
      <c r="P528" s="6" t="n"/>
      <c r="R528" t="inlineStr"/>
      <c r="S528" t="inlineStr">
        <is>
          <t>Основной тариф без завтрака</t>
        </is>
      </c>
      <c r="T528" t="n">
        <v>0</v>
      </c>
      <c r="U528" t="n">
        <v>14535</v>
      </c>
    </row>
    <row r="529">
      <c r="A529" t="inlineStr">
        <is>
          <t>20260702-8186-439080625</t>
        </is>
      </c>
      <c r="B529" t="n">
        <v>1</v>
      </c>
      <c r="C529" s="2" t="inlineStr">
        <is>
          <t>Инга Гогленкова, Алексей Гогленков</t>
        </is>
      </c>
      <c r="D529" s="3" t="n">
        <v>26499.75</v>
      </c>
      <c r="E529" s="4" t="n">
        <v>4</v>
      </c>
      <c r="F529" t="inlineStr">
        <is>
          <t>TravelLine Booking Engine [Чайковский]</t>
        </is>
      </c>
      <c r="G529" s="3">
        <f>ROUND(D529/(100-E529)*100,2)</f>
        <v/>
      </c>
      <c r="H529" s="5" t="n">
        <v>46205.58333333334</v>
      </c>
      <c r="I529" t="n">
        <v>2</v>
      </c>
      <c r="J529" s="3">
        <f>G529/I529</f>
        <v/>
      </c>
      <c r="K529">
        <f>IF(J529&gt;=5100,"ставка","мин.ставка")</f>
        <v/>
      </c>
      <c r="L529" s="3">
        <f>ROUND(IF(K529="мин.ставка",I529*100,G529/102*2),2)</f>
        <v/>
      </c>
      <c r="M529" s="5" t="n">
        <v>46207.5</v>
      </c>
      <c r="N529" t="inlineStr">
        <is>
          <t>TravelLine сайт</t>
        </is>
      </c>
      <c r="O529" s="2" t="inlineStr">
        <is>
          <t>СТАНДАРТНЫЙ ДВУХМЕСТНЫЙ НОМЕР</t>
        </is>
      </c>
      <c r="P529" s="6" t="n"/>
      <c r="R529" t="inlineStr"/>
      <c r="S529" t="inlineStr">
        <is>
          <t>Тариф с завтраком</t>
        </is>
      </c>
      <c r="T529" t="n">
        <v>0</v>
      </c>
      <c r="U529" t="n">
        <v>26499.75</v>
      </c>
    </row>
    <row r="530">
      <c r="A530" t="inlineStr">
        <is>
          <t>20260819-8186-455524980</t>
        </is>
      </c>
      <c r="B530" t="n">
        <v>1</v>
      </c>
      <c r="C530" s="2" t="inlineStr">
        <is>
          <t>ИННА АСТАШЕВА</t>
        </is>
      </c>
      <c r="D530" s="3" t="n">
        <v>19920</v>
      </c>
      <c r="E530" s="4" t="n">
        <v>20</v>
      </c>
      <c r="F530" t="inlineStr">
        <is>
          <t>ООО "ХБ-ПРО" [Чайковский]</t>
        </is>
      </c>
      <c r="G530" s="3">
        <f>ROUND(D530/(100-E530)*100,2)</f>
        <v/>
      </c>
      <c r="H530" s="5" t="n">
        <v>46253.58333333334</v>
      </c>
      <c r="I530" t="n">
        <v>2</v>
      </c>
      <c r="J530" s="3">
        <f>G530/I530</f>
        <v/>
      </c>
      <c r="K530">
        <f>IF(J530&gt;=5100,"ставка","мин.ставка")</f>
        <v/>
      </c>
      <c r="L530" s="3">
        <f>ROUND(IF(K530="мин.ставка",I530*100,G530/102*2),2)</f>
        <v/>
      </c>
      <c r="M530" s="5" t="n">
        <v>46255.5</v>
      </c>
      <c r="N530" t="inlineStr">
        <is>
          <t>TravelLine UTS</t>
        </is>
      </c>
      <c r="O530" s="2" t="inlineStr">
        <is>
          <t>СЕМЕЙНЫЙ НОМЕР КАТЕГОРИИ "СТАНДАРТ" ВТОРОЙ КОРПУС</t>
        </is>
      </c>
      <c r="P530" s="6" t="n"/>
      <c r="R530" t="inlineStr"/>
      <c r="S530" t="inlineStr">
        <is>
          <t>Тариф с завтраком</t>
        </is>
      </c>
      <c r="T530" t="n">
        <v>0</v>
      </c>
      <c r="U530" t="n">
        <v>19920</v>
      </c>
    </row>
    <row r="531">
      <c r="A531" t="inlineStr">
        <is>
          <t>20260807-8186-454198481</t>
        </is>
      </c>
      <c r="B531" t="n">
        <v>1</v>
      </c>
      <c r="C531" s="2" t="inlineStr">
        <is>
          <t>Инна Еремина, Матвей Еремин</t>
        </is>
      </c>
      <c r="D531" s="3" t="n">
        <v>26180</v>
      </c>
      <c r="E531" s="4" t="n">
        <v>0</v>
      </c>
      <c r="F531" t="inlineStr">
        <is>
          <t>ООО "АЛЕАН ОТДЫХ" [Чайковский]</t>
        </is>
      </c>
      <c r="G531" s="3">
        <f>ROUND(D531/(100-E531)*100,2)</f>
        <v/>
      </c>
      <c r="H531" s="5" t="n">
        <v>46241.58333333334</v>
      </c>
      <c r="I531" t="n">
        <v>2</v>
      </c>
      <c r="J531" s="3">
        <f>G531/I531</f>
        <v/>
      </c>
      <c r="K531">
        <f>IF(J531&gt;=5100,"ставка","мин.ставка")</f>
        <v/>
      </c>
      <c r="L531" s="3">
        <f>ROUND(IF(K531="мин.ставка",I531*100,G531/102*2),2)</f>
        <v/>
      </c>
      <c r="M531" s="5" t="n">
        <v>46243.5</v>
      </c>
      <c r="N531" t="inlineStr">
        <is>
          <t>TravelLine ALN</t>
        </is>
      </c>
      <c r="O531" s="2" t="inlineStr">
        <is>
          <t>УЛУЧШЕННЫЙ ДВУХМЕСТНЫЙ НОМЕР</t>
        </is>
      </c>
      <c r="P531" s="6" t="n"/>
      <c r="R531" t="inlineStr"/>
      <c r="S531" t="inlineStr">
        <is>
          <t>Тариф с завтраком</t>
        </is>
      </c>
      <c r="T531" t="n">
        <v>0</v>
      </c>
      <c r="U531" t="n">
        <v>26180</v>
      </c>
    </row>
    <row r="532">
      <c r="A532" t="inlineStr">
        <is>
          <t>20260710-8186-442927054</t>
        </is>
      </c>
      <c r="B532" t="n">
        <v>1</v>
      </c>
      <c r="C532" s="2" t="inlineStr">
        <is>
          <t>Инна Кондрахина</t>
        </is>
      </c>
      <c r="D532" s="3" t="n">
        <v>9647.5</v>
      </c>
      <c r="E532" s="4" t="n">
        <v>15</v>
      </c>
      <c r="F532" t="inlineStr">
        <is>
          <t>ООО "БРОНИРОВАНИЕ ГОСТИНИЦ" (OSTROVOK) [Чайковский]</t>
        </is>
      </c>
      <c r="G532" s="3">
        <f>ROUND(D532/(100-E532)*100,2)</f>
        <v/>
      </c>
      <c r="H532" s="5" t="n">
        <v>46213.58333333334</v>
      </c>
      <c r="I532" t="n">
        <v>1</v>
      </c>
      <c r="J532" s="3">
        <f>G532/I532</f>
        <v/>
      </c>
      <c r="K532">
        <f>IF(J532&gt;=5100,"ставка","мин.ставка")</f>
        <v/>
      </c>
      <c r="L532" s="3">
        <f>ROUND(IF(K532="мин.ставка",I532*100,G532/102*2),2)</f>
        <v/>
      </c>
      <c r="M532" s="5" t="n">
        <v>46214.5</v>
      </c>
      <c r="N532" t="inlineStr">
        <is>
          <t>TravelLine OTK</t>
        </is>
      </c>
      <c r="O532" s="2" t="inlineStr">
        <is>
          <t>СТАНДАРТНЫЙ ДВУХМЕСТНЫЙ НОМЕР</t>
        </is>
      </c>
      <c r="P532" s="6" t="n"/>
      <c r="R532" t="inlineStr"/>
      <c r="S532" t="inlineStr">
        <is>
          <t>Тариф с завтраком</t>
        </is>
      </c>
      <c r="T532" t="n">
        <v>0</v>
      </c>
      <c r="U532" t="n">
        <v>9647.5</v>
      </c>
    </row>
    <row r="533">
      <c r="A533" t="inlineStr">
        <is>
          <t>20260821-8186-460553289</t>
        </is>
      </c>
      <c r="B533" t="n">
        <v>1</v>
      </c>
      <c r="C533" s="2" t="inlineStr">
        <is>
          <t>ИННА КУЗНЕЦОВА</t>
        </is>
      </c>
      <c r="D533" s="3" t="n">
        <v>15800</v>
      </c>
      <c r="E533" s="4" t="n">
        <v>0</v>
      </c>
      <c r="F533" t="inlineStr">
        <is>
          <t>Прямые бронирования (стойка) [Чайковский]</t>
        </is>
      </c>
      <c r="G533" s="3">
        <f>ROUND(D533/(100-E533)*100,2)</f>
        <v/>
      </c>
      <c r="H533" s="5" t="n">
        <v>46255.58333333334</v>
      </c>
      <c r="I533" t="n">
        <v>1</v>
      </c>
      <c r="J533" s="3">
        <f>G533/I533</f>
        <v/>
      </c>
      <c r="K533">
        <f>IF(J533&gt;=5100,"ставка","мин.ставка")</f>
        <v/>
      </c>
      <c r="L533" s="3">
        <f>ROUND(IF(K533="мин.ставка",I533*100,G533/102*2),2)</f>
        <v/>
      </c>
      <c r="M533" s="5" t="n">
        <v>46256.5</v>
      </c>
      <c r="N533" t="inlineStr">
        <is>
          <t>TravelLine ресепшн</t>
        </is>
      </c>
      <c r="O533" s="2" t="inlineStr">
        <is>
          <t>ЛЮКС ВТОРОЙ КОРПУС</t>
        </is>
      </c>
      <c r="P533" s="6" t="n"/>
      <c r="R533" t="inlineStr"/>
      <c r="S533" t="inlineStr">
        <is>
          <t>Тариф с завтраком</t>
        </is>
      </c>
      <c r="T533" t="n">
        <v>0</v>
      </c>
      <c r="U533" t="n">
        <v>15800</v>
      </c>
    </row>
    <row r="534">
      <c r="A534" t="inlineStr">
        <is>
          <t>20260716-8186-450105684</t>
        </is>
      </c>
      <c r="B534" t="n">
        <v>1</v>
      </c>
      <c r="C534" s="2" t="inlineStr">
        <is>
          <t>ИННА ФИРСОВА</t>
        </is>
      </c>
      <c r="D534" s="3" t="n">
        <v>21976</v>
      </c>
      <c r="E534" s="4" t="n">
        <v>18</v>
      </c>
      <c r="F534" t="inlineStr">
        <is>
          <t>ООО "ТРИВИО СЕРВИС" [Чайковский]</t>
        </is>
      </c>
      <c r="G534" s="3">
        <f>ROUND(D534/(100-E534)*100,2)</f>
        <v/>
      </c>
      <c r="H534" s="5" t="n">
        <v>46219.58333333334</v>
      </c>
      <c r="I534" t="n">
        <v>2</v>
      </c>
      <c r="J534" s="3">
        <f>G534/I534</f>
        <v/>
      </c>
      <c r="K534">
        <f>IF(J534&gt;=5100,"ставка","мин.ставка")</f>
        <v/>
      </c>
      <c r="L534" s="3">
        <f>ROUND(IF(K534="мин.ставка",I534*100,G534/102*2),2)</f>
        <v/>
      </c>
      <c r="M534" s="5" t="n">
        <v>46221.5</v>
      </c>
      <c r="N534" t="inlineStr">
        <is>
          <t>TravelLine TIO</t>
        </is>
      </c>
      <c r="O534" s="2" t="inlineStr">
        <is>
          <t>УЛУЧШЕННЫЙ ДВУХМЕСТНЫЙ НОМЕР</t>
        </is>
      </c>
      <c r="P534" s="6" t="n"/>
      <c r="R534" t="inlineStr"/>
      <c r="S534" t="inlineStr">
        <is>
          <t>Тариф с завтраком</t>
        </is>
      </c>
      <c r="T534" t="n">
        <v>0</v>
      </c>
      <c r="U534" t="n">
        <v>21976</v>
      </c>
    </row>
    <row r="535">
      <c r="A535" t="inlineStr">
        <is>
          <t>20260818-8186-444575341</t>
        </is>
      </c>
      <c r="B535" t="n">
        <v>1</v>
      </c>
      <c r="C535" s="2" t="inlineStr">
        <is>
          <t>Иннокентий Грибанов</t>
        </is>
      </c>
      <c r="D535" s="3" t="n">
        <v>12320</v>
      </c>
      <c r="E535" s="4" t="n">
        <v>20</v>
      </c>
      <c r="F535" t="inlineStr">
        <is>
          <t>ООО "ХБ-ПРО" [Чайковский]</t>
        </is>
      </c>
      <c r="G535" s="3">
        <f>ROUND(D535/(100-E535)*100,2)</f>
        <v/>
      </c>
      <c r="H535" s="5" t="n">
        <v>46252.58333333334</v>
      </c>
      <c r="I535" t="n">
        <v>2</v>
      </c>
      <c r="J535" s="3">
        <f>G535/I535</f>
        <v/>
      </c>
      <c r="K535">
        <f>IF(J535&gt;=5100,"ставка","мин.ставка")</f>
        <v/>
      </c>
      <c r="L535" s="3">
        <f>ROUND(IF(K535="мин.ставка",I535*100,G535/102*2),2)</f>
        <v/>
      </c>
      <c r="M535" s="5" t="n">
        <v>46254.5</v>
      </c>
      <c r="N535" t="inlineStr">
        <is>
          <t>TravelLine UTS</t>
        </is>
      </c>
      <c r="O535" s="2" t="inlineStr">
        <is>
          <t>СТАНДАРТНЫЙ ОДНОМЕСТНЫЙ НОМЕР</t>
        </is>
      </c>
      <c r="P535" s="6" t="n"/>
      <c r="R535" t="inlineStr"/>
      <c r="S535" t="inlineStr">
        <is>
          <t>Тариф с завтраком</t>
        </is>
      </c>
      <c r="T535" t="n">
        <v>0</v>
      </c>
      <c r="U535" t="n">
        <v>12320</v>
      </c>
    </row>
    <row r="536">
      <c r="A536" t="inlineStr">
        <is>
          <t>20260928-8186-467484877</t>
        </is>
      </c>
      <c r="B536" t="n">
        <v>1</v>
      </c>
      <c r="C536" s="2" t="inlineStr">
        <is>
          <t>Ирина Балашова</t>
        </is>
      </c>
      <c r="D536" s="3" t="n">
        <v>6314</v>
      </c>
      <c r="E536" s="4" t="n">
        <v>18</v>
      </c>
      <c r="F536" t="inlineStr">
        <is>
          <t>ООО "Эй энд Эй" [Чайковский]</t>
        </is>
      </c>
      <c r="G536" s="3">
        <f>ROUND(D536/(100-E536)*100,2)</f>
        <v/>
      </c>
      <c r="H536" s="5" t="n">
        <v>46293.58333333334</v>
      </c>
      <c r="I536" t="n">
        <v>1</v>
      </c>
      <c r="J536" s="3">
        <f>G536/I536</f>
        <v/>
      </c>
      <c r="K536">
        <f>IF(J536&gt;=5100,"ставка","мин.ставка")</f>
        <v/>
      </c>
      <c r="L536" s="3">
        <f>ROUND(IF(K536="мин.ставка",I536*100,G536/102*2),2)</f>
        <v/>
      </c>
      <c r="M536" s="5" t="n">
        <v>46294.5</v>
      </c>
      <c r="N536" t="inlineStr">
        <is>
          <t>TravelLine ANA</t>
        </is>
      </c>
      <c r="O536" s="2" t="inlineStr">
        <is>
          <t>СТАНДАРТНЫЙ ОДНОМЕСТНЫЙ НОМЕР</t>
        </is>
      </c>
      <c r="P536" s="6" t="n"/>
      <c r="R536" t="inlineStr"/>
      <c r="S536" t="inlineStr">
        <is>
          <t>Тариф с завтраком</t>
        </is>
      </c>
      <c r="T536" t="n">
        <v>0</v>
      </c>
      <c r="U536" t="n">
        <v>6314</v>
      </c>
    </row>
    <row r="537">
      <c r="A537" t="inlineStr">
        <is>
          <t>20260913-8186-464847619</t>
        </is>
      </c>
      <c r="B537" t="n">
        <v>1</v>
      </c>
      <c r="C537" s="2" t="inlineStr">
        <is>
          <t>Ирина Карпова, Анна Чурилова</t>
        </is>
      </c>
      <c r="D537" s="3" t="n">
        <v>16434</v>
      </c>
      <c r="E537" s="4" t="n">
        <v>17</v>
      </c>
      <c r="F537" t="inlineStr">
        <is>
          <t>ООО «Интернет Трэвел» (OZON) [Чайковский]</t>
        </is>
      </c>
      <c r="G537" s="3">
        <f>ROUND(D537/(100-E537)*100,2)</f>
        <v/>
      </c>
      <c r="H537" s="5" t="n">
        <v>46278.58333333334</v>
      </c>
      <c r="I537" t="n">
        <v>2</v>
      </c>
      <c r="J537" s="3">
        <f>G537/I537</f>
        <v/>
      </c>
      <c r="K537">
        <f>IF(J537&gt;=5100,"ставка","мин.ставка")</f>
        <v/>
      </c>
      <c r="L537" s="3">
        <f>ROUND(IF(K537="мин.ставка",I537*100,G537/102*2),2)</f>
        <v/>
      </c>
      <c r="M537" s="5" t="n">
        <v>46280.5</v>
      </c>
      <c r="N537" t="inlineStr">
        <is>
          <t>TravelLine OZ2</t>
        </is>
      </c>
      <c r="O537" s="2" t="inlineStr">
        <is>
          <t>СТАНДАРТНЫЙ ДВУХМЕСТНЫЙ НОМЕР (МАНСАРДА)</t>
        </is>
      </c>
      <c r="P537" s="6" t="n"/>
      <c r="R537" t="inlineStr"/>
      <c r="S537" t="inlineStr">
        <is>
          <t>Тариф с завтраком</t>
        </is>
      </c>
      <c r="T537" t="n">
        <v>0</v>
      </c>
      <c r="U537" t="n">
        <v>16434</v>
      </c>
    </row>
    <row r="538">
      <c r="A538" t="inlineStr">
        <is>
          <t>20260810-8186-454830610</t>
        </is>
      </c>
      <c r="B538" t="n">
        <v>1</v>
      </c>
      <c r="C538" s="2" t="inlineStr">
        <is>
          <t>Ирина Катаргина, ТИМОФЕЙ КАТАРГИН</t>
        </is>
      </c>
      <c r="D538" s="3" t="n">
        <v>11347.5</v>
      </c>
      <c r="E538" s="4" t="n">
        <v>16</v>
      </c>
      <c r="F538" t="inlineStr">
        <is>
          <t>ООО "БРОНИРОВАНИЕ ГОСТИНИЦ" (OSTROVOK) [Чайковский]</t>
        </is>
      </c>
      <c r="G538" s="3">
        <f>ROUND(D538/(100-E538)*100,2)</f>
        <v/>
      </c>
      <c r="H538" s="5" t="n">
        <v>46244.58333333334</v>
      </c>
      <c r="I538" t="n">
        <v>1</v>
      </c>
      <c r="J538" s="3">
        <f>G538/I538</f>
        <v/>
      </c>
      <c r="K538">
        <f>IF(J538&gt;=5100,"ставка","мин.ставка")</f>
        <v/>
      </c>
      <c r="L538" s="3">
        <f>ROUND(IF(K538="мин.ставка",I538*100,G538/102*2),2)</f>
        <v/>
      </c>
      <c r="M538" s="5" t="n">
        <v>46245.5</v>
      </c>
      <c r="N538" t="inlineStr">
        <is>
          <t>TravelLine OTK</t>
        </is>
      </c>
      <c r="O538" s="2" t="inlineStr">
        <is>
          <t>СТАНДАРТНЫЙ ДВУХМЕСТНЫЙ НОМЕР</t>
        </is>
      </c>
      <c r="P538" s="6" t="n"/>
      <c r="R538" t="inlineStr"/>
      <c r="S538" t="inlineStr">
        <is>
          <t>Тариф с завтраком</t>
        </is>
      </c>
      <c r="T538" t="n">
        <v>0</v>
      </c>
      <c r="U538" t="n">
        <v>11347.5</v>
      </c>
    </row>
    <row r="539">
      <c r="A539" t="inlineStr">
        <is>
          <t>20260928-8186-463600860</t>
        </is>
      </c>
      <c r="B539" t="n">
        <v>1</v>
      </c>
      <c r="C539" s="2" t="inlineStr">
        <is>
          <t>ИРИНА КИМ</t>
        </is>
      </c>
      <c r="D539" s="3" t="n">
        <v>36918</v>
      </c>
      <c r="E539" s="4" t="n">
        <v>16</v>
      </c>
      <c r="F539" t="inlineStr">
        <is>
          <t>ООО "БРОНИРОВАНИЕ ГОСТИНИЦ" (OSTROVOK) [Чайковский]</t>
        </is>
      </c>
      <c r="G539" s="3">
        <f>ROUND(D539/(100-E539)*100,2)</f>
        <v/>
      </c>
      <c r="H539" s="5" t="n">
        <v>46293.58333333334</v>
      </c>
      <c r="I539" t="n">
        <v>4</v>
      </c>
      <c r="J539" s="3">
        <f>G539/I539</f>
        <v/>
      </c>
      <c r="K539">
        <f>IF(J539&gt;=5100,"ставка","мин.ставка")</f>
        <v/>
      </c>
      <c r="L539" s="3">
        <f>ROUND(IF(K539="мин.ставка",I539*100,G539/102*2),2)</f>
        <v/>
      </c>
      <c r="M539" s="5" t="n">
        <v>46297.5</v>
      </c>
      <c r="N539" t="inlineStr">
        <is>
          <t>TravelLine OTK</t>
        </is>
      </c>
      <c r="O539" s="2" t="inlineStr">
        <is>
          <t>СТАНДАРТНЫЙ ДВУХМЕСТНЫЙ НОМЕР</t>
        </is>
      </c>
      <c r="P539" s="6" t="n"/>
      <c r="R539" t="inlineStr"/>
      <c r="S539" t="inlineStr">
        <is>
          <t>Тариф с завтраком</t>
        </is>
      </c>
      <c r="T539" t="n">
        <v>0</v>
      </c>
      <c r="U539" t="n">
        <v>36918</v>
      </c>
    </row>
    <row r="540">
      <c r="A540" t="inlineStr">
        <is>
          <t>20260801-8186-455059774</t>
        </is>
      </c>
      <c r="B540" t="n">
        <v>1</v>
      </c>
      <c r="C540" s="2" t="inlineStr">
        <is>
          <t>ИРИНА КИСЕЛЬ</t>
        </is>
      </c>
      <c r="D540" s="3" t="n">
        <v>9534</v>
      </c>
      <c r="E540" s="4" t="n">
        <v>16</v>
      </c>
      <c r="F540" t="inlineStr">
        <is>
          <t>ООО "БРОНИРОВАНИЕ ГОСТИНИЦ" (OSTROVOK) [Чайковский]</t>
        </is>
      </c>
      <c r="G540" s="3">
        <f>ROUND(D540/(100-E540)*100,2)</f>
        <v/>
      </c>
      <c r="H540" s="5" t="n">
        <v>46235.58333333334</v>
      </c>
      <c r="I540" t="n">
        <v>1</v>
      </c>
      <c r="J540" s="3">
        <f>G540/I540</f>
        <v/>
      </c>
      <c r="K540">
        <f>IF(J540&gt;=5100,"ставка","мин.ставка")</f>
        <v/>
      </c>
      <c r="L540" s="3">
        <f>ROUND(IF(K540="мин.ставка",I540*100,G540/102*2),2)</f>
        <v/>
      </c>
      <c r="M540" s="5" t="n">
        <v>46236.5</v>
      </c>
      <c r="N540" t="inlineStr">
        <is>
          <t>TravelLine OTK</t>
        </is>
      </c>
      <c r="O540" s="2" t="inlineStr">
        <is>
          <t>СТАНДАРТНЫЙ ДВУХМЕСТНЫЙ НОМЕР</t>
        </is>
      </c>
      <c r="P540" s="6" t="n"/>
      <c r="R540" t="inlineStr"/>
      <c r="S540" t="inlineStr">
        <is>
          <t>Тариф с завтраком</t>
        </is>
      </c>
      <c r="T540" t="n">
        <v>0</v>
      </c>
      <c r="U540" t="n">
        <v>9534</v>
      </c>
    </row>
    <row r="541">
      <c r="A541" t="inlineStr">
        <is>
          <t>20260714-8186-449060920</t>
        </is>
      </c>
      <c r="B541" t="n">
        <v>1</v>
      </c>
      <c r="C541" s="2" t="inlineStr">
        <is>
          <t>Ирина Колобродова</t>
        </is>
      </c>
      <c r="D541" s="3" t="n">
        <v>6320</v>
      </c>
      <c r="E541" s="4" t="n">
        <v>20</v>
      </c>
      <c r="F541" t="inlineStr">
        <is>
          <t>ООО "КОМПАНИЯ БРОНЕВИК" [Чайковский]</t>
        </is>
      </c>
      <c r="G541" s="3">
        <f>ROUND(D541/(100-E541)*100,2)</f>
        <v/>
      </c>
      <c r="H541" s="5" t="n">
        <v>46217.58333333334</v>
      </c>
      <c r="I541" t="n">
        <v>1</v>
      </c>
      <c r="J541" s="3">
        <f>G541/I541</f>
        <v/>
      </c>
      <c r="K541">
        <f>IF(J541&gt;=5100,"ставка","мин.ставка")</f>
        <v/>
      </c>
      <c r="L541" s="3">
        <f>ROUND(IF(K541="мин.ставка",I541*100,G541/102*2),2)</f>
        <v/>
      </c>
      <c r="M541" s="5" t="n">
        <v>46218.5</v>
      </c>
      <c r="N541" t="inlineStr">
        <is>
          <t>TravelLine BR2</t>
        </is>
      </c>
      <c r="O541" s="2" t="inlineStr">
        <is>
          <t>СТАНДАРТНЫЙ ДВУХМЕСТНЫЙ НОМЕР (МАНСАРДА)</t>
        </is>
      </c>
      <c r="P541" s="6" t="n"/>
      <c r="R541" t="inlineStr"/>
      <c r="S541" t="inlineStr">
        <is>
          <t>Тариф с завтраком</t>
        </is>
      </c>
      <c r="T541" t="n">
        <v>0</v>
      </c>
      <c r="U541" t="n">
        <v>6320</v>
      </c>
    </row>
    <row r="542">
      <c r="A542" t="inlineStr">
        <is>
          <t>20260919-8186-467095647</t>
        </is>
      </c>
      <c r="B542" t="n">
        <v>1</v>
      </c>
      <c r="C542" s="2" t="inlineStr">
        <is>
          <t>Ирина Курандина, СЕРГЕЙ КУРАНДИН</t>
        </is>
      </c>
      <c r="D542" s="3" t="n">
        <v>13149.75</v>
      </c>
      <c r="E542" s="4" t="n">
        <v>4</v>
      </c>
      <c r="F542" t="inlineStr">
        <is>
          <t>TravelLine Booking Engine [Чайковский]</t>
        </is>
      </c>
      <c r="G542" s="3">
        <f>ROUND(D542/(100-E542)*100,2)</f>
        <v/>
      </c>
      <c r="H542" s="5" t="n">
        <v>46284.58333333334</v>
      </c>
      <c r="I542" t="n">
        <v>1</v>
      </c>
      <c r="J542" s="3">
        <f>G542/I542</f>
        <v/>
      </c>
      <c r="K542">
        <f>IF(J542&gt;=5100,"ставка","мин.ставка")</f>
        <v/>
      </c>
      <c r="L542" s="3">
        <f>ROUND(IF(K542="мин.ставка",I542*100,G542/102*2),2)</f>
        <v/>
      </c>
      <c r="M542" s="5" t="n">
        <v>46285.5</v>
      </c>
      <c r="N542" t="inlineStr">
        <is>
          <t>TravelLine сайт</t>
        </is>
      </c>
      <c r="O542" s="2" t="inlineStr">
        <is>
          <t>СТАНДАРТНЫЙ ДВУХМЕСТНЫЙ НОМЕР</t>
        </is>
      </c>
      <c r="P542" s="6" t="n"/>
      <c r="R542" t="inlineStr"/>
      <c r="S542" t="inlineStr">
        <is>
          <t>Тариф с завтраком</t>
        </is>
      </c>
      <c r="T542" t="n">
        <v>0</v>
      </c>
      <c r="U542" t="n">
        <v>13149.75</v>
      </c>
    </row>
    <row r="543">
      <c r="A543" t="inlineStr">
        <is>
          <t>20260921-8186-448932640</t>
        </is>
      </c>
      <c r="B543" t="n">
        <v>1</v>
      </c>
      <c r="C543" s="2" t="inlineStr">
        <is>
          <t>Ирина Лисицкая, Андрей Лисицкий</t>
        </is>
      </c>
      <c r="D543" s="3" t="n">
        <v>31680</v>
      </c>
      <c r="E543" s="4" t="n">
        <v>20</v>
      </c>
      <c r="F543" t="inlineStr">
        <is>
          <t>ООО "КОМПАНИЯ БРОНЕВИК" [Чайковский]</t>
        </is>
      </c>
      <c r="G543" s="3">
        <f>ROUND(D543/(100-E543)*100,2)</f>
        <v/>
      </c>
      <c r="H543" s="5" t="n">
        <v>46286.58333333334</v>
      </c>
      <c r="I543" t="n">
        <v>4</v>
      </c>
      <c r="J543" s="3">
        <f>G543/I543</f>
        <v/>
      </c>
      <c r="K543">
        <f>IF(J543&gt;=5100,"ставка","мин.ставка")</f>
        <v/>
      </c>
      <c r="L543" s="3">
        <f>ROUND(IF(K543="мин.ставка",I543*100,G543/102*2),2)</f>
        <v/>
      </c>
      <c r="M543" s="5" t="n">
        <v>46290.5</v>
      </c>
      <c r="N543" t="inlineStr">
        <is>
          <t>TravelLine BR2</t>
        </is>
      </c>
      <c r="O543" s="2" t="inlineStr">
        <is>
          <t>СТАНДАРТНЫЙ ДВУХМЕСТНЫЙ НОМЕР (МАНСАРДА)</t>
        </is>
      </c>
      <c r="P543" s="6" t="n"/>
      <c r="R543" t="inlineStr"/>
      <c r="S543" t="inlineStr">
        <is>
          <t>Тариф с завтраком</t>
        </is>
      </c>
      <c r="T543" t="n">
        <v>0</v>
      </c>
      <c r="U543" t="n">
        <v>31680</v>
      </c>
    </row>
    <row r="544">
      <c r="A544" t="inlineStr">
        <is>
          <t>20260905-8186-463074554</t>
        </is>
      </c>
      <c r="B544" t="n">
        <v>1</v>
      </c>
      <c r="C544" s="2" t="inlineStr">
        <is>
          <t>Ирина Мазий, Антон Иванчиков</t>
        </is>
      </c>
      <c r="D544" s="3" t="n">
        <v>53400</v>
      </c>
      <c r="E544" s="4" t="n">
        <v>20</v>
      </c>
      <c r="F544" t="inlineStr">
        <is>
          <t>ООО "КОМПАНИЯ БРОНЕВИК" [Чайковский]</t>
        </is>
      </c>
      <c r="G544" s="3">
        <f>ROUND(D544/(100-E544)*100,2)</f>
        <v/>
      </c>
      <c r="H544" s="5" t="n">
        <v>46270.58333333334</v>
      </c>
      <c r="I544" t="n">
        <v>5</v>
      </c>
      <c r="J544" s="3">
        <f>G544/I544</f>
        <v/>
      </c>
      <c r="K544">
        <f>IF(J544&gt;=5100,"ставка","мин.ставка")</f>
        <v/>
      </c>
      <c r="L544" s="3">
        <f>ROUND(IF(K544="мин.ставка",I544*100,G544/102*2),2)</f>
        <v/>
      </c>
      <c r="M544" s="5" t="n">
        <v>46275.5</v>
      </c>
      <c r="N544" t="inlineStr">
        <is>
          <t>TravelLine BR2</t>
        </is>
      </c>
      <c r="O544" s="2" t="inlineStr">
        <is>
          <t>СТАНДАРТНЫЙ ДВУХМЕСТНЫЙ НОМЕР</t>
        </is>
      </c>
      <c r="P544" s="6" t="n"/>
      <c r="R544" t="inlineStr"/>
      <c r="S544" t="inlineStr">
        <is>
          <t>Тариф с завтраком</t>
        </is>
      </c>
      <c r="T544" t="n">
        <v>0</v>
      </c>
      <c r="U544" t="n">
        <v>53400</v>
      </c>
    </row>
    <row r="545">
      <c r="A545" t="inlineStr">
        <is>
          <t>20260817-8186-447959681</t>
        </is>
      </c>
      <c r="B545" t="n">
        <v>1</v>
      </c>
      <c r="C545" s="2" t="inlineStr">
        <is>
          <t>ИРИНА МИЛОВА</t>
        </is>
      </c>
      <c r="D545" s="3" t="n">
        <v>8626</v>
      </c>
      <c r="E545" s="4" t="n">
        <v>18</v>
      </c>
      <c r="F545" t="inlineStr">
        <is>
          <t>Яндекс.Путешествия [Чайковский]</t>
        </is>
      </c>
      <c r="G545" s="3">
        <f>ROUND(D545/(100-E545)*100,2)</f>
        <v/>
      </c>
      <c r="H545" s="5" t="n">
        <v>46251.58333333334</v>
      </c>
      <c r="I545" t="n">
        <v>1</v>
      </c>
      <c r="J545" s="3">
        <f>G545/I545</f>
        <v/>
      </c>
      <c r="K545">
        <f>IF(J545&gt;=5100,"ставка","мин.ставка")</f>
        <v/>
      </c>
      <c r="L545" s="3">
        <f>ROUND(IF(K545="мин.ставка",I545*100,G545/102*2),2)</f>
        <v/>
      </c>
      <c r="M545" s="5" t="n">
        <v>46252.5</v>
      </c>
      <c r="N545" t="inlineStr">
        <is>
          <t>TravelLine YAX</t>
        </is>
      </c>
      <c r="O545" s="2" t="inlineStr">
        <is>
          <t>СТАНДАРТНЫЙ ДВУХМЕСТНЫЙ НОМЕР</t>
        </is>
      </c>
      <c r="P545" s="6" t="n"/>
      <c r="R545" t="inlineStr"/>
      <c r="S545" t="inlineStr">
        <is>
          <t>Тариф с завтраком</t>
        </is>
      </c>
      <c r="T545" t="n">
        <v>0</v>
      </c>
      <c r="U545" t="n">
        <v>8626</v>
      </c>
    </row>
    <row r="546">
      <c r="A546" t="inlineStr">
        <is>
          <t>20260816-8186-449235439</t>
        </is>
      </c>
      <c r="B546" t="n">
        <v>1</v>
      </c>
      <c r="C546" s="2" t="inlineStr">
        <is>
          <t>Ирина Николаева, Александр Николаев</t>
        </is>
      </c>
      <c r="D546" s="3" t="n">
        <v>8415</v>
      </c>
      <c r="E546" s="4" t="n">
        <v>15</v>
      </c>
      <c r="F546" t="inlineStr">
        <is>
          <t>ООО Тинькофф Путешествия [Чайковский]</t>
        </is>
      </c>
      <c r="G546" s="3">
        <f>ROUND(D546/(100-E546)*100,2)</f>
        <v/>
      </c>
      <c r="H546" s="5" t="n">
        <v>46250.58333333334</v>
      </c>
      <c r="I546" t="n">
        <v>1</v>
      </c>
      <c r="J546" s="3">
        <f>G546/I546</f>
        <v/>
      </c>
      <c r="K546">
        <f>IF(J546&gt;=5100,"ставка","мин.ставка")</f>
        <v/>
      </c>
      <c r="L546" s="3">
        <f>ROUND(IF(K546="мин.ставка",I546*100,G546/102*2),2)</f>
        <v/>
      </c>
      <c r="M546" s="5" t="n">
        <v>46251.5</v>
      </c>
      <c r="N546" t="inlineStr">
        <is>
          <t>TravelLine TNK</t>
        </is>
      </c>
      <c r="O546" s="2" t="inlineStr">
        <is>
          <t>СТАНДАРТНЫЙ ДВУХМЕСТНЫЙ НОМЕР (МАНСАРДА)</t>
        </is>
      </c>
      <c r="P546" s="6" t="n"/>
      <c r="R546" t="inlineStr"/>
      <c r="S546" t="inlineStr">
        <is>
          <t>Тариф с завтраком</t>
        </is>
      </c>
      <c r="T546" t="n">
        <v>0</v>
      </c>
      <c r="U546" t="n">
        <v>8415</v>
      </c>
    </row>
    <row r="547">
      <c r="A547" t="inlineStr">
        <is>
          <t>20260817-8186-455605492</t>
        </is>
      </c>
      <c r="B547" t="n">
        <v>1</v>
      </c>
      <c r="C547" s="2" t="inlineStr">
        <is>
          <t>ИРИНА ПОТАПОВА, ВИКТОРИЯ ПОТАПОВА</t>
        </is>
      </c>
      <c r="D547" s="3" t="n">
        <v>30260</v>
      </c>
      <c r="E547" s="4" t="n">
        <v>15</v>
      </c>
      <c r="F547" t="inlineStr">
        <is>
          <t>ООО "Библио-Глобус Туроператор" [Чайковский]</t>
        </is>
      </c>
      <c r="G547" s="3">
        <f>ROUND(D547/(100-E547)*100,2)</f>
        <v/>
      </c>
      <c r="H547" s="5" t="n">
        <v>46251.58333333334</v>
      </c>
      <c r="I547" t="n">
        <v>2</v>
      </c>
      <c r="J547" s="3">
        <f>G547/I547</f>
        <v/>
      </c>
      <c r="K547">
        <f>IF(J547&gt;=5100,"ставка","мин.ставка")</f>
        <v/>
      </c>
      <c r="L547" s="3">
        <f>ROUND(IF(K547="мин.ставка",I547*100,G547/102*2),2)</f>
        <v/>
      </c>
      <c r="M547" s="5" t="n">
        <v>46253.5</v>
      </c>
      <c r="N547" t="inlineStr">
        <is>
          <t>TravelLine BGL</t>
        </is>
      </c>
      <c r="O547" s="2" t="inlineStr">
        <is>
          <t>ЛЮКС ВТОРОЙ КОРПУС</t>
        </is>
      </c>
      <c r="P547" s="6" t="n"/>
      <c r="R547" t="inlineStr"/>
      <c r="S547" t="inlineStr">
        <is>
          <t>Тариф с завтраком</t>
        </is>
      </c>
      <c r="T547" t="n">
        <v>0</v>
      </c>
      <c r="U547" t="n">
        <v>30260</v>
      </c>
    </row>
    <row r="548">
      <c r="A548" t="inlineStr">
        <is>
          <t>20260804-8186-450062345</t>
        </is>
      </c>
      <c r="B548" t="n">
        <v>1</v>
      </c>
      <c r="C548" s="2" t="inlineStr">
        <is>
          <t>Ирина Скороходова</t>
        </is>
      </c>
      <c r="D548" s="3" t="n">
        <v>27240</v>
      </c>
      <c r="E548" s="4" t="n">
        <v>20</v>
      </c>
      <c r="F548" t="inlineStr">
        <is>
          <t>ООО "КОМПАНИЯ БРОНЕВИК" [Чайковский]</t>
        </is>
      </c>
      <c r="G548" s="3">
        <f>ROUND(D548/(100-E548)*100,2)</f>
        <v/>
      </c>
      <c r="H548" s="5" t="n">
        <v>46238.58333333334</v>
      </c>
      <c r="I548" t="n">
        <v>3</v>
      </c>
      <c r="J548" s="3">
        <f>G548/I548</f>
        <v/>
      </c>
      <c r="K548">
        <f>IF(J548&gt;=5100,"ставка","мин.ставка")</f>
        <v/>
      </c>
      <c r="L548" s="3">
        <f>ROUND(IF(K548="мин.ставка",I548*100,G548/102*2),2)</f>
        <v/>
      </c>
      <c r="M548" s="5" t="n">
        <v>46241.5</v>
      </c>
      <c r="N548" t="inlineStr">
        <is>
          <t>TravelLine BR2</t>
        </is>
      </c>
      <c r="O548" s="2" t="inlineStr">
        <is>
          <t>СЕМЕЙНЫЙ НОМЕР КАТЕГОРИИ "СТАНДАРТ" ВТОРОЙ КОРПУС</t>
        </is>
      </c>
      <c r="P548" s="6" t="n"/>
      <c r="R548" t="inlineStr"/>
      <c r="S548" t="inlineStr">
        <is>
          <t>Тариф с завтраком</t>
        </is>
      </c>
      <c r="T548" t="n">
        <v>860</v>
      </c>
      <c r="U548" t="n">
        <v>28100</v>
      </c>
    </row>
    <row r="549">
      <c r="A549" t="inlineStr">
        <is>
          <t>20260720-8186-410480708</t>
        </is>
      </c>
      <c r="B549" t="n">
        <v>1</v>
      </c>
      <c r="C549" s="2" t="inlineStr">
        <is>
          <t>Ирина Уткина, ВСЕНИЯ УТКИНА</t>
        </is>
      </c>
      <c r="D549" s="3" t="n">
        <v>39451.5</v>
      </c>
      <c r="E549" s="4" t="n">
        <v>4</v>
      </c>
      <c r="F549" t="inlineStr">
        <is>
          <t>TravelLine Booking Engine [Чайковский]</t>
        </is>
      </c>
      <c r="G549" s="3">
        <f>ROUND(D549/(100-E549)*100,2)</f>
        <v/>
      </c>
      <c r="H549" s="5" t="n">
        <v>46223.9375</v>
      </c>
      <c r="I549" t="n">
        <v>4</v>
      </c>
      <c r="J549" s="3">
        <f>G549/I549</f>
        <v/>
      </c>
      <c r="K549">
        <f>IF(J549&gt;=5100,"ставка","мин.ставка")</f>
        <v/>
      </c>
      <c r="L549" s="3">
        <f>ROUND(IF(K549="мин.ставка",I549*100,G549/102*2),2)</f>
        <v/>
      </c>
      <c r="M549" s="5" t="n">
        <v>46227.5</v>
      </c>
      <c r="N549" t="inlineStr">
        <is>
          <t>TravelLine сайт</t>
        </is>
      </c>
      <c r="O549" s="2" t="inlineStr">
        <is>
          <t>СТАНДАРТНЫЙ ДВУХМЕСТНЫЙ НОМЕР (МАНСАРДА)</t>
        </is>
      </c>
      <c r="P549" s="6" t="n"/>
      <c r="R549" t="inlineStr"/>
      <c r="S549" t="inlineStr">
        <is>
          <t>Тариф с завтраком</t>
        </is>
      </c>
      <c r="T549" t="n">
        <v>0</v>
      </c>
      <c r="U549" t="n">
        <v>39451.5</v>
      </c>
    </row>
    <row r="550">
      <c r="A550" t="inlineStr">
        <is>
          <t>20260915-8186-427846724</t>
        </is>
      </c>
      <c r="B550" t="n">
        <v>1</v>
      </c>
      <c r="C550" s="2" t="inlineStr">
        <is>
          <t>ИРИНА ШАФИЕВА</t>
        </is>
      </c>
      <c r="D550" s="3" t="n">
        <v>12640</v>
      </c>
      <c r="E550" s="4" t="n">
        <v>20</v>
      </c>
      <c r="F550" t="inlineStr">
        <is>
          <t>ООО "КОМПАНИЯ БРОНЕВИК" [Чайковский]</t>
        </is>
      </c>
      <c r="G550" s="3">
        <f>ROUND(D550/(100-E550)*100,2)</f>
        <v/>
      </c>
      <c r="H550" s="5" t="n">
        <v>46280.58333333334</v>
      </c>
      <c r="I550" t="n">
        <v>2</v>
      </c>
      <c r="J550" s="3">
        <f>G550/I550</f>
        <v/>
      </c>
      <c r="K550">
        <f>IF(J550&gt;=5100,"ставка","мин.ставка")</f>
        <v/>
      </c>
      <c r="L550" s="3">
        <f>ROUND(IF(K550="мин.ставка",I550*100,G550/102*2),2)</f>
        <v/>
      </c>
      <c r="M550" s="5" t="n">
        <v>46282.5</v>
      </c>
      <c r="N550" t="inlineStr">
        <is>
          <t>TravelLine BR2</t>
        </is>
      </c>
      <c r="O550" s="2" t="inlineStr">
        <is>
          <t>СТАНДАРТНЫЙ ДВУХМЕСТНЫЙ НОМЕР (МАНСАРДА)</t>
        </is>
      </c>
      <c r="P550" s="6" t="n"/>
      <c r="R550" t="inlineStr"/>
      <c r="S550" t="inlineStr">
        <is>
          <t>Тариф с завтраком</t>
        </is>
      </c>
      <c r="T550" t="n">
        <v>0</v>
      </c>
      <c r="U550" t="n">
        <v>12640</v>
      </c>
    </row>
    <row r="551">
      <c r="A551" t="inlineStr">
        <is>
          <t>20260727-8186-412100558</t>
        </is>
      </c>
      <c r="B551" t="n">
        <v>1</v>
      </c>
      <c r="C551" s="2" t="inlineStr">
        <is>
          <t>Ирина Шафиева, Мария Шафиева</t>
        </is>
      </c>
      <c r="D551" s="3" t="n">
        <v>18960</v>
      </c>
      <c r="E551" s="4" t="n">
        <v>20</v>
      </c>
      <c r="F551" t="inlineStr">
        <is>
          <t>ООО "КОМПАНИЯ БРОНЕВИК" [Чайковский]</t>
        </is>
      </c>
      <c r="G551" s="3">
        <f>ROUND(D551/(100-E551)*100,2)</f>
        <v/>
      </c>
      <c r="H551" s="5" t="n">
        <v>46230.58333333334</v>
      </c>
      <c r="I551" t="n">
        <v>3</v>
      </c>
      <c r="J551" s="3">
        <f>G551/I551</f>
        <v/>
      </c>
      <c r="K551">
        <f>IF(J551&gt;=5100,"ставка","мин.ставка")</f>
        <v/>
      </c>
      <c r="L551" s="3">
        <f>ROUND(IF(K551="мин.ставка",I551*100,G551/102*2),2)</f>
        <v/>
      </c>
      <c r="M551" s="5" t="n">
        <v>46233.5</v>
      </c>
      <c r="N551" t="inlineStr">
        <is>
          <t>TravelLine BR2</t>
        </is>
      </c>
      <c r="O551" s="2" t="inlineStr">
        <is>
          <t>СТАНДАРТНЫЙ ДВУХМЕСТНЫЙ НОМЕР (МАНСАРДА)</t>
        </is>
      </c>
      <c r="P551" s="6" t="n"/>
      <c r="R551" t="inlineStr"/>
      <c r="S551" t="inlineStr">
        <is>
          <t>Тариф с завтраком</t>
        </is>
      </c>
      <c r="T551" t="n">
        <v>6000</v>
      </c>
      <c r="U551" t="n">
        <v>24960</v>
      </c>
    </row>
    <row r="552">
      <c r="A552" t="inlineStr">
        <is>
          <t>20260708-8186-445371788</t>
        </is>
      </c>
      <c r="B552" t="n">
        <v>1</v>
      </c>
      <c r="C552" s="2" t="inlineStr">
        <is>
          <t>Искандер Рафиков</t>
        </is>
      </c>
      <c r="D552" s="3" t="n">
        <v>19295</v>
      </c>
      <c r="E552" s="4" t="n">
        <v>15</v>
      </c>
      <c r="F552" t="inlineStr">
        <is>
          <t>ООО «СБО» (Ростелеком) [Чайковский]</t>
        </is>
      </c>
      <c r="G552" s="3">
        <f>ROUND(D552/(100-E552)*100,2)</f>
        <v/>
      </c>
      <c r="H552" s="5" t="n">
        <v>46211.58333333334</v>
      </c>
      <c r="I552" t="n">
        <v>2</v>
      </c>
      <c r="J552" s="3">
        <f>G552/I552</f>
        <v/>
      </c>
      <c r="K552">
        <f>IF(J552&gt;=5100,"ставка","мин.ставка")</f>
        <v/>
      </c>
      <c r="L552" s="3">
        <f>ROUND(IF(K552="мин.ставка",I552*100,G552/102*2),2)</f>
        <v/>
      </c>
      <c r="M552" s="5" t="n">
        <v>46213.5</v>
      </c>
      <c r="N552" t="inlineStr">
        <is>
          <t>TravelLine RTT</t>
        </is>
      </c>
      <c r="O552" s="2" t="inlineStr">
        <is>
          <t>СТАНДАРТНЫЙ ДВУХМЕСТНЫЙ НОМЕР</t>
        </is>
      </c>
      <c r="P552" s="6" t="n"/>
      <c r="R552" t="inlineStr"/>
      <c r="S552" t="inlineStr">
        <is>
          <t>Тариф с завтраком</t>
        </is>
      </c>
      <c r="T552" t="n">
        <v>0</v>
      </c>
      <c r="U552" t="n">
        <v>19295</v>
      </c>
    </row>
    <row r="553">
      <c r="A553" t="inlineStr">
        <is>
          <t>20260719-8186-397290265</t>
        </is>
      </c>
      <c r="B553" t="n">
        <v>1</v>
      </c>
      <c r="C553" s="2" t="inlineStr">
        <is>
          <t>Карина Унанян, Татьяна Васина</t>
        </is>
      </c>
      <c r="D553" s="3" t="n">
        <v>15400</v>
      </c>
      <c r="E553" s="4" t="n">
        <v>0</v>
      </c>
      <c r="F553" t="inlineStr">
        <is>
          <t>Прямые бронирования (стойка) [Чайковский]</t>
        </is>
      </c>
      <c r="G553" s="3">
        <f>ROUND(D553/(100-E553)*100,2)</f>
        <v/>
      </c>
      <c r="H553" s="5" t="n">
        <v>46222.58333333334</v>
      </c>
      <c r="I553" t="n">
        <v>1</v>
      </c>
      <c r="J553" s="3">
        <f>G553/I553</f>
        <v/>
      </c>
      <c r="K553">
        <f>IF(J553&gt;=5100,"ставка","мин.ставка")</f>
        <v/>
      </c>
      <c r="L553" s="3">
        <f>ROUND(IF(K553="мин.ставка",I553*100,G553/102*2),2)</f>
        <v/>
      </c>
      <c r="M553" s="5" t="n">
        <v>46223.5</v>
      </c>
      <c r="N553" t="inlineStr">
        <is>
          <t>TravelLine ресепшн</t>
        </is>
      </c>
      <c r="O553" s="2" t="inlineStr">
        <is>
          <t>УЛУЧШЕННЫЙ ДВУХМЕСТНЫЙ НОМЕР</t>
        </is>
      </c>
      <c r="P553" s="6" t="n"/>
      <c r="R553" t="inlineStr"/>
      <c r="S553" t="inlineStr">
        <is>
          <t>Тариф с завтраком</t>
        </is>
      </c>
      <c r="T553" t="n">
        <v>0</v>
      </c>
      <c r="U553" t="n">
        <v>15400</v>
      </c>
    </row>
    <row r="554">
      <c r="A554" t="inlineStr">
        <is>
          <t>20260718-8186-434302975</t>
        </is>
      </c>
      <c r="B554" t="n">
        <v>1</v>
      </c>
      <c r="C554" s="2" t="inlineStr">
        <is>
          <t>Кахабер Картвелишвили, Виктория Поворова</t>
        </is>
      </c>
      <c r="D554" s="3" t="n">
        <v>13350</v>
      </c>
      <c r="E554" s="4" t="n">
        <v>0</v>
      </c>
      <c r="F554" t="inlineStr">
        <is>
          <t>Прямые бронирования (стойка) [Чайковский]</t>
        </is>
      </c>
      <c r="G554" s="3">
        <f>ROUND(D554/(100-E554)*100,2)</f>
        <v/>
      </c>
      <c r="H554" s="5" t="n">
        <v>46226.58333333334</v>
      </c>
      <c r="I554" t="n">
        <v>1</v>
      </c>
      <c r="J554" s="3">
        <f>G554/I554</f>
        <v/>
      </c>
      <c r="K554">
        <f>IF(J554&gt;=5100,"ставка","мин.ставка")</f>
        <v/>
      </c>
      <c r="L554" s="3">
        <f>ROUND(IF(K554="мин.ставка",I554*100,G554/102*2),2)</f>
        <v/>
      </c>
      <c r="M554" s="5" t="n">
        <v>46227.5</v>
      </c>
      <c r="N554" t="inlineStr">
        <is>
          <t>TravelLine ресепшн</t>
        </is>
      </c>
      <c r="O554" s="2" t="inlineStr">
        <is>
          <t>СТАНДАРТНЫЙ ДВУХМЕСТНЫЙ НОМЕР</t>
        </is>
      </c>
      <c r="P554" s="6" t="n"/>
      <c r="R554" t="inlineStr"/>
      <c r="S554" t="inlineStr">
        <is>
          <t>Тариф с завтраком</t>
        </is>
      </c>
      <c r="T554" t="n">
        <v>0</v>
      </c>
      <c r="U554" t="n">
        <v>13350</v>
      </c>
    </row>
    <row r="555">
      <c r="A555" t="inlineStr">
        <is>
          <t>20260806-8186-453943194</t>
        </is>
      </c>
      <c r="B555" t="n">
        <v>1</v>
      </c>
      <c r="C555" s="2" t="inlineStr">
        <is>
          <t>Кира Кудинова, Алексей Гордейчук</t>
        </is>
      </c>
      <c r="D555" s="3" t="n">
        <v>39600</v>
      </c>
      <c r="E555" s="4" t="n">
        <v>20</v>
      </c>
      <c r="F555" t="inlineStr">
        <is>
          <t>ООО "КОМПАНИЯ БРОНЕВИК" [Чайковский]</t>
        </is>
      </c>
      <c r="G555" s="3">
        <f>ROUND(D555/(100-E555)*100,2)</f>
        <v/>
      </c>
      <c r="H555" s="5" t="n">
        <v>46240.58333333334</v>
      </c>
      <c r="I555" t="n">
        <v>3</v>
      </c>
      <c r="J555" s="3">
        <f>G555/I555</f>
        <v/>
      </c>
      <c r="K555">
        <f>IF(J555&gt;=5100,"ставка","мин.ставка")</f>
        <v/>
      </c>
      <c r="L555" s="3">
        <f>ROUND(IF(K555="мин.ставка",I555*100,G555/102*2),2)</f>
        <v/>
      </c>
      <c r="M555" s="5" t="n">
        <v>46243.45833333334</v>
      </c>
      <c r="N555" t="inlineStr">
        <is>
          <t>TravelLine BR2</t>
        </is>
      </c>
      <c r="O555" s="2" t="inlineStr">
        <is>
          <t>ПОЛУЛЮКС</t>
        </is>
      </c>
      <c r="P555" s="6" t="n"/>
      <c r="R555" t="inlineStr"/>
      <c r="S555" t="inlineStr">
        <is>
          <t>Тариф с завтраком</t>
        </is>
      </c>
      <c r="T555" t="n">
        <v>3440</v>
      </c>
      <c r="U555" t="n">
        <v>43040</v>
      </c>
    </row>
    <row r="556">
      <c r="A556" t="inlineStr">
        <is>
          <t>20260923-8186-468096029</t>
        </is>
      </c>
      <c r="B556" t="n">
        <v>1</v>
      </c>
      <c r="C556" s="2" t="inlineStr">
        <is>
          <t>КИРИЛЛ ЛАРИН</t>
        </is>
      </c>
      <c r="D556" s="3" t="n">
        <v>15800</v>
      </c>
      <c r="E556" s="4" t="n">
        <v>0</v>
      </c>
      <c r="F556" t="inlineStr">
        <is>
          <t>Прямые бронирования (стойка) [Чайковский]</t>
        </is>
      </c>
      <c r="G556" s="3">
        <f>ROUND(D556/(100-E556)*100,2)</f>
        <v/>
      </c>
      <c r="H556" s="5" t="n">
        <v>46288.58333333334</v>
      </c>
      <c r="I556" t="n">
        <v>1</v>
      </c>
      <c r="J556" s="3">
        <f>G556/I556</f>
        <v/>
      </c>
      <c r="K556">
        <f>IF(J556&gt;=5100,"ставка","мин.ставка")</f>
        <v/>
      </c>
      <c r="L556" s="3">
        <f>ROUND(IF(K556="мин.ставка",I556*100,G556/102*2),2)</f>
        <v/>
      </c>
      <c r="M556" s="5" t="n">
        <v>46289.5</v>
      </c>
      <c r="N556" t="inlineStr">
        <is>
          <t>TravelLine ресепшн</t>
        </is>
      </c>
      <c r="O556" s="2" t="inlineStr">
        <is>
          <t>ЛЮКС ВТОРОЙ КОРПУС</t>
        </is>
      </c>
      <c r="P556" s="6" t="n"/>
      <c r="R556" t="inlineStr"/>
      <c r="S556" t="inlineStr">
        <is>
          <t>Тариф с завтраком</t>
        </is>
      </c>
      <c r="T556" t="n">
        <v>0</v>
      </c>
      <c r="U556" t="n">
        <v>15800</v>
      </c>
    </row>
    <row r="557">
      <c r="A557" t="inlineStr">
        <is>
          <t>20260924-8186-468128264</t>
        </is>
      </c>
      <c r="B557" t="n">
        <v>1</v>
      </c>
      <c r="C557" s="2" t="inlineStr">
        <is>
          <t>КИРИЛЛ ЛАРИН</t>
        </is>
      </c>
      <c r="D557" s="3" t="n">
        <v>15800</v>
      </c>
      <c r="E557" s="4" t="n">
        <v>0</v>
      </c>
      <c r="F557" t="inlineStr">
        <is>
          <t>Прямые бронирования (стойка) [Чайковский]</t>
        </is>
      </c>
      <c r="G557" s="3">
        <f>ROUND(D557/(100-E557)*100,2)</f>
        <v/>
      </c>
      <c r="H557" s="5" t="n">
        <v>46289.58333333334</v>
      </c>
      <c r="I557" t="n">
        <v>1</v>
      </c>
      <c r="J557" s="3">
        <f>G557/I557</f>
        <v/>
      </c>
      <c r="K557">
        <f>IF(J557&gt;=5100,"ставка","мин.ставка")</f>
        <v/>
      </c>
      <c r="L557" s="3">
        <f>ROUND(IF(K557="мин.ставка",I557*100,G557/102*2),2)</f>
        <v/>
      </c>
      <c r="M557" s="5" t="n">
        <v>46290.5</v>
      </c>
      <c r="N557" t="inlineStr">
        <is>
          <t>TravelLine ресепшн</t>
        </is>
      </c>
      <c r="O557" s="2" t="inlineStr">
        <is>
          <t>ЛЮКС ВТОРОЙ КОРПУС</t>
        </is>
      </c>
      <c r="P557" s="6" t="n"/>
      <c r="R557" t="inlineStr"/>
      <c r="S557" t="inlineStr">
        <is>
          <t>Тариф с завтраком</t>
        </is>
      </c>
      <c r="T557" t="n">
        <v>0</v>
      </c>
      <c r="U557" t="n">
        <v>15800</v>
      </c>
    </row>
    <row r="558">
      <c r="A558" t="inlineStr">
        <is>
          <t>20260901-8186-462888828</t>
        </is>
      </c>
      <c r="B558" t="n">
        <v>1</v>
      </c>
      <c r="C558" s="2" t="inlineStr">
        <is>
          <t>Кирилл Подволодских, Ксения Олифер</t>
        </is>
      </c>
      <c r="D558" s="3" t="n">
        <v>12540</v>
      </c>
      <c r="E558" s="4" t="n">
        <v>18</v>
      </c>
      <c r="F558" t="inlineStr">
        <is>
          <t>Яндекс.Путешествия [Чайковский]</t>
        </is>
      </c>
      <c r="G558" s="3">
        <f>ROUND(D558/(100-E558)*100,2)</f>
        <v/>
      </c>
      <c r="H558" s="5" t="n">
        <v>46266.58333333334</v>
      </c>
      <c r="I558" t="n">
        <v>1</v>
      </c>
      <c r="J558" s="3">
        <f>G558/I558</f>
        <v/>
      </c>
      <c r="K558">
        <f>IF(J558&gt;=5100,"ставка","мин.ставка")</f>
        <v/>
      </c>
      <c r="L558" s="3">
        <f>ROUND(IF(K558="мин.ставка",I558*100,G558/102*2),2)</f>
        <v/>
      </c>
      <c r="M558" s="5" t="n">
        <v>46267.5</v>
      </c>
      <c r="N558" t="inlineStr">
        <is>
          <t>TravelLine YAX</t>
        </is>
      </c>
      <c r="O558" s="2" t="inlineStr">
        <is>
          <t>ПОЛУЛЮКС</t>
        </is>
      </c>
      <c r="P558" s="6" t="n"/>
      <c r="R558" t="inlineStr"/>
      <c r="S558" t="inlineStr">
        <is>
          <t>Тариф с завтраком</t>
        </is>
      </c>
      <c r="T558" t="n">
        <v>0</v>
      </c>
      <c r="U558" t="n">
        <v>12540</v>
      </c>
    </row>
    <row r="559">
      <c r="A559" t="inlineStr">
        <is>
          <t>20260812-8186-457852780</t>
        </is>
      </c>
      <c r="B559" t="n">
        <v>1</v>
      </c>
      <c r="C559" s="2" t="inlineStr">
        <is>
          <t>Кирилл Семёнов, Жанна Семёнова</t>
        </is>
      </c>
      <c r="D559" s="3" t="n">
        <v>15169</v>
      </c>
      <c r="E559" s="4" t="n">
        <v>4</v>
      </c>
      <c r="F559" t="inlineStr">
        <is>
          <t>TravelLine Booking Engine [Чайковский]</t>
        </is>
      </c>
      <c r="G559" s="3">
        <f>ROUND(D559/(100-E559)*100,2)</f>
        <v/>
      </c>
      <c r="H559" s="5" t="n">
        <v>46246.58333333334</v>
      </c>
      <c r="I559" t="n">
        <v>1</v>
      </c>
      <c r="J559" s="3">
        <f>G559/I559</f>
        <v/>
      </c>
      <c r="K559">
        <f>IF(J559&gt;=5100,"ставка","мин.ставка")</f>
        <v/>
      </c>
      <c r="L559" s="3">
        <f>ROUND(IF(K559="мин.ставка",I559*100,G559/102*2),2)</f>
        <v/>
      </c>
      <c r="M559" s="5" t="n">
        <v>46247.5</v>
      </c>
      <c r="N559" t="inlineStr">
        <is>
          <t>TravelLine сайт</t>
        </is>
      </c>
      <c r="O559" s="2" t="inlineStr">
        <is>
          <t>УЛУЧШЕННЫЙ ДВУХМЕСТНЫЙ НОМЕР</t>
        </is>
      </c>
      <c r="P559" s="6" t="n"/>
      <c r="R559" t="inlineStr"/>
      <c r="S559" t="inlineStr">
        <is>
          <t>Тариф с завтраком</t>
        </is>
      </c>
      <c r="T559" t="n">
        <v>0</v>
      </c>
      <c r="U559" t="n">
        <v>15169</v>
      </c>
    </row>
    <row r="560">
      <c r="A560" t="inlineStr">
        <is>
          <t>20260714-8186-449199294</t>
        </is>
      </c>
      <c r="B560" t="n">
        <v>1</v>
      </c>
      <c r="C560" s="2" t="inlineStr">
        <is>
          <t>Кирилл Солодков</t>
        </is>
      </c>
      <c r="D560" s="3" t="n">
        <v>18160</v>
      </c>
      <c r="E560" s="4" t="n">
        <v>20</v>
      </c>
      <c r="F560" t="inlineStr">
        <is>
          <t>ООО "КОМПАНИЯ БРОНЕВИК" [Чайковский]</t>
        </is>
      </c>
      <c r="G560" s="3">
        <f>ROUND(D560/(100-E560)*100,2)</f>
        <v/>
      </c>
      <c r="H560" s="5" t="n">
        <v>46217.58333333334</v>
      </c>
      <c r="I560" t="n">
        <v>2</v>
      </c>
      <c r="J560" s="3">
        <f>G560/I560</f>
        <v/>
      </c>
      <c r="K560">
        <f>IF(J560&gt;=5100,"ставка","мин.ставка")</f>
        <v/>
      </c>
      <c r="L560" s="3">
        <f>ROUND(IF(K560="мин.ставка",I560*100,G560/102*2),2)</f>
        <v/>
      </c>
      <c r="M560" s="5" t="n">
        <v>46219.5</v>
      </c>
      <c r="N560" t="inlineStr">
        <is>
          <t>TravelLine BR2</t>
        </is>
      </c>
      <c r="O560" s="2" t="inlineStr">
        <is>
          <t>СТАНДАРТНЫЙ ДВУХМЕСТНЫЙ НОМЕР</t>
        </is>
      </c>
      <c r="P560" s="6" t="n"/>
      <c r="R560" t="inlineStr"/>
      <c r="S560" t="inlineStr">
        <is>
          <t>Тариф с завтраком</t>
        </is>
      </c>
      <c r="T560" t="n">
        <v>0</v>
      </c>
      <c r="U560" t="n">
        <v>18160</v>
      </c>
    </row>
    <row r="561">
      <c r="A561" t="inlineStr">
        <is>
          <t>20260704-8186-405164282</t>
        </is>
      </c>
      <c r="B561" t="n">
        <v>1</v>
      </c>
      <c r="C561" s="2" t="inlineStr">
        <is>
          <t>КИРИЛЛ СУНГУРОВ, МАТВЕЙ СУНГУРОВ</t>
        </is>
      </c>
      <c r="D561" s="3" t="n">
        <v>97515</v>
      </c>
      <c r="E561" s="4" t="n">
        <v>17</v>
      </c>
      <c r="F561" t="inlineStr">
        <is>
          <t>ООО "ОНЛАЙН ИННОВАЦИИ" (101 Отель) [Чайковский]</t>
        </is>
      </c>
      <c r="G561" s="3">
        <f>ROUND(D561/(100-E561)*100,2)</f>
        <v/>
      </c>
      <c r="H561" s="5" t="n">
        <v>46204.58333333334</v>
      </c>
      <c r="I561" t="n">
        <v>10</v>
      </c>
      <c r="J561" s="3">
        <f>G561/I561</f>
        <v/>
      </c>
      <c r="K561">
        <f>IF(J561&gt;=5100,"ставка","мин.ставка")</f>
        <v/>
      </c>
      <c r="L561" s="3">
        <f>ROUND(IF(K561="мин.ставка",I561*100,G561/102*2),2)</f>
        <v/>
      </c>
      <c r="M561" s="5" t="n">
        <v>46214.5</v>
      </c>
      <c r="N561" t="inlineStr">
        <is>
          <t>TravelLine H1C</t>
        </is>
      </c>
      <c r="O561" s="2" t="inlineStr">
        <is>
          <t>СТАНДАРТНЫЙ ДВУХМЕСТНЫЙ НОМЕР (МАНСАРДА)</t>
        </is>
      </c>
      <c r="P561" s="6" t="n"/>
      <c r="R561" t="inlineStr"/>
      <c r="S561" t="inlineStr">
        <is>
          <t>Тариф с завтраком</t>
        </is>
      </c>
      <c r="T561" t="n">
        <v>0</v>
      </c>
      <c r="U561" t="n">
        <v>195030</v>
      </c>
    </row>
    <row r="562">
      <c r="A562" t="inlineStr">
        <is>
          <t>20260730-8186-449191340</t>
        </is>
      </c>
      <c r="B562" t="n">
        <v>1</v>
      </c>
      <c r="C562" s="2" t="inlineStr">
        <is>
          <t>Кирилл Черепков</t>
        </is>
      </c>
      <c r="D562" s="3" t="n">
        <v>6320</v>
      </c>
      <c r="E562" s="4" t="n">
        <v>20</v>
      </c>
      <c r="F562" t="inlineStr">
        <is>
          <t>ООО "КОМПАНИЯ БРОНЕВИК" [Чайковский]</t>
        </is>
      </c>
      <c r="G562" s="3">
        <f>ROUND(D562/(100-E562)*100,2)</f>
        <v/>
      </c>
      <c r="H562" s="5" t="n">
        <v>46233.58333333334</v>
      </c>
      <c r="I562" t="n">
        <v>1</v>
      </c>
      <c r="J562" s="3">
        <f>G562/I562</f>
        <v/>
      </c>
      <c r="K562">
        <f>IF(J562&gt;=5100,"ставка","мин.ставка")</f>
        <v/>
      </c>
      <c r="L562" s="3">
        <f>ROUND(IF(K562="мин.ставка",I562*100,G562/102*2),2)</f>
        <v/>
      </c>
      <c r="M562" s="5" t="n">
        <v>46234.5</v>
      </c>
      <c r="N562" t="inlineStr">
        <is>
          <t>TravelLine BR2</t>
        </is>
      </c>
      <c r="O562" s="2" t="inlineStr">
        <is>
          <t>СТАНДАРТНЫЙ ДВУХМЕСТНЫЙ НОМЕР (МАНСАРДА)</t>
        </is>
      </c>
      <c r="P562" s="6" t="n"/>
      <c r="R562" t="inlineStr"/>
      <c r="S562" t="inlineStr">
        <is>
          <t>Тариф с завтраком</t>
        </is>
      </c>
      <c r="T562" t="n">
        <v>0</v>
      </c>
      <c r="U562" t="n">
        <v>6320</v>
      </c>
    </row>
    <row r="563">
      <c r="A563" t="inlineStr">
        <is>
          <t>20260725-8186-443229095</t>
        </is>
      </c>
      <c r="B563" t="n">
        <v>1</v>
      </c>
      <c r="C563" s="2" t="inlineStr">
        <is>
          <t>Кирилл Якименков, Даниэла Абрамова</t>
        </is>
      </c>
      <c r="D563" s="3" t="n">
        <v>49252.5</v>
      </c>
      <c r="E563" s="4" t="n">
        <v>4</v>
      </c>
      <c r="F563" t="inlineStr">
        <is>
          <t>TravelLine Booking Engine [Чайковский]</t>
        </is>
      </c>
      <c r="G563" s="3">
        <f>ROUND(D563/(100-E563)*100,2)</f>
        <v/>
      </c>
      <c r="H563" s="5" t="n">
        <v>46228.58333333334</v>
      </c>
      <c r="I563" t="n">
        <v>3</v>
      </c>
      <c r="J563" s="3">
        <f>G563/I563</f>
        <v/>
      </c>
      <c r="K563">
        <f>IF(J563&gt;=5100,"ставка","мин.ставка")</f>
        <v/>
      </c>
      <c r="L563" s="3">
        <f>ROUND(IF(K563="мин.ставка",I563*100,G563/102*2),2)</f>
        <v/>
      </c>
      <c r="M563" s="5" t="n">
        <v>46231.5</v>
      </c>
      <c r="N563" t="inlineStr">
        <is>
          <t>TravelLine сайт</t>
        </is>
      </c>
      <c r="O563" s="2" t="inlineStr">
        <is>
          <t>ПОЛУЛЮКС</t>
        </is>
      </c>
      <c r="P563" s="6" t="n"/>
      <c r="R563" t="inlineStr"/>
      <c r="S563" t="inlineStr">
        <is>
          <t>Тариф с завтраком</t>
        </is>
      </c>
      <c r="T563" t="n">
        <v>300</v>
      </c>
      <c r="U563" t="n">
        <v>49552.5</v>
      </c>
    </row>
    <row r="564">
      <c r="A564" t="inlineStr">
        <is>
          <t>20260711-8186-411331896</t>
        </is>
      </c>
      <c r="B564" t="n">
        <v>1</v>
      </c>
      <c r="C564" s="2" t="inlineStr">
        <is>
          <t>Клара Гольдберг</t>
        </is>
      </c>
      <c r="D564" s="3" t="n">
        <v>6320</v>
      </c>
      <c r="E564" s="4" t="n">
        <v>0</v>
      </c>
      <c r="F564" t="inlineStr">
        <is>
          <t>Прямые бронирования (стойка) [Чайковский]</t>
        </is>
      </c>
      <c r="G564" s="3">
        <f>ROUND(D564/(100-E564)*100,2)</f>
        <v/>
      </c>
      <c r="H564" s="5" t="n">
        <v>46214.58333333334</v>
      </c>
      <c r="I564" t="n">
        <v>1</v>
      </c>
      <c r="J564" s="3">
        <f>G564/I564</f>
        <v/>
      </c>
      <c r="K564">
        <f>IF(J564&gt;=5100,"ставка","мин.ставка")</f>
        <v/>
      </c>
      <c r="L564" s="3">
        <f>ROUND(IF(K564="мин.ставка",I564*100,G564/102*2),2)</f>
        <v/>
      </c>
      <c r="M564" s="5" t="n">
        <v>46215.5</v>
      </c>
      <c r="N564" t="inlineStr">
        <is>
          <t>TravelLine ресепшн</t>
        </is>
      </c>
      <c r="O564" s="2" t="inlineStr">
        <is>
          <t>СТАНДАРТНЫЙ ДВУХМЕСТНЫЙ НОМЕР (МАНСАРДА)</t>
        </is>
      </c>
      <c r="P564" s="6" t="n"/>
      <c r="R564" t="inlineStr"/>
      <c r="S564" t="inlineStr">
        <is>
          <t>Тариф с завтраком</t>
        </is>
      </c>
      <c r="T564" t="n">
        <v>0</v>
      </c>
      <c r="U564" t="n">
        <v>6320</v>
      </c>
    </row>
    <row r="565">
      <c r="A565" t="inlineStr">
        <is>
          <t>20260719-8186-451589711</t>
        </is>
      </c>
      <c r="B565" t="n">
        <v>1</v>
      </c>
      <c r="C565" s="2" t="inlineStr">
        <is>
          <t>Константин Жар</t>
        </is>
      </c>
      <c r="D565" s="3" t="n">
        <v>5852</v>
      </c>
      <c r="E565" s="4" t="n">
        <v>18</v>
      </c>
      <c r="F565" t="inlineStr">
        <is>
          <t>Яндекс.Путешествия [Чайковский]</t>
        </is>
      </c>
      <c r="G565" s="3">
        <f>ROUND(D565/(100-E565)*100,2)</f>
        <v/>
      </c>
      <c r="H565" s="5" t="n">
        <v>46222.58333333334</v>
      </c>
      <c r="I565" t="n">
        <v>1</v>
      </c>
      <c r="J565" s="3">
        <f>G565/I565</f>
        <v/>
      </c>
      <c r="K565">
        <f>IF(J565&gt;=5100,"ставка","мин.ставка")</f>
        <v/>
      </c>
      <c r="L565" s="3">
        <f>ROUND(IF(K565="мин.ставка",I565*100,G565/102*2),2)</f>
        <v/>
      </c>
      <c r="M565" s="5" t="n">
        <v>46223.5</v>
      </c>
      <c r="N565" t="inlineStr">
        <is>
          <t>TravelLine YAX</t>
        </is>
      </c>
      <c r="O565" s="2" t="inlineStr">
        <is>
          <t>СТАНДАРТНЫЙ ОДНОМЕСТНЫЙ НОМЕР</t>
        </is>
      </c>
      <c r="P565" s="6" t="n"/>
      <c r="R565" t="inlineStr"/>
      <c r="S565" t="inlineStr">
        <is>
          <t>Тариф с завтраком</t>
        </is>
      </c>
      <c r="T565" t="n">
        <v>0</v>
      </c>
      <c r="U565" t="n">
        <v>5852</v>
      </c>
    </row>
    <row r="566">
      <c r="A566" t="inlineStr">
        <is>
          <t>20260918-8186-460074365</t>
        </is>
      </c>
      <c r="B566" t="n">
        <v>1</v>
      </c>
      <c r="C566" s="2" t="inlineStr">
        <is>
          <t>КОНСТАНТИН ПРОХОРОВ, СВЕТЛАНА ПРОХОРОВА</t>
        </is>
      </c>
      <c r="D566" s="3" t="n">
        <v>21165</v>
      </c>
      <c r="E566" s="4" t="n">
        <v>15</v>
      </c>
      <c r="F566" t="inlineStr">
        <is>
          <t>ООО "АКАДЕМ-ОНЛАЙН" [Чайковский]</t>
        </is>
      </c>
      <c r="G566" s="3">
        <f>ROUND(D566/(100-E566)*100,2)</f>
        <v/>
      </c>
      <c r="H566" s="5" t="n">
        <v>46283.58333333334</v>
      </c>
      <c r="I566" t="n">
        <v>2</v>
      </c>
      <c r="J566" s="3">
        <f>G566/I566</f>
        <v/>
      </c>
      <c r="K566">
        <f>IF(J566&gt;=5100,"ставка","мин.ставка")</f>
        <v/>
      </c>
      <c r="L566" s="3">
        <f>ROUND(IF(K566="мин.ставка",I566*100,G566/102*2),2)</f>
        <v/>
      </c>
      <c r="M566" s="5" t="n">
        <v>46285.5</v>
      </c>
      <c r="N566" t="inlineStr">
        <is>
          <t>TravelLine ACS</t>
        </is>
      </c>
      <c r="O566" s="2" t="inlineStr">
        <is>
          <t>СЕМЕЙНЫЙ НОМЕР КАТЕГОРИИ "СТАНДАРТ" ВТОРОЙ КОРПУС</t>
        </is>
      </c>
      <c r="P566" s="6" t="n"/>
      <c r="R566" t="inlineStr"/>
      <c r="S566" t="inlineStr">
        <is>
          <t>Тариф с завтраком</t>
        </is>
      </c>
      <c r="T566" t="n">
        <v>4000</v>
      </c>
      <c r="U566" t="n">
        <v>25165</v>
      </c>
    </row>
    <row r="567">
      <c r="A567" t="inlineStr">
        <is>
          <t>20260916-8186-466008879</t>
        </is>
      </c>
      <c r="B567" t="n">
        <v>1</v>
      </c>
      <c r="C567" s="2" t="inlineStr">
        <is>
          <t>Константин Якушев</t>
        </is>
      </c>
      <c r="D567" s="3" t="n">
        <v>10500</v>
      </c>
      <c r="E567" s="4" t="n">
        <v>16</v>
      </c>
      <c r="F567" t="inlineStr">
        <is>
          <t>ООО "БРОНИРОВАНИЕ ГОСТИНИЦ" (OSTROVOK) [Чайковский]</t>
        </is>
      </c>
      <c r="G567" s="3">
        <f>ROUND(D567/(100-E567)*100,2)</f>
        <v/>
      </c>
      <c r="H567" s="5" t="n">
        <v>46281.58333333334</v>
      </c>
      <c r="I567" t="n">
        <v>1</v>
      </c>
      <c r="J567" s="3">
        <f>G567/I567</f>
        <v/>
      </c>
      <c r="K567">
        <f>IF(J567&gt;=5100,"ставка","мин.ставка")</f>
        <v/>
      </c>
      <c r="L567" s="3">
        <f>ROUND(IF(K567="мин.ставка",I567*100,G567/102*2),2)</f>
        <v/>
      </c>
      <c r="M567" s="5" t="n">
        <v>46282.5</v>
      </c>
      <c r="N567" t="inlineStr">
        <is>
          <t>TravelLine OTK</t>
        </is>
      </c>
      <c r="O567" s="2" t="inlineStr">
        <is>
          <t>ЛЮКС ВТОРОЙ КОРПУС</t>
        </is>
      </c>
      <c r="P567" s="6" t="n"/>
      <c r="R567" t="inlineStr"/>
      <c r="S567" t="inlineStr">
        <is>
          <t>Основной тариф без завтрака</t>
        </is>
      </c>
      <c r="T567" t="n">
        <v>0</v>
      </c>
      <c r="U567" t="n">
        <v>10500</v>
      </c>
    </row>
    <row r="568">
      <c r="A568" t="inlineStr">
        <is>
          <t>20260813-8186-457357141</t>
        </is>
      </c>
      <c r="B568" t="n">
        <v>1</v>
      </c>
      <c r="C568" s="2" t="inlineStr">
        <is>
          <t>КСЕНИЯ БЯЛАЯ</t>
        </is>
      </c>
      <c r="D568" s="3" t="n">
        <v>13400</v>
      </c>
      <c r="E568" s="4" t="n">
        <v>0</v>
      </c>
      <c r="F568" t="inlineStr">
        <is>
          <t>Прямые бронирования (стойка) [Чайковский]</t>
        </is>
      </c>
      <c r="G568" s="3">
        <f>ROUND(D568/(100-E568)*100,2)</f>
        <v/>
      </c>
      <c r="H568" s="5" t="n">
        <v>46251.58333333334</v>
      </c>
      <c r="I568" t="n">
        <v>1</v>
      </c>
      <c r="J568" s="3">
        <f>G568/I568</f>
        <v/>
      </c>
      <c r="K568">
        <f>IF(J568&gt;=5100,"ставка","мин.ставка")</f>
        <v/>
      </c>
      <c r="L568" s="3">
        <f>ROUND(IF(K568="мин.ставка",I568*100,G568/102*2),2)</f>
        <v/>
      </c>
      <c r="M568" s="5" t="n">
        <v>46252.5</v>
      </c>
      <c r="N568" t="inlineStr">
        <is>
          <t>TravelLine ресепшн</t>
        </is>
      </c>
      <c r="O568" s="2" t="inlineStr">
        <is>
          <t>УЛУЧШЕННЫЙ ДВУХМЕСТНЫЙ НОМЕР</t>
        </is>
      </c>
      <c r="P568" s="6" t="n"/>
      <c r="R568" t="inlineStr"/>
      <c r="S568" t="inlineStr">
        <is>
          <t>Тариф с завтраком</t>
        </is>
      </c>
      <c r="T568" t="n">
        <v>0</v>
      </c>
      <c r="U568" t="n">
        <v>13400</v>
      </c>
    </row>
    <row r="569">
      <c r="A569" t="inlineStr">
        <is>
          <t>20260729-8186-448976597</t>
        </is>
      </c>
      <c r="B569" t="n">
        <v>1</v>
      </c>
      <c r="C569" s="2" t="inlineStr">
        <is>
          <t>КСЕНИЯ Корчик-Янович</t>
        </is>
      </c>
      <c r="D569" s="3" t="n">
        <v>18960</v>
      </c>
      <c r="E569" s="4" t="n">
        <v>20</v>
      </c>
      <c r="F569" t="inlineStr">
        <is>
          <t>ООО "ХБ-ПРО" [Чайковский]</t>
        </is>
      </c>
      <c r="G569" s="3">
        <f>ROUND(D569/(100-E569)*100,2)</f>
        <v/>
      </c>
      <c r="H569" s="5" t="n">
        <v>46232.58333333334</v>
      </c>
      <c r="I569" t="n">
        <v>3</v>
      </c>
      <c r="J569" s="3">
        <f>G569/I569</f>
        <v/>
      </c>
      <c r="K569">
        <f>IF(J569&gt;=5100,"ставка","мин.ставка")</f>
        <v/>
      </c>
      <c r="L569" s="3">
        <f>ROUND(IF(K569="мин.ставка",I569*100,G569/102*2),2)</f>
        <v/>
      </c>
      <c r="M569" s="5" t="n">
        <v>46235.5</v>
      </c>
      <c r="N569" t="inlineStr">
        <is>
          <t>TravelLine UTS</t>
        </is>
      </c>
      <c r="O569" s="2" t="inlineStr">
        <is>
          <t>СТАНДАРТНЫЙ ДВУХМЕСТНЫЙ НОМЕР (МАНСАРДА)</t>
        </is>
      </c>
      <c r="P569" s="6" t="n"/>
      <c r="R569" t="inlineStr"/>
      <c r="S569" t="inlineStr">
        <is>
          <t>Тариф с завтраком</t>
        </is>
      </c>
      <c r="T569" t="n">
        <v>0</v>
      </c>
      <c r="U569" t="n">
        <v>18960</v>
      </c>
    </row>
    <row r="570">
      <c r="A570" t="inlineStr">
        <is>
          <t>20260822-8186-447387839</t>
        </is>
      </c>
      <c r="B570" t="n">
        <v>1</v>
      </c>
      <c r="C570" s="2" t="inlineStr">
        <is>
          <t>Ксения Недорезова</t>
        </is>
      </c>
      <c r="D570" s="3" t="n">
        <v>6715</v>
      </c>
      <c r="E570" s="4" t="n">
        <v>15</v>
      </c>
      <c r="F570" t="inlineStr">
        <is>
          <t>ООО Тинькофф Путешествия [Чайковский]</t>
        </is>
      </c>
      <c r="G570" s="3">
        <f>ROUND(D570/(100-E570)*100,2)</f>
        <v/>
      </c>
      <c r="H570" s="5" t="n">
        <v>46256.58333333334</v>
      </c>
      <c r="I570" t="n">
        <v>1</v>
      </c>
      <c r="J570" s="3">
        <f>G570/I570</f>
        <v/>
      </c>
      <c r="K570">
        <f>IF(J570&gt;=5100,"ставка","мин.ставка")</f>
        <v/>
      </c>
      <c r="L570" s="3">
        <f>ROUND(IF(K570="мин.ставка",I570*100,G570/102*2),2)</f>
        <v/>
      </c>
      <c r="M570" s="5" t="n">
        <v>46257.5</v>
      </c>
      <c r="N570" t="inlineStr">
        <is>
          <t>TravelLine TNK</t>
        </is>
      </c>
      <c r="O570" s="2" t="inlineStr">
        <is>
          <t>СТАНДАРТНЫЙ ДВУХМЕСТНЫЙ НОМЕР (МАНСАРДА)</t>
        </is>
      </c>
      <c r="P570" s="6" t="n"/>
      <c r="R570" t="inlineStr"/>
      <c r="S570" t="inlineStr">
        <is>
          <t>Тариф с завтраком</t>
        </is>
      </c>
      <c r="T570" t="n">
        <v>0</v>
      </c>
      <c r="U570" t="n">
        <v>6715</v>
      </c>
    </row>
    <row r="571">
      <c r="A571" t="inlineStr">
        <is>
          <t>20260724-8186-446893476</t>
        </is>
      </c>
      <c r="B571" t="n">
        <v>1</v>
      </c>
      <c r="C571" s="2" t="inlineStr">
        <is>
          <t>Ксения Новоселова</t>
        </is>
      </c>
      <c r="D571" s="3" t="n">
        <v>20230</v>
      </c>
      <c r="E571" s="4" t="n">
        <v>15</v>
      </c>
      <c r="F571" t="inlineStr">
        <is>
          <t>ООО Тинькофф Путешествия [Чайковский]</t>
        </is>
      </c>
      <c r="G571" s="3">
        <f>ROUND(D571/(100-E571)*100,2)</f>
        <v/>
      </c>
      <c r="H571" s="5" t="n">
        <v>46227.58333333334</v>
      </c>
      <c r="I571" t="n">
        <v>2</v>
      </c>
      <c r="J571" s="3">
        <f>G571/I571</f>
        <v/>
      </c>
      <c r="K571">
        <f>IF(J571&gt;=5100,"ставка","мин.ставка")</f>
        <v/>
      </c>
      <c r="L571" s="3">
        <f>ROUND(IF(K571="мин.ставка",I571*100,G571/102*2),2)</f>
        <v/>
      </c>
      <c r="M571" s="5" t="n">
        <v>46229.5</v>
      </c>
      <c r="N571" t="inlineStr">
        <is>
          <t>TravelLine TNK</t>
        </is>
      </c>
      <c r="O571" s="2" t="inlineStr">
        <is>
          <t>УЛУЧШЕННЫЙ ДВУХМЕСТНЫЙ НОМЕР</t>
        </is>
      </c>
      <c r="P571" s="6" t="n"/>
      <c r="R571" t="inlineStr"/>
      <c r="S571" t="inlineStr">
        <is>
          <t>Основной тариф без завтрака</t>
        </is>
      </c>
      <c r="T571" t="n">
        <v>0</v>
      </c>
      <c r="U571" t="n">
        <v>20230</v>
      </c>
    </row>
    <row r="572">
      <c r="A572" t="inlineStr">
        <is>
          <t>20260915-8186-457386523</t>
        </is>
      </c>
      <c r="B572" t="n">
        <v>1</v>
      </c>
      <c r="C572" s="2" t="inlineStr">
        <is>
          <t>КСЕНИЯ ЯКОВЕНКО</t>
        </is>
      </c>
      <c r="D572" s="3" t="n">
        <v>9080</v>
      </c>
      <c r="E572" s="4" t="n">
        <v>20</v>
      </c>
      <c r="F572" t="inlineStr">
        <is>
          <t>ООО "ХБ-ПРО" [Чайковский]</t>
        </is>
      </c>
      <c r="G572" s="3">
        <f>ROUND(D572/(100-E572)*100,2)</f>
        <v/>
      </c>
      <c r="H572" s="5" t="n">
        <v>46280.58333333334</v>
      </c>
      <c r="I572" t="n">
        <v>1</v>
      </c>
      <c r="J572" s="3">
        <f>G572/I572</f>
        <v/>
      </c>
      <c r="K572">
        <f>IF(J572&gt;=5100,"ставка","мин.ставка")</f>
        <v/>
      </c>
      <c r="L572" s="3">
        <f>ROUND(IF(K572="мин.ставка",I572*100,G572/102*2),2)</f>
        <v/>
      </c>
      <c r="M572" s="5" t="n">
        <v>46281.5</v>
      </c>
      <c r="N572" t="inlineStr">
        <is>
          <t>TravelLine UTS</t>
        </is>
      </c>
      <c r="O572" s="2" t="inlineStr">
        <is>
          <t>СТАНДАРТНЫЙ ДВУХМЕСТНЫЙ НОМЕР</t>
        </is>
      </c>
      <c r="P572" s="6" t="n"/>
      <c r="R572" t="inlineStr"/>
      <c r="S572" t="inlineStr">
        <is>
          <t>Тариф с завтраком</t>
        </is>
      </c>
      <c r="T572" t="n">
        <v>0</v>
      </c>
      <c r="U572" t="n">
        <v>9080</v>
      </c>
    </row>
    <row r="573">
      <c r="A573" t="inlineStr">
        <is>
          <t>20260819-8186-412191182</t>
        </is>
      </c>
      <c r="B573" t="n">
        <v>1</v>
      </c>
      <c r="C573" s="2" t="inlineStr">
        <is>
          <t>ЛАРИСА БРИЛЛИАНТ</t>
        </is>
      </c>
      <c r="D573" s="3" t="n">
        <v>23700</v>
      </c>
      <c r="E573" s="4" t="n">
        <v>0</v>
      </c>
      <c r="F573" t="inlineStr">
        <is>
          <t>Прямые бронирования (стойка) [Чайковский]</t>
        </is>
      </c>
      <c r="G573" s="3">
        <f>ROUND(D573/(100-E573)*100,2)</f>
        <v/>
      </c>
      <c r="H573" s="5" t="n">
        <v>46249.58333333334</v>
      </c>
      <c r="I573" t="n">
        <v>3</v>
      </c>
      <c r="J573" s="3">
        <f>G573/I573</f>
        <v/>
      </c>
      <c r="K573">
        <f>IF(J573&gt;=5100,"ставка","мин.ставка")</f>
        <v/>
      </c>
      <c r="L573" s="3">
        <f>ROUND(IF(K573="мин.ставка",I573*100,G573/102*2),2)</f>
        <v/>
      </c>
      <c r="M573" s="5" t="n">
        <v>46252.5</v>
      </c>
      <c r="N573" t="inlineStr">
        <is>
          <t>TravelLine ресепшн</t>
        </is>
      </c>
      <c r="O573" s="2" t="inlineStr">
        <is>
          <t>СТАНДАРТНЫЙ ДВУХМЕСТНЫЙ НОМЕР (МАНСАРДА)</t>
        </is>
      </c>
      <c r="P573" s="6" t="n"/>
      <c r="R573" t="inlineStr"/>
      <c r="S573" t="inlineStr">
        <is>
          <t>Тариф с завтраком</t>
        </is>
      </c>
      <c r="T573" t="n">
        <v>0</v>
      </c>
      <c r="U573" t="n">
        <v>23700</v>
      </c>
    </row>
    <row r="574">
      <c r="A574" t="inlineStr">
        <is>
          <t>20260727-8186-453467059</t>
        </is>
      </c>
      <c r="B574" t="n">
        <v>1</v>
      </c>
      <c r="C574" s="2" t="inlineStr">
        <is>
          <t>Лариса Дубинчук, Виктория Казюра</t>
        </is>
      </c>
      <c r="D574" s="3" t="n">
        <v>8284</v>
      </c>
      <c r="E574" s="4" t="n">
        <v>18</v>
      </c>
      <c r="F574" t="inlineStr">
        <is>
          <t>Яндекс.Путешествия [Чайковский]</t>
        </is>
      </c>
      <c r="G574" s="3">
        <f>ROUND(D574/(100-E574)*100,2)</f>
        <v/>
      </c>
      <c r="H574" s="5" t="n">
        <v>46230.58333333334</v>
      </c>
      <c r="I574" t="n">
        <v>1</v>
      </c>
      <c r="J574" s="3">
        <f>G574/I574</f>
        <v/>
      </c>
      <c r="K574">
        <f>IF(J574&gt;=5100,"ставка","мин.ставка")</f>
        <v/>
      </c>
      <c r="L574" s="3">
        <f>ROUND(IF(K574="мин.ставка",I574*100,G574/102*2),2)</f>
        <v/>
      </c>
      <c r="M574" s="5" t="n">
        <v>46231.5</v>
      </c>
      <c r="N574" t="inlineStr">
        <is>
          <t>TravelLine YAX</t>
        </is>
      </c>
      <c r="O574" s="2" t="inlineStr">
        <is>
          <t>СТАНДАРТНЫЙ ДВУХМЕСТНЫЙ НОМЕР</t>
        </is>
      </c>
      <c r="P574" s="6" t="n"/>
      <c r="R574" t="inlineStr"/>
      <c r="S574" t="inlineStr">
        <is>
          <t>Тариф с завтраком</t>
        </is>
      </c>
      <c r="T574" t="n">
        <v>0</v>
      </c>
      <c r="U574" t="n">
        <v>8284</v>
      </c>
    </row>
    <row r="575">
      <c r="A575" t="inlineStr">
        <is>
          <t>20260726-8186-440779552</t>
        </is>
      </c>
      <c r="B575" t="n">
        <v>1</v>
      </c>
      <c r="C575" s="2" t="inlineStr">
        <is>
          <t>Лариса Матвеева, Яна Матвеева</t>
        </is>
      </c>
      <c r="D575" s="3" t="n">
        <v>68085</v>
      </c>
      <c r="E575" s="4" t="n">
        <v>0</v>
      </c>
      <c r="F575" t="inlineStr">
        <is>
          <t>ООО «ХОМЛИН ЛЭНД» (ПЕГАС) [Чайковский]</t>
        </is>
      </c>
      <c r="G575" s="3">
        <f>ROUND(D575/(100-E575)*100,2)</f>
        <v/>
      </c>
      <c r="H575" s="5" t="n">
        <v>46229.58333333334</v>
      </c>
      <c r="I575" t="n">
        <v>6</v>
      </c>
      <c r="J575" s="3">
        <f>G575/I575</f>
        <v/>
      </c>
      <c r="K575">
        <f>IF(J575&gt;=5100,"ставка","мин.ставка")</f>
        <v/>
      </c>
      <c r="L575" s="3">
        <f>ROUND(IF(K575="мин.ставка",I575*100,G575/102*2),2)</f>
        <v/>
      </c>
      <c r="M575" s="5" t="n">
        <v>46235.5</v>
      </c>
      <c r="N575" t="inlineStr">
        <is>
          <t>TravelLine PGS</t>
        </is>
      </c>
      <c r="O575" s="2" t="inlineStr">
        <is>
          <t>СТАНДАРТНЫЙ ДВУХМЕСТНЫЙ НОМЕР</t>
        </is>
      </c>
      <c r="P575" s="6" t="n"/>
      <c r="R575" t="inlineStr"/>
      <c r="S575" t="inlineStr">
        <is>
          <t>Тариф с завтраком</t>
        </is>
      </c>
      <c r="T575" t="n">
        <v>0</v>
      </c>
      <c r="U575" t="n">
        <v>68085</v>
      </c>
    </row>
    <row r="576">
      <c r="A576" t="inlineStr">
        <is>
          <t>20260925-8186-460121814</t>
        </is>
      </c>
      <c r="B576" t="n">
        <v>1</v>
      </c>
      <c r="C576" s="2" t="inlineStr">
        <is>
          <t>Лариса Хоменко, Мария Старкина</t>
        </is>
      </c>
      <c r="D576" s="3" t="n">
        <v>33660</v>
      </c>
      <c r="E576" s="4" t="n">
        <v>0</v>
      </c>
      <c r="F576" t="inlineStr">
        <is>
          <t>ООО «ХОМЛИН ЛЭНД» (ПЕГАС) [Чайковский]</t>
        </is>
      </c>
      <c r="G576" s="3">
        <f>ROUND(D576/(100-E576)*100,2)</f>
        <v/>
      </c>
      <c r="H576" s="5" t="n">
        <v>46290.58333333334</v>
      </c>
      <c r="I576" t="n">
        <v>4</v>
      </c>
      <c r="J576" s="3">
        <f>G576/I576</f>
        <v/>
      </c>
      <c r="K576">
        <f>IF(J576&gt;=5100,"ставка","мин.ставка")</f>
        <v/>
      </c>
      <c r="L576" s="3">
        <f>ROUND(IF(K576="мин.ставка",I576*100,G576/102*2),2)</f>
        <v/>
      </c>
      <c r="M576" s="5" t="n">
        <v>46294.5</v>
      </c>
      <c r="N576" t="inlineStr">
        <is>
          <t>TravelLine PGS</t>
        </is>
      </c>
      <c r="O576" s="2" t="inlineStr">
        <is>
          <t>СТАНДАРТНЫЙ ДВУХМЕСТНЫЙ НОМЕР (МАНСАРДА)</t>
        </is>
      </c>
      <c r="P576" s="6" t="n"/>
      <c r="R576" t="inlineStr"/>
      <c r="S576" t="inlineStr">
        <is>
          <t>Тариф с завтраком</t>
        </is>
      </c>
      <c r="T576" t="n">
        <v>0</v>
      </c>
      <c r="U576" t="n">
        <v>33660</v>
      </c>
    </row>
    <row r="577">
      <c r="A577" t="inlineStr">
        <is>
          <t>20260807-8186-438685773</t>
        </is>
      </c>
      <c r="B577" t="n">
        <v>1</v>
      </c>
      <c r="C577" s="2" t="inlineStr">
        <is>
          <t>Леонид Александров, Мария Александрова</t>
        </is>
      </c>
      <c r="D577" s="3" t="n">
        <v>21360</v>
      </c>
      <c r="E577" s="4" t="n">
        <v>18</v>
      </c>
      <c r="F577" t="inlineStr">
        <is>
          <t>Яндекс.Путешествия [Чайковский]</t>
        </is>
      </c>
      <c r="G577" s="3">
        <f>ROUND(D577/(100-E577)*100,2)</f>
        <v/>
      </c>
      <c r="H577" s="5" t="n">
        <v>46241.58333333334</v>
      </c>
      <c r="I577" t="n">
        <v>2</v>
      </c>
      <c r="J577" s="3">
        <f>G577/I577</f>
        <v/>
      </c>
      <c r="K577">
        <f>IF(J577&gt;=5100,"ставка","мин.ставка")</f>
        <v/>
      </c>
      <c r="L577" s="3">
        <f>ROUND(IF(K577="мин.ставка",I577*100,G577/102*2),2)</f>
        <v/>
      </c>
      <c r="M577" s="5" t="n">
        <v>46243.5</v>
      </c>
      <c r="N577" t="inlineStr">
        <is>
          <t>TravelLine YAX</t>
        </is>
      </c>
      <c r="O577" s="2" t="inlineStr">
        <is>
          <t>СТАНДАРТНЫЙ ДВУХМЕСТНЫЙ НОМЕР</t>
        </is>
      </c>
      <c r="P577" s="6" t="n"/>
      <c r="R577" t="inlineStr"/>
      <c r="S577" t="inlineStr">
        <is>
          <t>Тариф с завтраком</t>
        </is>
      </c>
      <c r="T577" t="n">
        <v>0</v>
      </c>
      <c r="U577" t="n">
        <v>21360</v>
      </c>
    </row>
    <row r="578">
      <c r="A578" t="inlineStr">
        <is>
          <t>20260914-8186-463712958</t>
        </is>
      </c>
      <c r="B578" t="n">
        <v>1</v>
      </c>
      <c r="C578" s="2" t="inlineStr">
        <is>
          <t>ЛЕОНИД ДУБОВ</t>
        </is>
      </c>
      <c r="D578" s="3" t="n">
        <v>27240</v>
      </c>
      <c r="E578" s="4" t="n">
        <v>20</v>
      </c>
      <c r="F578" t="inlineStr">
        <is>
          <t>ООО "ХБ-ПРО" [Чайковский]</t>
        </is>
      </c>
      <c r="G578" s="3">
        <f>ROUND(D578/(100-E578)*100,2)</f>
        <v/>
      </c>
      <c r="H578" s="5" t="n">
        <v>46279.58333333334</v>
      </c>
      <c r="I578" t="n">
        <v>3</v>
      </c>
      <c r="J578" s="3">
        <f>G578/I578</f>
        <v/>
      </c>
      <c r="K578">
        <f>IF(J578&gt;=5100,"ставка","мин.ставка")</f>
        <v/>
      </c>
      <c r="L578" s="3">
        <f>ROUND(IF(K578="мин.ставка",I578*100,G578/102*2),2)</f>
        <v/>
      </c>
      <c r="M578" s="5" t="n">
        <v>46282.5</v>
      </c>
      <c r="N578" t="inlineStr">
        <is>
          <t>TravelLine UTS</t>
        </is>
      </c>
      <c r="O578" s="2" t="inlineStr">
        <is>
          <t>СТАНДАРТНЫЙ ДВУХМЕСТНЫЙ НОМЕР</t>
        </is>
      </c>
      <c r="P578" s="6" t="n"/>
      <c r="R578" t="inlineStr"/>
      <c r="S578" t="inlineStr">
        <is>
          <t>Тариф с завтраком</t>
        </is>
      </c>
      <c r="T578" t="n">
        <v>0</v>
      </c>
      <c r="U578" t="n">
        <v>27240</v>
      </c>
    </row>
    <row r="579">
      <c r="A579" t="inlineStr">
        <is>
          <t>20260802-8186-451253781</t>
        </is>
      </c>
      <c r="B579" t="n">
        <v>1</v>
      </c>
      <c r="C579" s="2" t="inlineStr">
        <is>
          <t>ЛЕОНИД ДУБОВ</t>
        </is>
      </c>
      <c r="D579" s="3" t="n">
        <v>18160</v>
      </c>
      <c r="E579" s="4" t="n">
        <v>20</v>
      </c>
      <c r="F579" t="inlineStr">
        <is>
          <t>ООО "КОМПАНИЯ БРОНЕВИК" [Чайковский]</t>
        </is>
      </c>
      <c r="G579" s="3">
        <f>ROUND(D579/(100-E579)*100,2)</f>
        <v/>
      </c>
      <c r="H579" s="5" t="n">
        <v>46236.58333333334</v>
      </c>
      <c r="I579" t="n">
        <v>2</v>
      </c>
      <c r="J579" s="3">
        <f>G579/I579</f>
        <v/>
      </c>
      <c r="K579">
        <f>IF(J579&gt;=5100,"ставка","мин.ставка")</f>
        <v/>
      </c>
      <c r="L579" s="3">
        <f>ROUND(IF(K579="мин.ставка",I579*100,G579/102*2),2)</f>
        <v/>
      </c>
      <c r="M579" s="5" t="n">
        <v>46238.5</v>
      </c>
      <c r="N579" t="inlineStr">
        <is>
          <t>TravelLine BR2</t>
        </is>
      </c>
      <c r="O579" s="2" t="inlineStr">
        <is>
          <t>СТАНДАРТНЫЙ ДВУХМЕСТНЫЙ НОМЕР</t>
        </is>
      </c>
      <c r="P579" s="6" t="n"/>
      <c r="R579" t="inlineStr"/>
      <c r="S579" t="inlineStr">
        <is>
          <t>Тариф с завтраком</t>
        </is>
      </c>
      <c r="T579" t="n">
        <v>0</v>
      </c>
      <c r="U579" t="n">
        <v>18160</v>
      </c>
    </row>
    <row r="580">
      <c r="A580" t="inlineStr">
        <is>
          <t>20260814-8186-456330345</t>
        </is>
      </c>
      <c r="B580" t="n">
        <v>1</v>
      </c>
      <c r="C580" s="2" t="inlineStr">
        <is>
          <t>ЛЕОНИД СТЕПАНОВ, Кристэль Степанова</t>
        </is>
      </c>
      <c r="D580" s="3" t="n">
        <v>26286.15</v>
      </c>
      <c r="E580" s="4" t="n">
        <v>4</v>
      </c>
      <c r="F580" t="inlineStr">
        <is>
          <t>TravelLine Booking Engine [Чайковский]</t>
        </is>
      </c>
      <c r="G580" s="3">
        <f>ROUND(D580/(100-E580)*100,2)</f>
        <v/>
      </c>
      <c r="H580" s="5" t="n">
        <v>46248.58333333334</v>
      </c>
      <c r="I580" t="n">
        <v>2</v>
      </c>
      <c r="J580" s="3">
        <f>G580/I580</f>
        <v/>
      </c>
      <c r="K580">
        <f>IF(J580&gt;=5100,"ставка","мин.ставка")</f>
        <v/>
      </c>
      <c r="L580" s="3">
        <f>ROUND(IF(K580="мин.ставка",I580*100,G580/102*2),2)</f>
        <v/>
      </c>
      <c r="M580" s="5" t="n">
        <v>46250.5</v>
      </c>
      <c r="N580" t="inlineStr">
        <is>
          <t>TravelLine сайт</t>
        </is>
      </c>
      <c r="O580" s="2" t="inlineStr">
        <is>
          <t>СТАНДАРТНЫЙ ДВУХМЕСТНЫЙ НОМЕР</t>
        </is>
      </c>
      <c r="P580" s="6" t="n"/>
      <c r="R580" t="inlineStr"/>
      <c r="S580" t="inlineStr">
        <is>
          <t>Тариф с завтраком</t>
        </is>
      </c>
      <c r="T580" t="n">
        <v>0</v>
      </c>
      <c r="U580" t="n">
        <v>26286.15</v>
      </c>
    </row>
    <row r="581">
      <c r="A581" t="inlineStr">
        <is>
          <t>20260830-8186-441265449</t>
        </is>
      </c>
      <c r="B581" t="n">
        <v>1</v>
      </c>
      <c r="C581" s="2" t="inlineStr">
        <is>
          <t>Лидия Куковенко</t>
        </is>
      </c>
      <c r="D581" s="3" t="n">
        <v>13114</v>
      </c>
      <c r="E581" s="4" t="n">
        <v>17</v>
      </c>
      <c r="F581" t="inlineStr">
        <is>
          <t>ООО «Интернет Трэвел» (OZON) [Чайковский]</t>
        </is>
      </c>
      <c r="G581" s="3">
        <f>ROUND(D581/(100-E581)*100,2)</f>
        <v/>
      </c>
      <c r="H581" s="5" t="n">
        <v>46264.58333333334</v>
      </c>
      <c r="I581" t="n">
        <v>2</v>
      </c>
      <c r="J581" s="3">
        <f>G581/I581</f>
        <v/>
      </c>
      <c r="K581">
        <f>IF(J581&gt;=5100,"ставка","мин.ставка")</f>
        <v/>
      </c>
      <c r="L581" s="3">
        <f>ROUND(IF(K581="мин.ставка",I581*100,G581/102*2),2)</f>
        <v/>
      </c>
      <c r="M581" s="5" t="n">
        <v>46266.5</v>
      </c>
      <c r="N581" t="inlineStr">
        <is>
          <t>TravelLine OZ2</t>
        </is>
      </c>
      <c r="O581" s="2" t="inlineStr">
        <is>
          <t>СТАНДАРТНЫЙ ДВУХМЕСТНЫЙ НОМЕР (МАНСАРДА)</t>
        </is>
      </c>
      <c r="P581" s="6" t="n"/>
      <c r="R581" t="inlineStr"/>
      <c r="S581" t="inlineStr">
        <is>
          <t>Тариф с завтраком</t>
        </is>
      </c>
      <c r="T581" t="n">
        <v>0</v>
      </c>
      <c r="U581" t="n">
        <v>13114</v>
      </c>
    </row>
    <row r="582">
      <c r="A582" t="inlineStr">
        <is>
          <t>20260904-8186-419608255</t>
        </is>
      </c>
      <c r="B582" t="n">
        <v>1</v>
      </c>
      <c r="C582" s="2" t="inlineStr">
        <is>
          <t>Лидия Рассказова, Анна Рассказова</t>
        </is>
      </c>
      <c r="D582" s="3" t="n">
        <v>26286.15</v>
      </c>
      <c r="E582" s="4" t="n">
        <v>4</v>
      </c>
      <c r="F582" t="inlineStr">
        <is>
          <t>TravelLine Booking Engine [Чайковский]</t>
        </is>
      </c>
      <c r="G582" s="3">
        <f>ROUND(D582/(100-E582)*100,2)</f>
        <v/>
      </c>
      <c r="H582" s="5" t="n">
        <v>46269.58333333334</v>
      </c>
      <c r="I582" t="n">
        <v>2</v>
      </c>
      <c r="J582" s="3">
        <f>G582/I582</f>
        <v/>
      </c>
      <c r="K582">
        <f>IF(J582&gt;=5100,"ставка","мин.ставка")</f>
        <v/>
      </c>
      <c r="L582" s="3">
        <f>ROUND(IF(K582="мин.ставка",I582*100,G582/102*2),2)</f>
        <v/>
      </c>
      <c r="M582" s="5" t="n">
        <v>46271.5</v>
      </c>
      <c r="N582" t="inlineStr">
        <is>
          <t>TravelLine сайт</t>
        </is>
      </c>
      <c r="O582" s="2" t="inlineStr">
        <is>
          <t>СТАНДАРТНЫЙ ДВУХМЕСТНЫЙ НОМЕР</t>
        </is>
      </c>
      <c r="P582" s="6" t="n"/>
      <c r="R582" t="inlineStr"/>
      <c r="S582" t="inlineStr">
        <is>
          <t>Тариф с завтраком</t>
        </is>
      </c>
      <c r="T582" t="n">
        <v>0</v>
      </c>
      <c r="U582" t="n">
        <v>45779.25</v>
      </c>
    </row>
    <row r="583">
      <c r="A583" t="inlineStr">
        <is>
          <t>20260910-8186-449873466</t>
        </is>
      </c>
      <c r="B583" t="n">
        <v>1</v>
      </c>
      <c r="C583" s="2" t="inlineStr">
        <is>
          <t>ЛИДИЯ СУРКОВА, ТАТЬЯНА СМИРНОВА</t>
        </is>
      </c>
      <c r="D583" s="3" t="n">
        <v>22695</v>
      </c>
      <c r="E583" s="4" t="n">
        <v>0</v>
      </c>
      <c r="F583" t="inlineStr">
        <is>
          <t>ООО «ХОМЛИН ЛЭНД» (ПЕГАС) [Чайковский]</t>
        </is>
      </c>
      <c r="G583" s="3">
        <f>ROUND(D583/(100-E583)*100,2)</f>
        <v/>
      </c>
      <c r="H583" s="5" t="n">
        <v>46275.58333333334</v>
      </c>
      <c r="I583" t="n">
        <v>2</v>
      </c>
      <c r="J583" s="3">
        <f>G583/I583</f>
        <v/>
      </c>
      <c r="K583">
        <f>IF(J583&gt;=5100,"ставка","мин.ставка")</f>
        <v/>
      </c>
      <c r="L583" s="3">
        <f>ROUND(IF(K583="мин.ставка",I583*100,G583/102*2),2)</f>
        <v/>
      </c>
      <c r="M583" s="5" t="n">
        <v>46277.5</v>
      </c>
      <c r="N583" t="inlineStr">
        <is>
          <t>TravelLine PGS</t>
        </is>
      </c>
      <c r="O583" s="2" t="inlineStr">
        <is>
          <t>ПОЛУЛЮКС</t>
        </is>
      </c>
      <c r="P583" s="6" t="n"/>
      <c r="R583" t="inlineStr"/>
      <c r="S583" t="inlineStr">
        <is>
          <t>Тариф с завтраком</t>
        </is>
      </c>
      <c r="T583" t="n">
        <v>0</v>
      </c>
      <c r="U583" t="n">
        <v>22695</v>
      </c>
    </row>
    <row r="584">
      <c r="A584" t="inlineStr">
        <is>
          <t>20260918-8186-452114243</t>
        </is>
      </c>
      <c r="B584" t="n">
        <v>1</v>
      </c>
      <c r="C584" s="2" t="inlineStr">
        <is>
          <t>Лилия Бойко</t>
        </is>
      </c>
      <c r="D584" s="3" t="n">
        <v>22348.15</v>
      </c>
      <c r="E584" s="4" t="n">
        <v>4</v>
      </c>
      <c r="F584" t="inlineStr">
        <is>
          <t>TravelLine Booking Engine [Чайковский]</t>
        </is>
      </c>
      <c r="G584" s="3">
        <f>ROUND(D584/(100-E584)*100,2)</f>
        <v/>
      </c>
      <c r="H584" s="5" t="n">
        <v>46283.58333333334</v>
      </c>
      <c r="I584" t="n">
        <v>2</v>
      </c>
      <c r="J584" s="3">
        <f>G584/I584</f>
        <v/>
      </c>
      <c r="K584">
        <f>IF(J584&gt;=5100,"ставка","мин.ставка")</f>
        <v/>
      </c>
      <c r="L584" s="3">
        <f>ROUND(IF(K584="мин.ставка",I584*100,G584/102*2),2)</f>
        <v/>
      </c>
      <c r="M584" s="5" t="n">
        <v>46285.5</v>
      </c>
      <c r="N584" t="inlineStr">
        <is>
          <t>TravelLine сайт</t>
        </is>
      </c>
      <c r="O584" s="2" t="inlineStr">
        <is>
          <t>СТАНДАРТНЫЙ ДВУХМЕСТНЫЙ НОМЕР</t>
        </is>
      </c>
      <c r="P584" s="6" t="n"/>
      <c r="R584" t="inlineStr"/>
      <c r="S584" t="inlineStr">
        <is>
          <t>Тариф с завтраком</t>
        </is>
      </c>
      <c r="T584" t="n">
        <v>0</v>
      </c>
      <c r="U584" t="n">
        <v>22348.15</v>
      </c>
    </row>
    <row r="585">
      <c r="A585" t="inlineStr">
        <is>
          <t>20260713-8186-435959048</t>
        </is>
      </c>
      <c r="B585" t="n">
        <v>1</v>
      </c>
      <c r="C585" s="2" t="inlineStr">
        <is>
          <t>ЛИЛИЯ САМОХВАЛОВА, ВАЛЕРИЙ САМОХВАЛОВ</t>
        </is>
      </c>
      <c r="D585" s="3" t="n">
        <v>36960</v>
      </c>
      <c r="E585" s="4" t="n">
        <v>20</v>
      </c>
      <c r="F585" t="inlineStr">
        <is>
          <t>ООО "ХБ-ПРО" [Чайковский]</t>
        </is>
      </c>
      <c r="G585" s="3">
        <f>ROUND(D585/(100-E585)*100,2)</f>
        <v/>
      </c>
      <c r="H585" s="5" t="n">
        <v>46216.58333333334</v>
      </c>
      <c r="I585" t="n">
        <v>3</v>
      </c>
      <c r="J585" s="3">
        <f>G585/I585</f>
        <v/>
      </c>
      <c r="K585">
        <f>IF(J585&gt;=5100,"ставка","мин.ставка")</f>
        <v/>
      </c>
      <c r="L585" s="3">
        <f>ROUND(IF(K585="мин.ставка",I585*100,G585/102*2),2)</f>
        <v/>
      </c>
      <c r="M585" s="5" t="n">
        <v>46219.5</v>
      </c>
      <c r="N585" t="inlineStr">
        <is>
          <t>TravelLine UTS</t>
        </is>
      </c>
      <c r="O585" s="2" t="inlineStr">
        <is>
          <t>УЛУЧШЕННЫЙ ДВУХМЕСТНЫЙ НОМЕР</t>
        </is>
      </c>
      <c r="P585" s="6" t="n"/>
      <c r="R585" t="inlineStr"/>
      <c r="S585" t="inlineStr">
        <is>
          <t>Тариф с завтраком</t>
        </is>
      </c>
      <c r="T585" t="n">
        <v>800</v>
      </c>
      <c r="U585" t="n">
        <v>37760</v>
      </c>
    </row>
    <row r="586">
      <c r="A586" t="inlineStr">
        <is>
          <t>20260728-8186-453831391</t>
        </is>
      </c>
      <c r="B586" t="n">
        <v>1</v>
      </c>
      <c r="C586" s="2" t="inlineStr">
        <is>
          <t>лия виноградова</t>
        </is>
      </c>
      <c r="D586" s="3" t="n">
        <v>40200</v>
      </c>
      <c r="E586" s="4" t="n">
        <v>0</v>
      </c>
      <c r="F586" t="inlineStr">
        <is>
          <t>Прямые бронирования (стойка) [Чайковский]</t>
        </is>
      </c>
      <c r="G586" s="3">
        <f>ROUND(D586/(100-E586)*100,2)</f>
        <v/>
      </c>
      <c r="H586" s="5" t="n">
        <v>46231.58333333334</v>
      </c>
      <c r="I586" t="n">
        <v>3</v>
      </c>
      <c r="J586" s="3">
        <f>G586/I586</f>
        <v/>
      </c>
      <c r="K586">
        <f>IF(J586&gt;=5100,"ставка","мин.ставка")</f>
        <v/>
      </c>
      <c r="L586" s="3">
        <f>ROUND(IF(K586="мин.ставка",I586*100,G586/102*2),2)</f>
        <v/>
      </c>
      <c r="M586" s="5" t="n">
        <v>46234.5</v>
      </c>
      <c r="N586" t="inlineStr">
        <is>
          <t>TravelLine ресепшн</t>
        </is>
      </c>
      <c r="O586" s="2" t="inlineStr">
        <is>
          <t>УЛУЧШЕННЫЙ ДВУХМЕСТНЫЙ НОМЕР</t>
        </is>
      </c>
      <c r="P586" s="6" t="n"/>
      <c r="R586" t="inlineStr"/>
      <c r="S586" t="inlineStr">
        <is>
          <t>Тариф с завтраком</t>
        </is>
      </c>
      <c r="T586" t="n">
        <v>0</v>
      </c>
      <c r="U586" t="n">
        <v>40200</v>
      </c>
    </row>
    <row r="587">
      <c r="A587" t="inlineStr">
        <is>
          <t>20260824-8186-461183075</t>
        </is>
      </c>
      <c r="B587" t="n">
        <v>1</v>
      </c>
      <c r="C587" s="2" t="inlineStr">
        <is>
          <t>Лора Покровина</t>
        </is>
      </c>
      <c r="D587" s="3" t="n">
        <v>9647.5</v>
      </c>
      <c r="E587" s="4" t="n">
        <v>15</v>
      </c>
      <c r="F587" t="inlineStr">
        <is>
          <t>Trip.com Group [Чайковский]</t>
        </is>
      </c>
      <c r="G587" s="3">
        <f>ROUND(D587/(100-E587)*100,2)</f>
        <v/>
      </c>
      <c r="H587" s="5" t="n">
        <v>46258.58333333334</v>
      </c>
      <c r="I587" t="n">
        <v>1</v>
      </c>
      <c r="J587" s="3">
        <f>G587/I587</f>
        <v/>
      </c>
      <c r="K587">
        <f>IF(J587&gt;=5100,"ставка","мин.ставка")</f>
        <v/>
      </c>
      <c r="L587" s="3">
        <f>ROUND(IF(K587="мин.ставка",I587*100,G587/102*2),2)</f>
        <v/>
      </c>
      <c r="M587" s="5" t="n">
        <v>46259.5</v>
      </c>
      <c r="N587" t="inlineStr">
        <is>
          <t>TravelLine CTP</t>
        </is>
      </c>
      <c r="O587" s="2" t="inlineStr">
        <is>
          <t>СТАНДАРТНЫЙ ДВУХМЕСТНЫЙ НОМЕР</t>
        </is>
      </c>
      <c r="P587" s="6" t="n"/>
      <c r="R587" t="inlineStr"/>
      <c r="S587" t="inlineStr">
        <is>
          <t>Тариф с завтраком</t>
        </is>
      </c>
      <c r="T587" t="n">
        <v>0</v>
      </c>
      <c r="U587" t="n">
        <v>9647.5</v>
      </c>
    </row>
    <row r="588">
      <c r="A588" t="inlineStr">
        <is>
          <t>20260701-8186-446910186</t>
        </is>
      </c>
      <c r="B588" t="n">
        <v>1</v>
      </c>
      <c r="C588" s="2" t="inlineStr">
        <is>
          <t>ЛУАНА АЛИЕВА</t>
        </is>
      </c>
      <c r="D588" s="3" t="n">
        <v>14500</v>
      </c>
      <c r="E588" s="4" t="n">
        <v>0</v>
      </c>
      <c r="F588" t="inlineStr">
        <is>
          <t>Прямые бронирования (стойка) [Чайковский]</t>
        </is>
      </c>
      <c r="G588" s="3">
        <f>ROUND(D588/(100-E588)*100,2)</f>
        <v/>
      </c>
      <c r="H588" s="5" t="n">
        <v>46204.58333333334</v>
      </c>
      <c r="I588" t="n">
        <v>1</v>
      </c>
      <c r="J588" s="3">
        <f>G588/I588</f>
        <v/>
      </c>
      <c r="K588">
        <f>IF(J588&gt;=5100,"ставка","мин.ставка")</f>
        <v/>
      </c>
      <c r="L588" s="3">
        <f>ROUND(IF(K588="мин.ставка",I588*100,G588/102*2),2)</f>
        <v/>
      </c>
      <c r="M588" s="5" t="n">
        <v>46205.5</v>
      </c>
      <c r="N588" t="inlineStr">
        <is>
          <t>TravelLine ресепшн</t>
        </is>
      </c>
      <c r="O588" s="2" t="inlineStr">
        <is>
          <t>ЛЮКС ВТОРОЙ КОРПУС</t>
        </is>
      </c>
      <c r="P588" s="6" t="n"/>
      <c r="R588" t="inlineStr"/>
      <c r="S588" t="inlineStr">
        <is>
          <t>Основной тариф без завтрака</t>
        </is>
      </c>
      <c r="T588" t="n">
        <v>0</v>
      </c>
      <c r="U588" t="n">
        <v>14500</v>
      </c>
    </row>
    <row r="589">
      <c r="A589" t="inlineStr">
        <is>
          <t>20260919-8186-466759616</t>
        </is>
      </c>
      <c r="B589" t="n">
        <v>1</v>
      </c>
      <c r="C589" s="2" t="inlineStr">
        <is>
          <t>ЛЮБОВЬ БОГДАНОВА, АНДРЕЙ БОГДАНОВ</t>
        </is>
      </c>
      <c r="D589" s="3" t="n">
        <v>11214</v>
      </c>
      <c r="E589" s="4" t="n">
        <v>16</v>
      </c>
      <c r="F589" t="inlineStr">
        <is>
          <t>ООО "БРОНИРОВАНИЕ ГОСТИНИЦ" (OSTROVOK) [Чайковский]</t>
        </is>
      </c>
      <c r="G589" s="3">
        <f>ROUND(D589/(100-E589)*100,2)</f>
        <v/>
      </c>
      <c r="H589" s="5" t="n">
        <v>46284.58333333334</v>
      </c>
      <c r="I589" t="n">
        <v>1</v>
      </c>
      <c r="J589" s="3">
        <f>G589/I589</f>
        <v/>
      </c>
      <c r="K589">
        <f>IF(J589&gt;=5100,"ставка","мин.ставка")</f>
        <v/>
      </c>
      <c r="L589" s="3">
        <f>ROUND(IF(K589="мин.ставка",I589*100,G589/102*2),2)</f>
        <v/>
      </c>
      <c r="M589" s="5" t="n">
        <v>46285.5</v>
      </c>
      <c r="N589" t="inlineStr">
        <is>
          <t>TravelLine OTK</t>
        </is>
      </c>
      <c r="O589" s="2" t="inlineStr">
        <is>
          <t>СТАНДАРТНЫЙ ДВУХМЕСТНЫЙ НОМЕР</t>
        </is>
      </c>
      <c r="P589" s="6" t="n"/>
      <c r="R589" t="inlineStr"/>
      <c r="S589" t="inlineStr">
        <is>
          <t>Тариф с завтраком</t>
        </is>
      </c>
      <c r="T589" t="n">
        <v>0</v>
      </c>
      <c r="U589" t="n">
        <v>31962</v>
      </c>
    </row>
    <row r="590">
      <c r="A590" t="inlineStr">
        <is>
          <t>20260729-8186-446362300</t>
        </is>
      </c>
      <c r="B590" t="n">
        <v>1</v>
      </c>
      <c r="C590" s="2" t="inlineStr">
        <is>
          <t>Любовь Дмитриева</t>
        </is>
      </c>
      <c r="D590" s="3" t="n">
        <v>6545</v>
      </c>
      <c r="E590" s="4" t="n">
        <v>15</v>
      </c>
      <c r="F590" t="inlineStr">
        <is>
          <t>ООО «СБО» (Ростелеком) [Чайковский]</t>
        </is>
      </c>
      <c r="G590" s="3">
        <f>ROUND(D590/(100-E590)*100,2)</f>
        <v/>
      </c>
      <c r="H590" s="5" t="n">
        <v>46232.58333333334</v>
      </c>
      <c r="I590" t="n">
        <v>1</v>
      </c>
      <c r="J590" s="3">
        <f>G590/I590</f>
        <v/>
      </c>
      <c r="K590">
        <f>IF(J590&gt;=5100,"ставка","мин.ставка")</f>
        <v/>
      </c>
      <c r="L590" s="3">
        <f>ROUND(IF(K590="мин.ставка",I590*100,G590/102*2),2)</f>
        <v/>
      </c>
      <c r="M590" s="5" t="n">
        <v>46233.5</v>
      </c>
      <c r="N590" t="inlineStr">
        <is>
          <t>TravelLine RTT</t>
        </is>
      </c>
      <c r="O590" s="2" t="inlineStr">
        <is>
          <t>СТАНДАРТНЫЙ ОДНОМЕСТНЫЙ НОМЕР</t>
        </is>
      </c>
      <c r="P590" s="6" t="n"/>
      <c r="R590" t="inlineStr"/>
      <c r="S590" t="inlineStr">
        <is>
          <t>Тариф с завтраком</t>
        </is>
      </c>
      <c r="T590" t="n">
        <v>0</v>
      </c>
      <c r="U590" t="n">
        <v>6545</v>
      </c>
    </row>
    <row r="591">
      <c r="A591" t="inlineStr">
        <is>
          <t>20260930-8186-465893776</t>
        </is>
      </c>
      <c r="B591" t="n">
        <v>1</v>
      </c>
      <c r="C591" s="2" t="inlineStr">
        <is>
          <t>ЛЮБОВЬ ПУШКИНА</t>
        </is>
      </c>
      <c r="D591" s="3" t="n">
        <v>14820</v>
      </c>
      <c r="E591" s="4" t="n">
        <v>18</v>
      </c>
      <c r="F591" t="inlineStr">
        <is>
          <t>Яндекс.Путешествия [Чайковский]</t>
        </is>
      </c>
      <c r="G591" s="3">
        <f>ROUND(D591/(100-E591)*100,2)</f>
        <v/>
      </c>
      <c r="H591" s="5" t="n">
        <v>46295.58333333334</v>
      </c>
      <c r="I591" t="n">
        <v>2</v>
      </c>
      <c r="J591" s="3">
        <f>G591/I591</f>
        <v/>
      </c>
      <c r="K591">
        <f>IF(J591&gt;=5100,"ставка","мин.ставка")</f>
        <v/>
      </c>
      <c r="L591" s="3">
        <f>ROUND(IF(K591="мин.ставка",I591*100,G591/102*2),2)</f>
        <v/>
      </c>
      <c r="M591" s="5" t="n">
        <v>46297.5</v>
      </c>
      <c r="N591" t="inlineStr">
        <is>
          <t>TravelLine YAX</t>
        </is>
      </c>
      <c r="O591" s="2" t="inlineStr">
        <is>
          <t>СТАНДАРТНЫЙ ДВУХМЕСТНЫЙ НОМЕР (МАНСАРДА)</t>
        </is>
      </c>
      <c r="P591" s="6" t="n"/>
      <c r="R591" t="inlineStr"/>
      <c r="S591" t="inlineStr">
        <is>
          <t>Тариф с завтраком</t>
        </is>
      </c>
      <c r="T591" t="n">
        <v>0</v>
      </c>
      <c r="U591" t="n">
        <v>14820</v>
      </c>
    </row>
    <row r="592">
      <c r="A592" t="inlineStr">
        <is>
          <t>20260928-8186-469185491</t>
        </is>
      </c>
      <c r="B592" t="n">
        <v>1</v>
      </c>
      <c r="C592" s="2" t="inlineStr">
        <is>
          <t>ЛЮБОВЬ РЯБОВА, АРТЕМ ЗАВЬЯЛОВ</t>
        </is>
      </c>
      <c r="D592" s="3" t="n">
        <v>17800</v>
      </c>
      <c r="E592" s="4" t="n">
        <v>0</v>
      </c>
      <c r="F592" t="inlineStr">
        <is>
          <t>Прямые бронирования (стойка) [Чайковский]</t>
        </is>
      </c>
      <c r="G592" s="3">
        <f>ROUND(D592/(100-E592)*100,2)</f>
        <v/>
      </c>
      <c r="H592" s="5" t="n">
        <v>46293.58333333334</v>
      </c>
      <c r="I592" t="n">
        <v>1</v>
      </c>
      <c r="J592" s="3">
        <f>G592/I592</f>
        <v/>
      </c>
      <c r="K592">
        <f>IF(J592&gt;=5100,"ставка","мин.ставка")</f>
        <v/>
      </c>
      <c r="L592" s="3">
        <f>ROUND(IF(K592="мин.ставка",I592*100,G592/102*2),2)</f>
        <v/>
      </c>
      <c r="M592" s="5" t="n">
        <v>46294.5</v>
      </c>
      <c r="N592" t="inlineStr">
        <is>
          <t>TravelLine ресепшн</t>
        </is>
      </c>
      <c r="O592" s="2" t="inlineStr">
        <is>
          <t>ЛЮКС ВТОРОЙ КОРПУС</t>
        </is>
      </c>
      <c r="P592" s="6" t="n"/>
      <c r="R592" t="inlineStr"/>
      <c r="S592" t="inlineStr">
        <is>
          <t>Тариф с завтраком</t>
        </is>
      </c>
      <c r="T592" t="n">
        <v>0</v>
      </c>
      <c r="U592" t="n">
        <v>17800</v>
      </c>
    </row>
    <row r="593">
      <c r="A593" t="inlineStr">
        <is>
          <t>20260717-8186-441668446</t>
        </is>
      </c>
      <c r="B593" t="n">
        <v>1</v>
      </c>
      <c r="C593" s="2" t="inlineStr">
        <is>
          <t>Любовь Шубина, ГЛЕБ ТИМОЩЕНКО</t>
        </is>
      </c>
      <c r="D593" s="3" t="n">
        <v>33241.5</v>
      </c>
      <c r="E593" s="4" t="n">
        <v>17</v>
      </c>
      <c r="F593" t="inlineStr">
        <is>
          <t>ООО «Интернет Трэвел» (OZON) [Чайковский]</t>
        </is>
      </c>
      <c r="G593" s="3">
        <f>ROUND(D593/(100-E593)*100,2)</f>
        <v/>
      </c>
      <c r="H593" s="5" t="n">
        <v>46220.58333333334</v>
      </c>
      <c r="I593" t="n">
        <v>3</v>
      </c>
      <c r="J593" s="3">
        <f>G593/I593</f>
        <v/>
      </c>
      <c r="K593">
        <f>IF(J593&gt;=5100,"ставка","мин.ставка")</f>
        <v/>
      </c>
      <c r="L593" s="3">
        <f>ROUND(IF(K593="мин.ставка",I593*100,G593/102*2),2)</f>
        <v/>
      </c>
      <c r="M593" s="5" t="n">
        <v>46223.5</v>
      </c>
      <c r="N593" t="inlineStr">
        <is>
          <t>TravelLine OZ2</t>
        </is>
      </c>
      <c r="O593" s="2" t="inlineStr">
        <is>
          <t>СТАНДАРТНЫЙ ДВУХМЕСТНЫЙ НОМЕР</t>
        </is>
      </c>
      <c r="P593" s="6" t="n"/>
      <c r="R593" t="inlineStr"/>
      <c r="S593" t="inlineStr">
        <is>
          <t>Тариф с завтраком</t>
        </is>
      </c>
      <c r="T593" t="n">
        <v>0</v>
      </c>
      <c r="U593" t="n">
        <v>33241.5</v>
      </c>
    </row>
    <row r="594">
      <c r="A594" t="inlineStr">
        <is>
          <t>20260814-8186-452849702</t>
        </is>
      </c>
      <c r="B594" t="n">
        <v>1</v>
      </c>
      <c r="C594" s="2" t="inlineStr">
        <is>
          <t>ЛЮДМИЛА БЕРЕСНЕВА, Екатерина Береснева</t>
        </is>
      </c>
      <c r="D594" s="3" t="n">
        <v>41269.1</v>
      </c>
      <c r="E594" s="4" t="n">
        <v>4</v>
      </c>
      <c r="F594" t="inlineStr">
        <is>
          <t>TravelLine Booking Engine [Чайковский]</t>
        </is>
      </c>
      <c r="G594" s="3">
        <f>ROUND(D594/(100-E594)*100,2)</f>
        <v/>
      </c>
      <c r="H594" s="5" t="n">
        <v>46248.58333333334</v>
      </c>
      <c r="I594" t="n">
        <v>3</v>
      </c>
      <c r="J594" s="3">
        <f>G594/I594</f>
        <v/>
      </c>
      <c r="K594">
        <f>IF(J594&gt;=5100,"ставка","мин.ставка")</f>
        <v/>
      </c>
      <c r="L594" s="3">
        <f>ROUND(IF(K594="мин.ставка",I594*100,G594/102*2),2)</f>
        <v/>
      </c>
      <c r="M594" s="5" t="n">
        <v>46251.5</v>
      </c>
      <c r="N594" t="inlineStr">
        <is>
          <t>TravelLine сайт</t>
        </is>
      </c>
      <c r="O594" s="2" t="inlineStr">
        <is>
          <t>УЛУЧШЕННЫЙ ДВУХМЕСТНЫЙ НОМЕР</t>
        </is>
      </c>
      <c r="P594" s="6" t="n"/>
      <c r="R594" t="inlineStr"/>
      <c r="S594" t="inlineStr">
        <is>
          <t>Основной тариф без завтрака</t>
        </is>
      </c>
      <c r="T594" t="n">
        <v>0</v>
      </c>
      <c r="U594" t="n">
        <v>41269.1</v>
      </c>
    </row>
    <row r="595">
      <c r="A595" t="inlineStr">
        <is>
          <t>20260711-8186-410900450</t>
        </is>
      </c>
      <c r="B595" t="n">
        <v>1</v>
      </c>
      <c r="C595" s="2" t="inlineStr">
        <is>
          <t>Людмила Никитина, Фёдор Никитин</t>
        </is>
      </c>
      <c r="D595" s="3" t="n">
        <v>13350</v>
      </c>
      <c r="E595" s="4" t="n">
        <v>0</v>
      </c>
      <c r="F595" t="inlineStr">
        <is>
          <t>Прямые бронирования (стойка) [Чайковский]</t>
        </is>
      </c>
      <c r="G595" s="3">
        <f>ROUND(D595/(100-E595)*100,2)</f>
        <v/>
      </c>
      <c r="H595" s="5" t="n">
        <v>46214.58333333334</v>
      </c>
      <c r="I595" t="n">
        <v>1</v>
      </c>
      <c r="J595" s="3">
        <f>G595/I595</f>
        <v/>
      </c>
      <c r="K595">
        <f>IF(J595&gt;=5100,"ставка","мин.ставка")</f>
        <v/>
      </c>
      <c r="L595" s="3">
        <f>ROUND(IF(K595="мин.ставка",I595*100,G595/102*2),2)</f>
        <v/>
      </c>
      <c r="M595" s="5" t="n">
        <v>46215.5</v>
      </c>
      <c r="N595" t="inlineStr">
        <is>
          <t>TravelLine ресепшн</t>
        </is>
      </c>
      <c r="O595" s="2" t="inlineStr">
        <is>
          <t>СТАНДАРТНЫЙ ДВУХМЕСТНЫЙ НОМЕР</t>
        </is>
      </c>
      <c r="P595" s="6" t="n"/>
      <c r="R595" t="inlineStr"/>
      <c r="S595" t="inlineStr">
        <is>
          <t>Тариф с завтраком</t>
        </is>
      </c>
      <c r="T595" t="n">
        <v>0</v>
      </c>
      <c r="U595" t="n">
        <v>13350</v>
      </c>
    </row>
    <row r="596">
      <c r="A596" t="inlineStr">
        <is>
          <t>20260725-8186-452845758</t>
        </is>
      </c>
      <c r="B596" t="n">
        <v>1</v>
      </c>
      <c r="C596" s="2" t="inlineStr">
        <is>
          <t>Ляйсан Пушницына</t>
        </is>
      </c>
      <c r="D596" s="3" t="n">
        <v>6715</v>
      </c>
      <c r="E596" s="4" t="n">
        <v>15</v>
      </c>
      <c r="F596" t="inlineStr">
        <is>
          <t>ООО "БРОНИРОВАНИЕ ГОСТИНИЦ" (OSTROVOK) [Чайковский]</t>
        </is>
      </c>
      <c r="G596" s="3">
        <f>ROUND(D596/(100-E596)*100,2)</f>
        <v/>
      </c>
      <c r="H596" s="5" t="n">
        <v>46228.58333333334</v>
      </c>
      <c r="I596" t="n">
        <v>1</v>
      </c>
      <c r="J596" s="3">
        <f>G596/I596</f>
        <v/>
      </c>
      <c r="K596">
        <f>IF(J596&gt;=5100,"ставка","мин.ставка")</f>
        <v/>
      </c>
      <c r="L596" s="3">
        <f>ROUND(IF(K596="мин.ставка",I596*100,G596/102*2),2)</f>
        <v/>
      </c>
      <c r="M596" s="5" t="n">
        <v>46229.5</v>
      </c>
      <c r="N596" t="inlineStr">
        <is>
          <t>TravelLine OTK</t>
        </is>
      </c>
      <c r="O596" s="2" t="inlineStr">
        <is>
          <t>СТАНДАРТНЫЙ ДВУХМЕСТНЫЙ НОМЕР (МАНСАРДА)</t>
        </is>
      </c>
      <c r="P596" s="6" t="n"/>
      <c r="R596" t="inlineStr"/>
      <c r="S596" t="inlineStr">
        <is>
          <t>Тариф с завтраком</t>
        </is>
      </c>
      <c r="T596" t="n">
        <v>0</v>
      </c>
      <c r="U596" t="n">
        <v>6715</v>
      </c>
    </row>
    <row r="597">
      <c r="A597" t="inlineStr">
        <is>
          <t>20260906-8186-464002736</t>
        </is>
      </c>
      <c r="B597" t="n">
        <v>1</v>
      </c>
      <c r="C597" s="2" t="inlineStr">
        <is>
          <t>МАГОМЕД РАМАЗАНОВ, НАДИЯ ГАДЖИМАГОМЕДОВА</t>
        </is>
      </c>
      <c r="D597" s="3" t="n">
        <v>22428</v>
      </c>
      <c r="E597" s="4" t="n">
        <v>16</v>
      </c>
      <c r="F597" t="inlineStr">
        <is>
          <t>ООО "БРОНИРОВАНИЕ ГОСТИНИЦ" (OSTROVOK) [Чайковский]</t>
        </is>
      </c>
      <c r="G597" s="3">
        <f>ROUND(D597/(100-E597)*100,2)</f>
        <v/>
      </c>
      <c r="H597" s="5" t="n">
        <v>46271.58333333334</v>
      </c>
      <c r="I597" t="n">
        <v>2</v>
      </c>
      <c r="J597" s="3">
        <f>G597/I597</f>
        <v/>
      </c>
      <c r="K597">
        <f>IF(J597&gt;=5100,"ставка","мин.ставка")</f>
        <v/>
      </c>
      <c r="L597" s="3">
        <f>ROUND(IF(K597="мин.ставка",I597*100,G597/102*2),2)</f>
        <v/>
      </c>
      <c r="M597" s="5" t="n">
        <v>46273.5</v>
      </c>
      <c r="N597" t="inlineStr">
        <is>
          <t>TravelLine OTK</t>
        </is>
      </c>
      <c r="O597" s="2" t="inlineStr">
        <is>
          <t>СТАНДАРТНЫЙ ДВУХМЕСТНЫЙ НОМЕР</t>
        </is>
      </c>
      <c r="P597" s="6" t="n"/>
      <c r="R597" t="inlineStr"/>
      <c r="S597" t="inlineStr">
        <is>
          <t>Тариф с завтраком</t>
        </is>
      </c>
      <c r="T597" t="n">
        <v>0</v>
      </c>
      <c r="U597" t="n">
        <v>22428</v>
      </c>
    </row>
    <row r="598">
      <c r="A598" t="inlineStr">
        <is>
          <t>20260826-8186-461708578</t>
        </is>
      </c>
      <c r="B598" t="n">
        <v>1</v>
      </c>
      <c r="C598" s="2" t="inlineStr">
        <is>
          <t>МАКСИМ АБДУРАЗАКОВ</t>
        </is>
      </c>
      <c r="D598" s="3" t="n">
        <v>9080</v>
      </c>
      <c r="E598" s="4" t="n">
        <v>20</v>
      </c>
      <c r="F598" t="inlineStr">
        <is>
          <t>ООО "ХБ-ПРО" [Чайковский]</t>
        </is>
      </c>
      <c r="G598" s="3">
        <f>ROUND(D598/(100-E598)*100,2)</f>
        <v/>
      </c>
      <c r="H598" s="5" t="n">
        <v>46260.58333333334</v>
      </c>
      <c r="I598" t="n">
        <v>1</v>
      </c>
      <c r="J598" s="3">
        <f>G598/I598</f>
        <v/>
      </c>
      <c r="K598">
        <f>IF(J598&gt;=5100,"ставка","мин.ставка")</f>
        <v/>
      </c>
      <c r="L598" s="3">
        <f>ROUND(IF(K598="мин.ставка",I598*100,G598/102*2),2)</f>
        <v/>
      </c>
      <c r="M598" s="5" t="n">
        <v>46261.5</v>
      </c>
      <c r="N598" t="inlineStr">
        <is>
          <t>TravelLine UTS</t>
        </is>
      </c>
      <c r="O598" s="2" t="inlineStr">
        <is>
          <t>ПОЛУЛЮКС</t>
        </is>
      </c>
      <c r="P598" s="6" t="n"/>
      <c r="R598" t="inlineStr"/>
      <c r="S598" t="inlineStr">
        <is>
          <t>Тариф с завтраком</t>
        </is>
      </c>
      <c r="T598" t="n">
        <v>0</v>
      </c>
      <c r="U598" t="n">
        <v>9080</v>
      </c>
    </row>
    <row r="599">
      <c r="A599" t="inlineStr">
        <is>
          <t>20260812-8186-456611452</t>
        </is>
      </c>
      <c r="B599" t="n">
        <v>1</v>
      </c>
      <c r="C599" s="2" t="inlineStr">
        <is>
          <t>Максим Акентьев</t>
        </is>
      </c>
      <c r="D599" s="3" t="n">
        <v>6545</v>
      </c>
      <c r="E599" s="4" t="n">
        <v>15</v>
      </c>
      <c r="F599" t="inlineStr">
        <is>
          <t>ООО «СБО» (Ростелеком) [Чайковский]</t>
        </is>
      </c>
      <c r="G599" s="3">
        <f>ROUND(D599/(100-E599)*100,2)</f>
        <v/>
      </c>
      <c r="H599" s="5" t="n">
        <v>46246.58333333334</v>
      </c>
      <c r="I599" t="n">
        <v>1</v>
      </c>
      <c r="J599" s="3">
        <f>G599/I599</f>
        <v/>
      </c>
      <c r="K599">
        <f>IF(J599&gt;=5100,"ставка","мин.ставка")</f>
        <v/>
      </c>
      <c r="L599" s="3">
        <f>ROUND(IF(K599="мин.ставка",I599*100,G599/102*2),2)</f>
        <v/>
      </c>
      <c r="M599" s="5" t="n">
        <v>46247.5</v>
      </c>
      <c r="N599" t="inlineStr">
        <is>
          <t>TravelLine RTT</t>
        </is>
      </c>
      <c r="O599" s="2" t="inlineStr">
        <is>
          <t>СТАНДАРТНЫЙ ОДНОМЕСТНЫЙ НОМЕР</t>
        </is>
      </c>
      <c r="P599" s="6" t="n"/>
      <c r="R599" t="inlineStr"/>
      <c r="S599" t="inlineStr">
        <is>
          <t>Тариф с завтраком</t>
        </is>
      </c>
      <c r="T599" t="n">
        <v>0</v>
      </c>
      <c r="U599" t="n">
        <v>6545</v>
      </c>
    </row>
    <row r="600">
      <c r="A600" t="inlineStr">
        <is>
          <t>20260828-8186-462043143</t>
        </is>
      </c>
      <c r="B600" t="n">
        <v>1</v>
      </c>
      <c r="C600" s="2" t="inlineStr">
        <is>
          <t>Максим Бумагин, Екатерина Небогатова</t>
        </is>
      </c>
      <c r="D600" s="3" t="n">
        <v>24640</v>
      </c>
      <c r="E600" s="4" t="n">
        <v>20</v>
      </c>
      <c r="F600" t="inlineStr">
        <is>
          <t>ООО «Дубль Гис» (OTELLO) [Чайковский]</t>
        </is>
      </c>
      <c r="G600" s="3">
        <f>ROUND(D600/(100-E600)*100,2)</f>
        <v/>
      </c>
      <c r="H600" s="5" t="n">
        <v>46262.58333333334</v>
      </c>
      <c r="I600" t="n">
        <v>2</v>
      </c>
      <c r="J600" s="3">
        <f>G600/I600</f>
        <v/>
      </c>
      <c r="K600">
        <f>IF(J600&gt;=5100,"ставка","мин.ставка")</f>
        <v/>
      </c>
      <c r="L600" s="3">
        <f>ROUND(IF(K600="мин.ставка",I600*100,G600/102*2),2)</f>
        <v/>
      </c>
      <c r="M600" s="5" t="n">
        <v>46264.5</v>
      </c>
      <c r="N600" t="inlineStr">
        <is>
          <t>TravelLine OL2</t>
        </is>
      </c>
      <c r="O600" s="2" t="inlineStr">
        <is>
          <t>ЛЮКС ВТОРОЙ КОРПУС</t>
        </is>
      </c>
      <c r="P600" s="6" t="n"/>
      <c r="R600" t="inlineStr"/>
      <c r="S600" t="inlineStr">
        <is>
          <t>Тариф с завтраком</t>
        </is>
      </c>
      <c r="T600" t="n">
        <v>0</v>
      </c>
      <c r="U600" t="n">
        <v>24640</v>
      </c>
    </row>
    <row r="601">
      <c r="A601" t="inlineStr">
        <is>
          <t>20260814-8186-435423092</t>
        </is>
      </c>
      <c r="B601" t="n">
        <v>1</v>
      </c>
      <c r="C601" s="2" t="inlineStr">
        <is>
          <t>Максим Головенко, Анна Минакова</t>
        </is>
      </c>
      <c r="D601" s="3" t="n">
        <v>26400</v>
      </c>
      <c r="E601" s="4" t="n">
        <v>18</v>
      </c>
      <c r="F601" t="inlineStr">
        <is>
          <t>Яндекс.Путешествия [Чайковский]</t>
        </is>
      </c>
      <c r="G601" s="3">
        <f>ROUND(D601/(100-E601)*100,2)</f>
        <v/>
      </c>
      <c r="H601" s="5" t="n">
        <v>46248.58333333334</v>
      </c>
      <c r="I601" t="n">
        <v>2</v>
      </c>
      <c r="J601" s="3">
        <f>G601/I601</f>
        <v/>
      </c>
      <c r="K601">
        <f>IF(J601&gt;=5100,"ставка","мин.ставка")</f>
        <v/>
      </c>
      <c r="L601" s="3">
        <f>ROUND(IF(K601="мин.ставка",I601*100,G601/102*2),2)</f>
        <v/>
      </c>
      <c r="M601" s="5" t="n">
        <v>46250.5</v>
      </c>
      <c r="N601" t="inlineStr">
        <is>
          <t>TravelLine YAX</t>
        </is>
      </c>
      <c r="O601" s="2" t="inlineStr">
        <is>
          <t>ПОЛУЛЮКС</t>
        </is>
      </c>
      <c r="P601" s="6" t="n"/>
      <c r="R601" t="inlineStr"/>
      <c r="S601" t="inlineStr">
        <is>
          <t>Тариф с завтраком</t>
        </is>
      </c>
      <c r="T601" t="n">
        <v>0</v>
      </c>
      <c r="U601" t="n">
        <v>26400</v>
      </c>
    </row>
    <row r="602">
      <c r="A602" t="inlineStr">
        <is>
          <t>20260808-8186-450140561</t>
        </is>
      </c>
      <c r="B602" t="n">
        <v>1</v>
      </c>
      <c r="C602" s="2" t="inlineStr">
        <is>
          <t>Максим Густайтис, Анна Шинкаренко</t>
        </is>
      </c>
      <c r="D602" s="3" t="n">
        <v>13860</v>
      </c>
      <c r="E602" s="4" t="n">
        <v>0</v>
      </c>
      <c r="F602" t="inlineStr">
        <is>
          <t>Прямые бронирования (стойка) [Чайковский]</t>
        </is>
      </c>
      <c r="G602" s="3">
        <f>ROUND(D602/(100-E602)*100,2)</f>
        <v/>
      </c>
      <c r="H602" s="5" t="n">
        <v>46242.58333333334</v>
      </c>
      <c r="I602" t="n">
        <v>1</v>
      </c>
      <c r="J602" s="3">
        <f>G602/I602</f>
        <v/>
      </c>
      <c r="K602">
        <f>IF(J602&gt;=5100,"ставка","мин.ставка")</f>
        <v/>
      </c>
      <c r="L602" s="3">
        <f>ROUND(IF(K602="мин.ставка",I602*100,G602/102*2),2)</f>
        <v/>
      </c>
      <c r="M602" s="5" t="n">
        <v>46243.5</v>
      </c>
      <c r="N602" t="inlineStr">
        <is>
          <t>TravelLine ресепшн</t>
        </is>
      </c>
      <c r="O602" s="2" t="inlineStr">
        <is>
          <t>УЛУЧШЕННЫЙ ДВУХМЕСТНЫЙ НОМЕР</t>
        </is>
      </c>
      <c r="P602" s="6" t="n"/>
      <c r="R602" t="inlineStr"/>
      <c r="S602" t="inlineStr">
        <is>
          <t>Тариф с завтраком</t>
        </is>
      </c>
      <c r="T602" t="n">
        <v>0</v>
      </c>
      <c r="U602" t="n">
        <v>13860</v>
      </c>
    </row>
    <row r="603">
      <c r="A603" t="inlineStr">
        <is>
          <t>20260712-8186-429226347</t>
        </is>
      </c>
      <c r="B603" t="n">
        <v>1</v>
      </c>
      <c r="C603" s="2" t="inlineStr">
        <is>
          <t>Максим Дербеденев, Юлия Папина</t>
        </is>
      </c>
      <c r="D603" s="3" t="n">
        <v>73920</v>
      </c>
      <c r="E603" s="4" t="n">
        <v>18</v>
      </c>
      <c r="F603" t="inlineStr">
        <is>
          <t>Яндекс.Путешествия [Чайковский]</t>
        </is>
      </c>
      <c r="G603" s="3">
        <f>ROUND(D603/(100-E603)*100,2)</f>
        <v/>
      </c>
      <c r="H603" s="5" t="n">
        <v>46215.58333333334</v>
      </c>
      <c r="I603" t="n">
        <v>6</v>
      </c>
      <c r="J603" s="3">
        <f>G603/I603</f>
        <v/>
      </c>
      <c r="K603">
        <f>IF(J603&gt;=5100,"ставка","мин.ставка")</f>
        <v/>
      </c>
      <c r="L603" s="3">
        <f>ROUND(IF(K603="мин.ставка",I603*100,G603/102*2),2)</f>
        <v/>
      </c>
      <c r="M603" s="5" t="n">
        <v>46221.5</v>
      </c>
      <c r="N603" t="inlineStr">
        <is>
          <t>TravelLine YAX</t>
        </is>
      </c>
      <c r="O603" s="2" t="inlineStr">
        <is>
          <t>УЛУЧШЕННЫЙ ДВУХМЕСТНЫЙ НОМЕР</t>
        </is>
      </c>
      <c r="P603" s="6" t="n"/>
      <c r="R603" t="inlineStr"/>
      <c r="S603" t="inlineStr">
        <is>
          <t>Тариф с завтраком</t>
        </is>
      </c>
      <c r="T603" t="n">
        <v>0</v>
      </c>
      <c r="U603" t="n">
        <v>73920</v>
      </c>
    </row>
    <row r="604">
      <c r="A604" t="inlineStr">
        <is>
          <t>20260927-8186-468959350</t>
        </is>
      </c>
      <c r="B604" t="n">
        <v>1</v>
      </c>
      <c r="C604" s="2" t="inlineStr">
        <is>
          <t>МАКСИМ ДРОЗДОВИЧ</t>
        </is>
      </c>
      <c r="D604" s="3" t="n">
        <v>11850</v>
      </c>
      <c r="E604" s="4" t="n">
        <v>0</v>
      </c>
      <c r="F604" t="inlineStr">
        <is>
          <t>Прямые бронирования (стойка) [Чайковский]</t>
        </is>
      </c>
      <c r="G604" s="3">
        <f>ROUND(D604/(100-E604)*100,2)</f>
        <v/>
      </c>
      <c r="H604" s="5" t="n">
        <v>46292.58333333334</v>
      </c>
      <c r="I604" t="n">
        <v>1</v>
      </c>
      <c r="J604" s="3">
        <f>G604/I604</f>
        <v/>
      </c>
      <c r="K604">
        <f>IF(J604&gt;=5100,"ставка","мин.ставка")</f>
        <v/>
      </c>
      <c r="L604" s="3">
        <f>ROUND(IF(K604="мин.ставка",I604*100,G604/102*2),2)</f>
        <v/>
      </c>
      <c r="M604" s="5" t="n">
        <v>46293.5</v>
      </c>
      <c r="N604" t="inlineStr">
        <is>
          <t>TravelLine ресепшн</t>
        </is>
      </c>
      <c r="O604" s="2" t="inlineStr">
        <is>
          <t>СТАНДАРТНЫЙ ДВУХМЕСТНЫЙ НОМЕР</t>
        </is>
      </c>
      <c r="P604" s="6" t="n"/>
      <c r="R604" t="inlineStr"/>
      <c r="S604" t="inlineStr">
        <is>
          <t>Основной тариф без завтрака</t>
        </is>
      </c>
      <c r="T604" t="n">
        <v>0</v>
      </c>
      <c r="U604" t="n">
        <v>11850</v>
      </c>
    </row>
    <row r="605">
      <c r="A605" t="inlineStr">
        <is>
          <t>20260727-8186-453507191</t>
        </is>
      </c>
      <c r="B605" t="n">
        <v>1</v>
      </c>
      <c r="C605" s="2" t="inlineStr">
        <is>
          <t>Максим Залывский</t>
        </is>
      </c>
      <c r="D605" s="3" t="n">
        <v>15130</v>
      </c>
      <c r="E605" s="4" t="n">
        <v>15</v>
      </c>
      <c r="F605" t="inlineStr">
        <is>
          <t>ООО "БРОНИРОВАНИЕ ГОСТИНИЦ" (OSTROVOK) [Чайковский]</t>
        </is>
      </c>
      <c r="G605" s="3">
        <f>ROUND(D605/(100-E605)*100,2)</f>
        <v/>
      </c>
      <c r="H605" s="5" t="n">
        <v>46230.58333333334</v>
      </c>
      <c r="I605" t="n">
        <v>2</v>
      </c>
      <c r="J605" s="3">
        <f>G605/I605</f>
        <v/>
      </c>
      <c r="K605">
        <f>IF(J605&gt;=5100,"ставка","мин.ставка")</f>
        <v/>
      </c>
      <c r="L605" s="3">
        <f>ROUND(IF(K605="мин.ставка",I605*100,G605/102*2),2)</f>
        <v/>
      </c>
      <c r="M605" s="5" t="n">
        <v>46232.5</v>
      </c>
      <c r="N605" t="inlineStr">
        <is>
          <t>TravelLine OTK</t>
        </is>
      </c>
      <c r="O605" s="2" t="inlineStr">
        <is>
          <t>СТАНДАРТНЫЙ ДВУХМЕСТНЫЙ НОМЕР</t>
        </is>
      </c>
      <c r="P605" s="6" t="n"/>
      <c r="R605" t="inlineStr"/>
      <c r="S605" t="inlineStr">
        <is>
          <t>Тариф с завтраком</t>
        </is>
      </c>
      <c r="T605" t="n">
        <v>0</v>
      </c>
      <c r="U605" t="n">
        <v>15130</v>
      </c>
    </row>
    <row r="606">
      <c r="A606" t="inlineStr">
        <is>
          <t>20260907-8186-463782784</t>
        </is>
      </c>
      <c r="B606" t="n">
        <v>1</v>
      </c>
      <c r="C606" s="2" t="inlineStr">
        <is>
          <t>Максим Королев, Кристина Теркачева</t>
        </is>
      </c>
      <c r="D606" s="3" t="n">
        <v>22161</v>
      </c>
      <c r="E606" s="4" t="n">
        <v>17</v>
      </c>
      <c r="F606" t="inlineStr">
        <is>
          <t>ООО «Интернет Трэвел» (OZON) [Чайковский]</t>
        </is>
      </c>
      <c r="G606" s="3">
        <f>ROUND(D606/(100-E606)*100,2)</f>
        <v/>
      </c>
      <c r="H606" s="5" t="n">
        <v>46272.58333333334</v>
      </c>
      <c r="I606" t="n">
        <v>2</v>
      </c>
      <c r="J606" s="3">
        <f>G606/I606</f>
        <v/>
      </c>
      <c r="K606">
        <f>IF(J606&gt;=5100,"ставка","мин.ставка")</f>
        <v/>
      </c>
      <c r="L606" s="3">
        <f>ROUND(IF(K606="мин.ставка",I606*100,G606/102*2),2)</f>
        <v/>
      </c>
      <c r="M606" s="5" t="n">
        <v>46274.5</v>
      </c>
      <c r="N606" t="inlineStr">
        <is>
          <t>TravelLine OZ2</t>
        </is>
      </c>
      <c r="O606" s="2" t="inlineStr">
        <is>
          <t>ЛЮКС ВТОРОЙ КОРПУС</t>
        </is>
      </c>
      <c r="P606" s="6" t="n"/>
      <c r="R606" t="inlineStr"/>
      <c r="S606" t="inlineStr">
        <is>
          <t>Тариф с завтраком</t>
        </is>
      </c>
      <c r="T606" t="n">
        <v>0</v>
      </c>
      <c r="U606" t="n">
        <v>22161</v>
      </c>
    </row>
    <row r="607">
      <c r="A607" t="inlineStr">
        <is>
          <t>20260901-8186-427494727</t>
        </is>
      </c>
      <c r="B607" t="n">
        <v>1</v>
      </c>
      <c r="C607" s="2" t="inlineStr">
        <is>
          <t>Максим Мусарин, Анастасия Михайлова</t>
        </is>
      </c>
      <c r="D607" s="3" t="n">
        <v>47520</v>
      </c>
      <c r="E607" s="4" t="n">
        <v>20</v>
      </c>
      <c r="F607" t="inlineStr">
        <is>
          <t>ООО "КОМПАНИЯ БРОНЕВИК" [Чайковский]</t>
        </is>
      </c>
      <c r="G607" s="3">
        <f>ROUND(D607/(100-E607)*100,2)</f>
        <v/>
      </c>
      <c r="H607" s="5" t="n">
        <v>46266.58333333334</v>
      </c>
      <c r="I607" t="n">
        <v>6</v>
      </c>
      <c r="J607" s="3">
        <f>G607/I607</f>
        <v/>
      </c>
      <c r="K607">
        <f>IF(J607&gt;=5100,"ставка","мин.ставка")</f>
        <v/>
      </c>
      <c r="L607" s="3">
        <f>ROUND(IF(K607="мин.ставка",I607*100,G607/102*2),2)</f>
        <v/>
      </c>
      <c r="M607" s="5" t="n">
        <v>46272.5</v>
      </c>
      <c r="N607" t="inlineStr">
        <is>
          <t>TravelLine BR2</t>
        </is>
      </c>
      <c r="O607" s="2" t="inlineStr">
        <is>
          <t>СТАНДАРТНЫЙ ДВУХМЕСТНЫЙ НОМЕР (МАНСАРДА)</t>
        </is>
      </c>
      <c r="P607" s="6" t="n"/>
      <c r="R607" t="inlineStr"/>
      <c r="S607" t="inlineStr">
        <is>
          <t>Тариф с завтраком</t>
        </is>
      </c>
      <c r="T607" t="n">
        <v>0</v>
      </c>
      <c r="U607" t="n">
        <v>47520</v>
      </c>
    </row>
    <row r="608">
      <c r="A608" t="inlineStr">
        <is>
          <t>20260822-8186-451850888</t>
        </is>
      </c>
      <c r="B608" t="n">
        <v>1</v>
      </c>
      <c r="C608" s="2" t="inlineStr">
        <is>
          <t>МАКСИМ Панов, ЕКАТЕРИНА Панова</t>
        </is>
      </c>
      <c r="D608" s="3" t="n">
        <v>53400</v>
      </c>
      <c r="E608" s="4" t="n">
        <v>20</v>
      </c>
      <c r="F608" t="inlineStr">
        <is>
          <t>ООО "КОМПАНИЯ БРОНЕВИК" [Чайковский]</t>
        </is>
      </c>
      <c r="G608" s="3">
        <f>ROUND(D608/(100-E608)*100,2)</f>
        <v/>
      </c>
      <c r="H608" s="5" t="n">
        <v>46256.58333333334</v>
      </c>
      <c r="I608" t="n">
        <v>5</v>
      </c>
      <c r="J608" s="3">
        <f>G608/I608</f>
        <v/>
      </c>
      <c r="K608">
        <f>IF(J608&gt;=5100,"ставка","мин.ставка")</f>
        <v/>
      </c>
      <c r="L608" s="3">
        <f>ROUND(IF(K608="мин.ставка",I608*100,G608/102*2),2)</f>
        <v/>
      </c>
      <c r="M608" s="5" t="n">
        <v>46261.5</v>
      </c>
      <c r="N608" t="inlineStr">
        <is>
          <t>TravelLine BR2</t>
        </is>
      </c>
      <c r="O608" s="2" t="inlineStr">
        <is>
          <t>СТАНДАРТНЫЙ ДВУХМЕСТНЫЙ НОМЕР</t>
        </is>
      </c>
      <c r="P608" s="6" t="n"/>
      <c r="R608" t="inlineStr"/>
      <c r="S608" t="inlineStr">
        <is>
          <t>Тариф с завтраком</t>
        </is>
      </c>
      <c r="T608" t="n">
        <v>720</v>
      </c>
      <c r="U608" t="n">
        <v>54120</v>
      </c>
    </row>
    <row r="609">
      <c r="A609" t="inlineStr">
        <is>
          <t>20260827-8186-457788846</t>
        </is>
      </c>
      <c r="B609" t="n">
        <v>1</v>
      </c>
      <c r="C609" s="2" t="inlineStr">
        <is>
          <t>Максим Пономарев</t>
        </is>
      </c>
      <c r="D609" s="3" t="n">
        <v>34050</v>
      </c>
      <c r="E609" s="4" t="n">
        <v>0</v>
      </c>
      <c r="F609" t="inlineStr">
        <is>
          <t>Прямые бронирования (стойка) [Чайковский]</t>
        </is>
      </c>
      <c r="G609" s="3">
        <f>ROUND(D609/(100-E609)*100,2)</f>
        <v/>
      </c>
      <c r="H609" s="5" t="n">
        <v>46261.58333333334</v>
      </c>
      <c r="I609" t="n">
        <v>3</v>
      </c>
      <c r="J609" s="3">
        <f>G609/I609</f>
        <v/>
      </c>
      <c r="K609">
        <f>IF(J609&gt;=5100,"ставка","мин.ставка")</f>
        <v/>
      </c>
      <c r="L609" s="3">
        <f>ROUND(IF(K609="мин.ставка",I609*100,G609/102*2),2)</f>
        <v/>
      </c>
      <c r="M609" s="5" t="n">
        <v>46264.5</v>
      </c>
      <c r="N609" t="inlineStr">
        <is>
          <t>TravelLine ресепшн</t>
        </is>
      </c>
      <c r="O609" s="2" t="inlineStr">
        <is>
          <t>СТАНДАРТНЫЙ ДВУХМЕСТНЫЙ НОМЕР</t>
        </is>
      </c>
      <c r="P609" s="6" t="n"/>
      <c r="R609" t="inlineStr"/>
      <c r="S609" t="inlineStr">
        <is>
          <t>Тариф с завтраком</t>
        </is>
      </c>
      <c r="T609" t="n">
        <v>0</v>
      </c>
      <c r="U609" t="n">
        <v>34050</v>
      </c>
    </row>
    <row r="610">
      <c r="A610" t="inlineStr">
        <is>
          <t>20260905-8186-463791547</t>
        </is>
      </c>
      <c r="B610" t="n">
        <v>1</v>
      </c>
      <c r="C610" s="2" t="inlineStr">
        <is>
          <t>Максим Сачков</t>
        </is>
      </c>
      <c r="D610" s="3" t="n">
        <v>5775</v>
      </c>
      <c r="E610" s="4" t="n">
        <v>18</v>
      </c>
      <c r="F610" t="inlineStr">
        <is>
          <t>Яндекс.Путешествия [Чайковский]</t>
        </is>
      </c>
      <c r="G610" s="3">
        <f>ROUND(D610/(100-E610)*100,2)</f>
        <v/>
      </c>
      <c r="H610" s="5" t="n">
        <v>46270.58333333334</v>
      </c>
      <c r="I610" t="n">
        <v>1</v>
      </c>
      <c r="J610" s="3">
        <f>G610/I610</f>
        <v/>
      </c>
      <c r="K610">
        <f>IF(J610&gt;=5100,"ставка","мин.ставка")</f>
        <v/>
      </c>
      <c r="L610" s="3">
        <f>ROUND(IF(K610="мин.ставка",I610*100,G610/102*2),2)</f>
        <v/>
      </c>
      <c r="M610" s="5" t="n">
        <v>46271.5</v>
      </c>
      <c r="N610" t="inlineStr">
        <is>
          <t>TravelLine YAX</t>
        </is>
      </c>
      <c r="O610" s="2" t="inlineStr">
        <is>
          <t>СТАНДАРТНЫЙ ОДНОМЕСТНЫЙ НОМЕР</t>
        </is>
      </c>
      <c r="P610" s="6" t="n"/>
      <c r="R610" t="inlineStr"/>
      <c r="S610" t="inlineStr">
        <is>
          <t>Тариф с завтраком</t>
        </is>
      </c>
      <c r="T610" t="n">
        <v>0</v>
      </c>
      <c r="U610" t="n">
        <v>5775</v>
      </c>
    </row>
    <row r="611">
      <c r="A611" t="inlineStr">
        <is>
          <t>20260802-8186-454751117</t>
        </is>
      </c>
      <c r="B611" t="n">
        <v>1</v>
      </c>
      <c r="C611" s="2" t="inlineStr">
        <is>
          <t>Максим Серов, АННА СЕРОВА</t>
        </is>
      </c>
      <c r="D611" s="3" t="n">
        <v>7920</v>
      </c>
      <c r="E611" s="4" t="n">
        <v>18</v>
      </c>
      <c r="F611" t="inlineStr">
        <is>
          <t>Яндекс.Путешествия [Чайковский]</t>
        </is>
      </c>
      <c r="G611" s="3">
        <f>ROUND(D611/(100-E611)*100,2)</f>
        <v/>
      </c>
      <c r="H611" s="5" t="n">
        <v>46236.58333333334</v>
      </c>
      <c r="I611" t="n">
        <v>1</v>
      </c>
      <c r="J611" s="3">
        <f>G611/I611</f>
        <v/>
      </c>
      <c r="K611">
        <f>IF(J611&gt;=5100,"ставка","мин.ставка")</f>
        <v/>
      </c>
      <c r="L611" s="3">
        <f>ROUND(IF(K611="мин.ставка",I611*100,G611/102*2),2)</f>
        <v/>
      </c>
      <c r="M611" s="5" t="n">
        <v>46237.5</v>
      </c>
      <c r="N611" t="inlineStr">
        <is>
          <t>TravelLine YAX</t>
        </is>
      </c>
      <c r="O611" s="2" t="inlineStr">
        <is>
          <t>СТАНДАРТНЫЙ ДВУХМЕСТНЫЙ НОМЕР (МАНСАРДА)</t>
        </is>
      </c>
      <c r="P611" s="6" t="n"/>
      <c r="R611" t="inlineStr"/>
      <c r="S611" t="inlineStr">
        <is>
          <t>Тариф с завтраком</t>
        </is>
      </c>
      <c r="T611" t="n">
        <v>0</v>
      </c>
      <c r="U611" t="n">
        <v>7920</v>
      </c>
    </row>
    <row r="612">
      <c r="A612" t="inlineStr">
        <is>
          <t>20260920-8186-467279770</t>
        </is>
      </c>
      <c r="B612" t="n">
        <v>1</v>
      </c>
      <c r="C612" s="2" t="inlineStr">
        <is>
          <t>Максим Симоненко, Софья Курдяева</t>
        </is>
      </c>
      <c r="D612" s="3" t="n">
        <v>10012.5</v>
      </c>
      <c r="E612" s="4" t="n">
        <v>18</v>
      </c>
      <c r="F612" t="inlineStr">
        <is>
          <t>Яндекс.Путешествия [Чайковский]</t>
        </is>
      </c>
      <c r="G612" s="3">
        <f>ROUND(D612/(100-E612)*100,2)</f>
        <v/>
      </c>
      <c r="H612" s="5" t="n">
        <v>46285.58333333334</v>
      </c>
      <c r="I612" t="n">
        <v>1</v>
      </c>
      <c r="J612" s="3">
        <f>G612/I612</f>
        <v/>
      </c>
      <c r="K612">
        <f>IF(J612&gt;=5100,"ставка","мин.ставка")</f>
        <v/>
      </c>
      <c r="L612" s="3">
        <f>ROUND(IF(K612="мин.ставка",I612*100,G612/102*2),2)</f>
        <v/>
      </c>
      <c r="M612" s="5" t="n">
        <v>46286.5</v>
      </c>
      <c r="N612" t="inlineStr">
        <is>
          <t>TravelLine YAX</t>
        </is>
      </c>
      <c r="O612" s="2" t="inlineStr">
        <is>
          <t>СТАНДАРТНЫЙ ДВУХМЕСТНЫЙ НОМЕР</t>
        </is>
      </c>
      <c r="P612" s="6" t="n"/>
      <c r="R612" t="inlineStr"/>
      <c r="S612" t="inlineStr">
        <is>
          <t>Тариф с завтраком</t>
        </is>
      </c>
      <c r="T612" t="n">
        <v>0</v>
      </c>
      <c r="U612" t="n">
        <v>10012.5</v>
      </c>
    </row>
    <row r="613">
      <c r="A613" t="inlineStr">
        <is>
          <t>20260919-8186-452147983</t>
        </is>
      </c>
      <c r="B613" t="n">
        <v>1</v>
      </c>
      <c r="C613" s="2" t="inlineStr">
        <is>
          <t>Максим Ступин, АННА СТУПИНА</t>
        </is>
      </c>
      <c r="D613" s="3" t="n">
        <v>66549.75</v>
      </c>
      <c r="E613" s="4" t="n">
        <v>4</v>
      </c>
      <c r="F613" t="inlineStr">
        <is>
          <t>TravelLine Booking Engine [Чайковский]</t>
        </is>
      </c>
      <c r="G613" s="3">
        <f>ROUND(D613/(100-E613)*100,2)</f>
        <v/>
      </c>
      <c r="H613" s="5" t="n">
        <v>46284.58333333334</v>
      </c>
      <c r="I613" t="n">
        <v>5</v>
      </c>
      <c r="J613" s="3">
        <f>G613/I613</f>
        <v/>
      </c>
      <c r="K613">
        <f>IF(J613&gt;=5100,"ставка","мин.ставка")</f>
        <v/>
      </c>
      <c r="L613" s="3">
        <f>ROUND(IF(K613="мин.ставка",I613*100,G613/102*2),2)</f>
        <v/>
      </c>
      <c r="M613" s="5" t="n">
        <v>46289.5</v>
      </c>
      <c r="N613" t="inlineStr">
        <is>
          <t>TravelLine сайт</t>
        </is>
      </c>
      <c r="O613" s="2" t="inlineStr">
        <is>
          <t>СТАНДАРТНЫЙ ДВУХМЕСТНЫЙ НОМЕР</t>
        </is>
      </c>
      <c r="P613" s="6" t="n"/>
      <c r="R613" t="inlineStr"/>
      <c r="S613" t="inlineStr">
        <is>
          <t>Тариф с завтраком</t>
        </is>
      </c>
      <c r="T613" t="n">
        <v>0</v>
      </c>
      <c r="U613" t="n">
        <v>66549.75</v>
      </c>
    </row>
    <row r="614">
      <c r="A614" t="inlineStr">
        <is>
          <t>20260715-8186-440834544</t>
        </is>
      </c>
      <c r="B614" t="n">
        <v>1</v>
      </c>
      <c r="C614" s="2" t="inlineStr">
        <is>
          <t>Максим Трофимов, Анастасия Трофимова</t>
        </is>
      </c>
      <c r="D614" s="3" t="n">
        <v>32040</v>
      </c>
      <c r="E614" s="4" t="n">
        <v>20</v>
      </c>
      <c r="F614" t="inlineStr">
        <is>
          <t>ООО "КОМПАНИЯ БРОНЕВИК" [Чайковский]</t>
        </is>
      </c>
      <c r="G614" s="3">
        <f>ROUND(D614/(100-E614)*100,2)</f>
        <v/>
      </c>
      <c r="H614" s="5" t="n">
        <v>46218.58333333334</v>
      </c>
      <c r="I614" t="n">
        <v>3</v>
      </c>
      <c r="J614" s="3">
        <f>G614/I614</f>
        <v/>
      </c>
      <c r="K614">
        <f>IF(J614&gt;=5100,"ставка","мин.ставка")</f>
        <v/>
      </c>
      <c r="L614" s="3">
        <f>ROUND(IF(K614="мин.ставка",I614*100,G614/102*2),2)</f>
        <v/>
      </c>
      <c r="M614" s="5" t="n">
        <v>46221.5</v>
      </c>
      <c r="N614" t="inlineStr">
        <is>
          <t>TravelLine BR2</t>
        </is>
      </c>
      <c r="O614" s="2" t="inlineStr">
        <is>
          <t>СТАНДАРТНЫЙ ДВУХМЕСТНЫЙ НОМЕР</t>
        </is>
      </c>
      <c r="P614" s="6" t="n"/>
      <c r="R614" t="inlineStr"/>
      <c r="S614" t="inlineStr">
        <is>
          <t>Тариф с завтраком</t>
        </is>
      </c>
      <c r="T614" t="n">
        <v>0</v>
      </c>
      <c r="U614" t="n">
        <v>32040</v>
      </c>
    </row>
    <row r="615">
      <c r="A615" t="inlineStr">
        <is>
          <t>20260808-8186-455879576</t>
        </is>
      </c>
      <c r="B615" t="n">
        <v>1</v>
      </c>
      <c r="C615" s="2" t="inlineStr">
        <is>
          <t>Максим Чиркин</t>
        </is>
      </c>
      <c r="D615" s="3" t="n">
        <v>17533</v>
      </c>
      <c r="E615" s="4" t="n">
        <v>4</v>
      </c>
      <c r="F615" t="inlineStr">
        <is>
          <t>TravelLine Booking Engine [Чайковский]</t>
        </is>
      </c>
      <c r="G615" s="3">
        <f>ROUND(D615/(100-E615)*100,2)</f>
        <v/>
      </c>
      <c r="H615" s="5" t="n">
        <v>46242.8125</v>
      </c>
      <c r="I615" t="n">
        <v>1</v>
      </c>
      <c r="J615" s="3">
        <f>G615/I615</f>
        <v/>
      </c>
      <c r="K615">
        <f>IF(J615&gt;=5100,"ставка","мин.ставка")</f>
        <v/>
      </c>
      <c r="L615" s="3">
        <f>ROUND(IF(K615="мин.ставка",I615*100,G615/102*2),2)</f>
        <v/>
      </c>
      <c r="M615" s="5" t="n">
        <v>46243.5</v>
      </c>
      <c r="N615" t="inlineStr">
        <is>
          <t>TravelLine сайт</t>
        </is>
      </c>
      <c r="O615" s="2" t="inlineStr">
        <is>
          <t>ЛЮКС ВТОРОЙ КОРПУС</t>
        </is>
      </c>
      <c r="P615" s="6" t="n"/>
      <c r="R615" t="inlineStr"/>
      <c r="S615" t="inlineStr">
        <is>
          <t>Тариф с завтраком</t>
        </is>
      </c>
      <c r="T615" t="n">
        <v>0</v>
      </c>
      <c r="U615" t="n">
        <v>17533</v>
      </c>
    </row>
    <row r="616">
      <c r="A616" t="inlineStr">
        <is>
          <t>20260715-8186-448563252</t>
        </is>
      </c>
      <c r="B616" t="n">
        <v>1</v>
      </c>
      <c r="C616" s="2" t="inlineStr">
        <is>
          <t>Марат Швайцер</t>
        </is>
      </c>
      <c r="D616" s="3" t="n">
        <v>6320</v>
      </c>
      <c r="E616" s="4" t="n">
        <v>20</v>
      </c>
      <c r="F616" t="inlineStr">
        <is>
          <t>ООО "ХБ-ПРО" [Чайковский]</t>
        </is>
      </c>
      <c r="G616" s="3">
        <f>ROUND(D616/(100-E616)*100,2)</f>
        <v/>
      </c>
      <c r="H616" s="5" t="n">
        <v>46218.58333333334</v>
      </c>
      <c r="I616" t="n">
        <v>1</v>
      </c>
      <c r="J616" s="3">
        <f>G616/I616</f>
        <v/>
      </c>
      <c r="K616">
        <f>IF(J616&gt;=5100,"ставка","мин.ставка")</f>
        <v/>
      </c>
      <c r="L616" s="3">
        <f>ROUND(IF(K616="мин.ставка",I616*100,G616/102*2),2)</f>
        <v/>
      </c>
      <c r="M616" s="5" t="n">
        <v>46219.5</v>
      </c>
      <c r="N616" t="inlineStr">
        <is>
          <t>TravelLine UTS</t>
        </is>
      </c>
      <c r="O616" s="2" t="inlineStr">
        <is>
          <t>СТАНДАРТНЫЙ ДВУХМЕСТНЫЙ НОМЕР (МАНСАРДА)</t>
        </is>
      </c>
      <c r="P616" s="6" t="n"/>
      <c r="R616" t="inlineStr"/>
      <c r="S616" t="inlineStr">
        <is>
          <t>Тариф с завтраком</t>
        </is>
      </c>
      <c r="T616" t="n">
        <v>0</v>
      </c>
      <c r="U616" t="n">
        <v>6320</v>
      </c>
    </row>
    <row r="617">
      <c r="A617" t="inlineStr">
        <is>
          <t>20260814-8186-458217555</t>
        </is>
      </c>
      <c r="B617" t="n">
        <v>1</v>
      </c>
      <c r="C617" s="2" t="inlineStr">
        <is>
          <t>МАРГАРИТА АНИСИМОВА</t>
        </is>
      </c>
      <c r="D617" s="3" t="n">
        <v>23200</v>
      </c>
      <c r="E617" s="4" t="n">
        <v>20</v>
      </c>
      <c r="F617" t="inlineStr">
        <is>
          <t>ООО "КОМПАНИЯ БРОНЕВИК" [Чайковский]</t>
        </is>
      </c>
      <c r="G617" s="3">
        <f>ROUND(D617/(100-E617)*100,2)</f>
        <v/>
      </c>
      <c r="H617" s="5" t="n">
        <v>46248.58333333334</v>
      </c>
      <c r="I617" t="n">
        <v>2</v>
      </c>
      <c r="J617" s="3">
        <f>G617/I617</f>
        <v/>
      </c>
      <c r="K617">
        <f>IF(J617&gt;=5100,"ставка","мин.ставка")</f>
        <v/>
      </c>
      <c r="L617" s="3">
        <f>ROUND(IF(K617="мин.ставка",I617*100,G617/102*2),2)</f>
        <v/>
      </c>
      <c r="M617" s="5" t="n">
        <v>46250.5</v>
      </c>
      <c r="N617" t="inlineStr">
        <is>
          <t>TravelLine BR2</t>
        </is>
      </c>
      <c r="O617" s="2" t="inlineStr">
        <is>
          <t>ПОЛУЛЮКС</t>
        </is>
      </c>
      <c r="P617" s="6" t="n"/>
      <c r="R617" t="inlineStr"/>
      <c r="S617" t="inlineStr">
        <is>
          <t>Тариф с завтраком</t>
        </is>
      </c>
      <c r="T617" t="n">
        <v>0</v>
      </c>
      <c r="U617" t="n">
        <v>23200</v>
      </c>
    </row>
    <row r="618">
      <c r="A618" t="inlineStr">
        <is>
          <t>20260907-8186-434979583</t>
        </is>
      </c>
      <c r="B618" t="n">
        <v>1</v>
      </c>
      <c r="C618" s="2" t="inlineStr">
        <is>
          <t>Маргарита Михина</t>
        </is>
      </c>
      <c r="D618" s="3" t="n">
        <v>31600</v>
      </c>
      <c r="E618" s="4" t="n">
        <v>0</v>
      </c>
      <c r="F618" t="inlineStr">
        <is>
          <t>Прямые бронирования (стойка) [Чайковский]</t>
        </is>
      </c>
      <c r="G618" s="3">
        <f>ROUND(D618/(100-E618)*100,2)</f>
        <v/>
      </c>
      <c r="H618" s="5" t="n">
        <v>46272.58333333334</v>
      </c>
      <c r="I618" t="n">
        <v>4</v>
      </c>
      <c r="J618" s="3">
        <f>G618/I618</f>
        <v/>
      </c>
      <c r="K618">
        <f>IF(J618&gt;=5100,"ставка","мин.ставка")</f>
        <v/>
      </c>
      <c r="L618" s="3">
        <f>ROUND(IF(K618="мин.ставка",I618*100,G618/102*2),2)</f>
        <v/>
      </c>
      <c r="M618" s="5" t="n">
        <v>46276.5</v>
      </c>
      <c r="N618" t="inlineStr">
        <is>
          <t>TravelLine ресепшн</t>
        </is>
      </c>
      <c r="O618" s="2" t="inlineStr">
        <is>
          <t>СТАНДАРТНЫЙ ДВУХМЕСТНЫЙ НОМЕР (МАНСАРДА)</t>
        </is>
      </c>
      <c r="P618" s="6" t="n"/>
      <c r="R618" t="inlineStr"/>
      <c r="S618" t="inlineStr">
        <is>
          <t>Тариф с завтраком</t>
        </is>
      </c>
      <c r="T618" t="n">
        <v>0</v>
      </c>
      <c r="U618" t="n">
        <v>31600</v>
      </c>
    </row>
    <row r="619">
      <c r="A619" t="inlineStr">
        <is>
          <t>20260715-8186-425955806</t>
        </is>
      </c>
      <c r="B619" t="n">
        <v>1</v>
      </c>
      <c r="C619" s="2" t="inlineStr">
        <is>
          <t>Маргарита Петрова</t>
        </is>
      </c>
      <c r="D619" s="3" t="n">
        <v>24640</v>
      </c>
      <c r="E619" s="4" t="n">
        <v>18</v>
      </c>
      <c r="F619" t="inlineStr">
        <is>
          <t>Яндекс.Путешествия [Чайковский]</t>
        </is>
      </c>
      <c r="G619" s="3">
        <f>ROUND(D619/(100-E619)*100,2)</f>
        <v/>
      </c>
      <c r="H619" s="5" t="n">
        <v>46218.58333333334</v>
      </c>
      <c r="I619" t="n">
        <v>4</v>
      </c>
      <c r="J619" s="3">
        <f>G619/I619</f>
        <v/>
      </c>
      <c r="K619">
        <f>IF(J619&gt;=5100,"ставка","мин.ставка")</f>
        <v/>
      </c>
      <c r="L619" s="3">
        <f>ROUND(IF(K619="мин.ставка",I619*100,G619/102*2),2)</f>
        <v/>
      </c>
      <c r="M619" s="5" t="n">
        <v>46222.5</v>
      </c>
      <c r="N619" t="inlineStr">
        <is>
          <t>TravelLine YAX</t>
        </is>
      </c>
      <c r="O619" s="2" t="inlineStr">
        <is>
          <t>СТАНДАРТНЫЙ ОДНОМЕСТНЫЙ НОМЕР</t>
        </is>
      </c>
      <c r="P619" s="6" t="n"/>
      <c r="R619" t="inlineStr"/>
      <c r="S619" t="inlineStr">
        <is>
          <t>Тариф с завтраком</t>
        </is>
      </c>
      <c r="T619" t="n">
        <v>0</v>
      </c>
      <c r="U619" t="n">
        <v>24640</v>
      </c>
    </row>
    <row r="620">
      <c r="A620" t="inlineStr">
        <is>
          <t>20260706-8186-420338941</t>
        </is>
      </c>
      <c r="B620" t="n">
        <v>1</v>
      </c>
      <c r="C620" s="2" t="inlineStr">
        <is>
          <t>Марина Бурова</t>
        </is>
      </c>
      <c r="D620" s="3" t="n">
        <v>13090</v>
      </c>
      <c r="E620" s="4" t="n">
        <v>17</v>
      </c>
      <c r="F620" t="inlineStr">
        <is>
          <t>ООО «Дубль Гис» (OTELLO) [Чайковский]</t>
        </is>
      </c>
      <c r="G620" s="3">
        <f>ROUND(D620/(100-E620)*100,2)</f>
        <v/>
      </c>
      <c r="H620" s="5" t="n">
        <v>46209.58333333334</v>
      </c>
      <c r="I620" t="n">
        <v>2</v>
      </c>
      <c r="J620" s="3">
        <f>G620/I620</f>
        <v/>
      </c>
      <c r="K620">
        <f>IF(J620&gt;=5100,"ставка","мин.ставка")</f>
        <v/>
      </c>
      <c r="L620" s="3">
        <f>ROUND(IF(K620="мин.ставка",I620*100,G620/102*2),2)</f>
        <v/>
      </c>
      <c r="M620" s="5" t="n">
        <v>46211.5</v>
      </c>
      <c r="N620" t="inlineStr">
        <is>
          <t>TravelLine OL2</t>
        </is>
      </c>
      <c r="O620" s="2" t="inlineStr">
        <is>
          <t>СТАНДАРТНЫЙ ОДНОМЕСТНЫЙ НОМЕР</t>
        </is>
      </c>
      <c r="P620" s="6" t="n"/>
      <c r="R620" t="inlineStr"/>
      <c r="S620" t="inlineStr">
        <is>
          <t>Тариф с завтраком</t>
        </is>
      </c>
      <c r="T620" t="n">
        <v>0</v>
      </c>
      <c r="U620" t="n">
        <v>13090</v>
      </c>
    </row>
    <row r="621">
      <c r="A621" t="inlineStr">
        <is>
          <t>20260708-8186-420258045</t>
        </is>
      </c>
      <c r="B621" t="n">
        <v>1</v>
      </c>
      <c r="C621" s="2" t="inlineStr">
        <is>
          <t>Марина Бурова</t>
        </is>
      </c>
      <c r="D621" s="3" t="n">
        <v>13090</v>
      </c>
      <c r="E621" s="4" t="n">
        <v>17</v>
      </c>
      <c r="F621" t="inlineStr">
        <is>
          <t>ООО «Дубль Гис» (OTELLO) [Чайковский]</t>
        </is>
      </c>
      <c r="G621" s="3">
        <f>ROUND(D621/(100-E621)*100,2)</f>
        <v/>
      </c>
      <c r="H621" s="5" t="n">
        <v>46211.58333333334</v>
      </c>
      <c r="I621" t="n">
        <v>2</v>
      </c>
      <c r="J621" s="3">
        <f>G621/I621</f>
        <v/>
      </c>
      <c r="K621">
        <f>IF(J621&gt;=5100,"ставка","мин.ставка")</f>
        <v/>
      </c>
      <c r="L621" s="3">
        <f>ROUND(IF(K621="мин.ставка",I621*100,G621/102*2),2)</f>
        <v/>
      </c>
      <c r="M621" s="5" t="n">
        <v>46213.5</v>
      </c>
      <c r="N621" t="inlineStr">
        <is>
          <t>TravelLine OL2</t>
        </is>
      </c>
      <c r="O621" s="2" t="inlineStr">
        <is>
          <t>СТАНДАРТНЫЙ ОДНОМЕСТНЫЙ НОМЕР</t>
        </is>
      </c>
      <c r="P621" s="6" t="n"/>
      <c r="R621" t="inlineStr"/>
      <c r="S621" t="inlineStr">
        <is>
          <t>Тариф с завтраком</t>
        </is>
      </c>
      <c r="T621" t="n">
        <v>0</v>
      </c>
      <c r="U621" t="n">
        <v>13090</v>
      </c>
    </row>
    <row r="622">
      <c r="A622" t="inlineStr">
        <is>
          <t>20260915-8186-465509331</t>
        </is>
      </c>
      <c r="B622" t="n">
        <v>1</v>
      </c>
      <c r="C622" s="2" t="inlineStr">
        <is>
          <t>Марина Волкова, Александр Волков</t>
        </is>
      </c>
      <c r="D622" s="3" t="n">
        <v>118192</v>
      </c>
      <c r="E622" s="4" t="n">
        <v>17</v>
      </c>
      <c r="F622" t="inlineStr">
        <is>
          <t>ООО «Интернет Трэвел» (OZON) [Чайковский]</t>
        </is>
      </c>
      <c r="G622" s="3">
        <f>ROUND(D622/(100-E622)*100,2)</f>
        <v/>
      </c>
      <c r="H622" s="5" t="n">
        <v>46280.58333333334</v>
      </c>
      <c r="I622" t="n">
        <v>8</v>
      </c>
      <c r="J622" s="3">
        <f>G622/I622</f>
        <v/>
      </c>
      <c r="K622">
        <f>IF(J622&gt;=5100,"ставка","мин.ставка")</f>
        <v/>
      </c>
      <c r="L622" s="3">
        <f>ROUND(IF(K622="мин.ставка",I622*100,G622/102*2),2)</f>
        <v/>
      </c>
      <c r="M622" s="5" t="n">
        <v>46288.5</v>
      </c>
      <c r="N622" t="inlineStr">
        <is>
          <t>TravelLine OZ2</t>
        </is>
      </c>
      <c r="O622" s="2" t="inlineStr">
        <is>
          <t>ЛЮКС ВТОРОЙ КОРПУС</t>
        </is>
      </c>
      <c r="P622" s="6" t="n"/>
      <c r="R622" t="inlineStr"/>
      <c r="S622" t="inlineStr">
        <is>
          <t>Тариф с завтраком</t>
        </is>
      </c>
      <c r="T622" t="n">
        <v>0</v>
      </c>
      <c r="U622" t="n">
        <v>118192</v>
      </c>
    </row>
    <row r="623">
      <c r="A623" t="inlineStr">
        <is>
          <t>20260720-8186-434462277</t>
        </is>
      </c>
      <c r="B623" t="n">
        <v>1</v>
      </c>
      <c r="C623" s="2" t="inlineStr">
        <is>
          <t>МАРИНА ГОНЧАРОВА</t>
        </is>
      </c>
      <c r="D623" s="3" t="n">
        <v>45400</v>
      </c>
      <c r="E623" s="4" t="n">
        <v>20</v>
      </c>
      <c r="F623" t="inlineStr">
        <is>
          <t>ООО "ХБ-ПРО" [Чайковский]</t>
        </is>
      </c>
      <c r="G623" s="3">
        <f>ROUND(D623/(100-E623)*100,2)</f>
        <v/>
      </c>
      <c r="H623" s="5" t="n">
        <v>46223.58333333334</v>
      </c>
      <c r="I623" t="n">
        <v>5</v>
      </c>
      <c r="J623" s="3">
        <f>G623/I623</f>
        <v/>
      </c>
      <c r="K623">
        <f>IF(J623&gt;=5100,"ставка","мин.ставка")</f>
        <v/>
      </c>
      <c r="L623" s="3">
        <f>ROUND(IF(K623="мин.ставка",I623*100,G623/102*2),2)</f>
        <v/>
      </c>
      <c r="M623" s="5" t="n">
        <v>46228.75</v>
      </c>
      <c r="N623" t="inlineStr">
        <is>
          <t>TravelLine UTS</t>
        </is>
      </c>
      <c r="O623" s="2" t="inlineStr">
        <is>
          <t>СТАНДАРТНЫЙ ДВУХМЕСТНЫЙ НОМЕР</t>
        </is>
      </c>
      <c r="P623" s="6" t="n"/>
      <c r="R623" t="inlineStr"/>
      <c r="S623" t="inlineStr">
        <is>
          <t>Тариф с завтраком</t>
        </is>
      </c>
      <c r="T623" t="n">
        <v>5675</v>
      </c>
      <c r="U623" t="n">
        <v>51075</v>
      </c>
    </row>
    <row r="624">
      <c r="A624" t="inlineStr">
        <is>
          <t>20260718-8186-439204883</t>
        </is>
      </c>
      <c r="B624" t="n">
        <v>1</v>
      </c>
      <c r="C624" s="2" t="inlineStr">
        <is>
          <t>Марина Невзорова, Наталья Гайдай</t>
        </is>
      </c>
      <c r="D624" s="3" t="n">
        <v>53199.75</v>
      </c>
      <c r="E624" s="4" t="n">
        <v>4</v>
      </c>
      <c r="F624" t="inlineStr">
        <is>
          <t>TravelLine Booking Engine [Чайковский]</t>
        </is>
      </c>
      <c r="G624" s="3">
        <f>ROUND(D624/(100-E624)*100,2)</f>
        <v/>
      </c>
      <c r="H624" s="5" t="n">
        <v>46221.58333333334</v>
      </c>
      <c r="I624" t="n">
        <v>4</v>
      </c>
      <c r="J624" s="3">
        <f>G624/I624</f>
        <v/>
      </c>
      <c r="K624">
        <f>IF(J624&gt;=5100,"ставка","мин.ставка")</f>
        <v/>
      </c>
      <c r="L624" s="3">
        <f>ROUND(IF(K624="мин.ставка",I624*100,G624/102*2),2)</f>
        <v/>
      </c>
      <c r="M624" s="5" t="n">
        <v>46225.5</v>
      </c>
      <c r="N624" t="inlineStr">
        <is>
          <t>TravelLine сайт</t>
        </is>
      </c>
      <c r="O624" s="2" t="inlineStr">
        <is>
          <t>СТАНДАРТНЫЙ ДВУХМЕСТНЫЙ НОМЕР</t>
        </is>
      </c>
      <c r="P624" s="6" t="n"/>
      <c r="R624" t="inlineStr"/>
      <c r="S624" t="inlineStr">
        <is>
          <t>Тариф с завтраком</t>
        </is>
      </c>
      <c r="T624" t="n">
        <v>0</v>
      </c>
      <c r="U624" t="n">
        <v>53199.75</v>
      </c>
    </row>
    <row r="625">
      <c r="A625" t="inlineStr">
        <is>
          <t>20260730-8186-438491467</t>
        </is>
      </c>
      <c r="B625" t="n">
        <v>1</v>
      </c>
      <c r="C625" s="2" t="inlineStr">
        <is>
          <t>Марина Немова, Лариса Немова</t>
        </is>
      </c>
      <c r="D625" s="3" t="n">
        <v>17533</v>
      </c>
      <c r="E625" s="4" t="n">
        <v>4</v>
      </c>
      <c r="F625" t="inlineStr">
        <is>
          <t>TravelLine Booking Engine [Чайковский]</t>
        </is>
      </c>
      <c r="G625" s="3">
        <f>ROUND(D625/(100-E625)*100,2)</f>
        <v/>
      </c>
      <c r="H625" s="5" t="n">
        <v>46233.58333333334</v>
      </c>
      <c r="I625" t="n">
        <v>1</v>
      </c>
      <c r="J625" s="3">
        <f>G625/I625</f>
        <v/>
      </c>
      <c r="K625">
        <f>IF(J625&gt;=5100,"ставка","мин.ставка")</f>
        <v/>
      </c>
      <c r="L625" s="3">
        <f>ROUND(IF(K625="мин.ставка",I625*100,G625/102*2),2)</f>
        <v/>
      </c>
      <c r="M625" s="5" t="n">
        <v>46234.5</v>
      </c>
      <c r="N625" t="inlineStr">
        <is>
          <t>TravelLine сайт</t>
        </is>
      </c>
      <c r="O625" s="2" t="inlineStr">
        <is>
          <t>ЛЮКС ВТОРОЙ КОРПУС</t>
        </is>
      </c>
      <c r="P625" s="6" t="n"/>
      <c r="R625" t="inlineStr"/>
      <c r="S625" t="inlineStr">
        <is>
          <t>Тариф с завтраком</t>
        </is>
      </c>
      <c r="T625" t="n">
        <v>0</v>
      </c>
      <c r="U625" t="n">
        <v>17533</v>
      </c>
    </row>
    <row r="626">
      <c r="A626" t="inlineStr">
        <is>
          <t>20260721-8186-440916265</t>
        </is>
      </c>
      <c r="B626" t="n">
        <v>1</v>
      </c>
      <c r="C626" s="2" t="inlineStr">
        <is>
          <t>Марина Непомнящая</t>
        </is>
      </c>
      <c r="D626" s="3" t="n">
        <v>22700</v>
      </c>
      <c r="E626" s="4" t="n">
        <v>0</v>
      </c>
      <c r="F626" t="inlineStr">
        <is>
          <t>Прямые бронирования (стойка) [Чайковский]</t>
        </is>
      </c>
      <c r="G626" s="3">
        <f>ROUND(D626/(100-E626)*100,2)</f>
        <v/>
      </c>
      <c r="H626" s="5" t="n">
        <v>46224.58333333334</v>
      </c>
      <c r="I626" t="n">
        <v>2</v>
      </c>
      <c r="J626" s="3">
        <f>G626/I626</f>
        <v/>
      </c>
      <c r="K626">
        <f>IF(J626&gt;=5100,"ставка","мин.ставка")</f>
        <v/>
      </c>
      <c r="L626" s="3">
        <f>ROUND(IF(K626="мин.ставка",I626*100,G626/102*2),2)</f>
        <v/>
      </c>
      <c r="M626" s="5" t="n">
        <v>46226.5</v>
      </c>
      <c r="N626" t="inlineStr">
        <is>
          <t>TravelLine ресепшн</t>
        </is>
      </c>
      <c r="O626" s="2" t="inlineStr">
        <is>
          <t>СТАНДАРТНЫЙ ДВУХМЕСТНЫЙ НОМЕР</t>
        </is>
      </c>
      <c r="P626" s="6" t="n"/>
      <c r="R626" t="inlineStr"/>
      <c r="S626" t="inlineStr">
        <is>
          <t>Тариф с завтраком</t>
        </is>
      </c>
      <c r="T626" t="n">
        <v>0</v>
      </c>
      <c r="U626" t="n">
        <v>22700</v>
      </c>
    </row>
    <row r="627">
      <c r="A627" t="inlineStr">
        <is>
          <t>20260908-8186-464538528</t>
        </is>
      </c>
      <c r="B627" t="n">
        <v>1</v>
      </c>
      <c r="C627" s="2" t="inlineStr">
        <is>
          <t>Марина Павшенко, Елена Павшенко</t>
        </is>
      </c>
      <c r="D627" s="3" t="n">
        <v>11347.5</v>
      </c>
      <c r="E627" s="4" t="n">
        <v>15</v>
      </c>
      <c r="F627" t="inlineStr">
        <is>
          <t>Trip.com Group [Чайковский]</t>
        </is>
      </c>
      <c r="G627" s="3">
        <f>ROUND(D627/(100-E627)*100,2)</f>
        <v/>
      </c>
      <c r="H627" s="5" t="n">
        <v>46273.58333333334</v>
      </c>
      <c r="I627" t="n">
        <v>1</v>
      </c>
      <c r="J627" s="3">
        <f>G627/I627</f>
        <v/>
      </c>
      <c r="K627">
        <f>IF(J627&gt;=5100,"ставка","мин.ставка")</f>
        <v/>
      </c>
      <c r="L627" s="3">
        <f>ROUND(IF(K627="мин.ставка",I627*100,G627/102*2),2)</f>
        <v/>
      </c>
      <c r="M627" s="5" t="n">
        <v>46274.5</v>
      </c>
      <c r="N627" t="inlineStr">
        <is>
          <t>TravelLine CTP</t>
        </is>
      </c>
      <c r="O627" s="2" t="inlineStr">
        <is>
          <t>СТАНДАРТНЫЙ ДВУХМЕСТНЫЙ НОМЕР</t>
        </is>
      </c>
      <c r="P627" s="6" t="n"/>
      <c r="R627" t="inlineStr"/>
      <c r="S627" t="inlineStr">
        <is>
          <t>Тариф с завтраком</t>
        </is>
      </c>
      <c r="T627" t="n">
        <v>0</v>
      </c>
      <c r="U627" t="n">
        <v>11347.5</v>
      </c>
    </row>
    <row r="628">
      <c r="A628" t="inlineStr">
        <is>
          <t>20260908-8186-450576410</t>
        </is>
      </c>
      <c r="B628" t="n">
        <v>1</v>
      </c>
      <c r="C628" s="2" t="inlineStr">
        <is>
          <t>Марина Пономаренко</t>
        </is>
      </c>
      <c r="D628" s="3" t="n">
        <v>33698.15</v>
      </c>
      <c r="E628" s="4" t="n">
        <v>4</v>
      </c>
      <c r="F628" t="inlineStr">
        <is>
          <t>TravelLine Booking Engine [Чайковский]</t>
        </is>
      </c>
      <c r="G628" s="3">
        <f>ROUND(D628/(100-E628)*100,2)</f>
        <v/>
      </c>
      <c r="H628" s="5" t="n">
        <v>46273.58333333334</v>
      </c>
      <c r="I628" t="n">
        <v>3</v>
      </c>
      <c r="J628" s="3">
        <f>G628/I628</f>
        <v/>
      </c>
      <c r="K628">
        <f>IF(J628&gt;=5100,"ставка","мин.ставка")</f>
        <v/>
      </c>
      <c r="L628" s="3">
        <f>ROUND(IF(K628="мин.ставка",I628*100,G628/102*2),2)</f>
        <v/>
      </c>
      <c r="M628" s="5" t="n">
        <v>46276.5</v>
      </c>
      <c r="N628" t="inlineStr">
        <is>
          <t>TravelLine сайт</t>
        </is>
      </c>
      <c r="O628" s="2" t="inlineStr">
        <is>
          <t>СТАНДАРТНЫЙ ДВУХМЕСТНЫЙ НОМЕР</t>
        </is>
      </c>
      <c r="P628" s="6" t="n"/>
      <c r="R628" t="inlineStr"/>
      <c r="S628" t="inlineStr">
        <is>
          <t>Тариф с завтраком</t>
        </is>
      </c>
      <c r="T628" t="n">
        <v>0</v>
      </c>
      <c r="U628" t="n">
        <v>33698.15</v>
      </c>
    </row>
    <row r="629">
      <c r="A629" t="inlineStr">
        <is>
          <t>20260822-8186-412015169</t>
        </is>
      </c>
      <c r="B629" t="n">
        <v>1</v>
      </c>
      <c r="C629" s="2" t="inlineStr">
        <is>
          <t>МАРИНА РОСТНИКОВА, Александр Попов</t>
        </is>
      </c>
      <c r="D629" s="3" t="n">
        <v>15988.5</v>
      </c>
      <c r="E629" s="4" t="n">
        <v>4</v>
      </c>
      <c r="F629" t="inlineStr">
        <is>
          <t>TravelLine Booking Engine [Чайковский]</t>
        </is>
      </c>
      <c r="G629" s="3">
        <f>ROUND(D629/(100-E629)*100,2)</f>
        <v/>
      </c>
      <c r="H629" s="5" t="n">
        <v>46256.58333333334</v>
      </c>
      <c r="I629" t="n">
        <v>1</v>
      </c>
      <c r="J629" s="3">
        <f>G629/I629</f>
        <v/>
      </c>
      <c r="K629">
        <f>IF(J629&gt;=5100,"ставка","мин.ставка")</f>
        <v/>
      </c>
      <c r="L629" s="3">
        <f>ROUND(IF(K629="мин.ставка",I629*100,G629/102*2),2)</f>
        <v/>
      </c>
      <c r="M629" s="5" t="n">
        <v>46257.5</v>
      </c>
      <c r="N629" t="inlineStr">
        <is>
          <t>TravelLine сайт</t>
        </is>
      </c>
      <c r="O629" s="2" t="inlineStr">
        <is>
          <t>ПОЛУЛЮКС</t>
        </is>
      </c>
      <c r="P629" s="6" t="n"/>
      <c r="R629" t="inlineStr"/>
      <c r="S629" t="inlineStr">
        <is>
          <t>Тариф с завтраком</t>
        </is>
      </c>
      <c r="T629" t="n">
        <v>0</v>
      </c>
      <c r="U629" t="n">
        <v>15988.5</v>
      </c>
    </row>
    <row r="630">
      <c r="A630" t="inlineStr">
        <is>
          <t>20260803-8186-421031747</t>
        </is>
      </c>
      <c r="B630" t="n">
        <v>1</v>
      </c>
      <c r="C630" s="2" t="inlineStr">
        <is>
          <t>Марина Хрусталева, Екатерина Хрусталева</t>
        </is>
      </c>
      <c r="D630" s="3" t="n">
        <v>39849.75</v>
      </c>
      <c r="E630" s="4" t="n">
        <v>4</v>
      </c>
      <c r="F630" t="inlineStr">
        <is>
          <t>TravelLine Booking Engine [Чайковский]</t>
        </is>
      </c>
      <c r="G630" s="3">
        <f>ROUND(D630/(100-E630)*100,2)</f>
        <v/>
      </c>
      <c r="H630" s="5" t="n">
        <v>46237.58333333334</v>
      </c>
      <c r="I630" t="n">
        <v>3</v>
      </c>
      <c r="J630" s="3">
        <f>G630/I630</f>
        <v/>
      </c>
      <c r="K630">
        <f>IF(J630&gt;=5100,"ставка","мин.ставка")</f>
        <v/>
      </c>
      <c r="L630" s="3">
        <f>ROUND(IF(K630="мин.ставка",I630*100,G630/102*2),2)</f>
        <v/>
      </c>
      <c r="M630" s="5" t="n">
        <v>46240.5</v>
      </c>
      <c r="N630" t="inlineStr">
        <is>
          <t>TravelLine сайт</t>
        </is>
      </c>
      <c r="O630" s="2" t="inlineStr">
        <is>
          <t>СТАНДАРТНЫЙ ДВУХМЕСТНЫЙ НОМЕР</t>
        </is>
      </c>
      <c r="P630" s="6" t="n"/>
      <c r="R630" t="inlineStr"/>
      <c r="S630" t="inlineStr">
        <is>
          <t>Тариф с завтраком</t>
        </is>
      </c>
      <c r="T630" t="n">
        <v>0</v>
      </c>
      <c r="U630" t="n">
        <v>73729.5</v>
      </c>
    </row>
    <row r="631">
      <c r="A631" t="inlineStr">
        <is>
          <t>20260821-8186-448701128</t>
        </is>
      </c>
      <c r="B631" t="n">
        <v>1</v>
      </c>
      <c r="C631" s="2" t="inlineStr">
        <is>
          <t>МАРИНА ШВЕЦОВА, ДАНИЛА ДРОЖЖИН</t>
        </is>
      </c>
      <c r="D631" s="3" t="n">
        <v>8415</v>
      </c>
      <c r="E631" s="4" t="n">
        <v>16</v>
      </c>
      <c r="F631" t="inlineStr">
        <is>
          <t>ООО "БРОНИРОВАНИЕ ГОСТИНИЦ" (OSTROVOK) [Чайковский]</t>
        </is>
      </c>
      <c r="G631" s="3">
        <f>ROUND(D631/(100-E631)*100,2)</f>
        <v/>
      </c>
      <c r="H631" s="5" t="n">
        <v>46255.58333333334</v>
      </c>
      <c r="I631" t="n">
        <v>1</v>
      </c>
      <c r="J631" s="3">
        <f>G631/I631</f>
        <v/>
      </c>
      <c r="K631">
        <f>IF(J631&gt;=5100,"ставка","мин.ставка")</f>
        <v/>
      </c>
      <c r="L631" s="3">
        <f>ROUND(IF(K631="мин.ставка",I631*100,G631/102*2),2)</f>
        <v/>
      </c>
      <c r="M631" s="5" t="n">
        <v>46256.5</v>
      </c>
      <c r="N631" t="inlineStr">
        <is>
          <t>TravelLine OTK</t>
        </is>
      </c>
      <c r="O631" s="2" t="inlineStr">
        <is>
          <t>СТАНДАРТНЫЙ ДВУХМЕСТНЫЙ НОМЕР (МАНСАРДА)</t>
        </is>
      </c>
      <c r="P631" s="6" t="n"/>
      <c r="R631" t="inlineStr"/>
      <c r="S631" t="inlineStr">
        <is>
          <t>Тариф с завтраком</t>
        </is>
      </c>
      <c r="T631" t="n">
        <v>0</v>
      </c>
      <c r="U631" t="n">
        <v>8415</v>
      </c>
    </row>
    <row r="632">
      <c r="A632" t="inlineStr">
        <is>
          <t>20260928-8186-467819293</t>
        </is>
      </c>
      <c r="B632" t="n">
        <v>1</v>
      </c>
      <c r="C632" s="2" t="inlineStr">
        <is>
          <t>МАРИЯ АВАНЕСОВА</t>
        </is>
      </c>
      <c r="D632" s="3" t="n">
        <v>11257.5</v>
      </c>
      <c r="E632" s="4" t="n">
        <v>18</v>
      </c>
      <c r="F632" t="inlineStr">
        <is>
          <t>Яндекс.Путешествия [Чайковский]</t>
        </is>
      </c>
      <c r="G632" s="3">
        <f>ROUND(D632/(100-E632)*100,2)</f>
        <v/>
      </c>
      <c r="H632" s="5" t="n">
        <v>46293.58333333334</v>
      </c>
      <c r="I632" t="n">
        <v>2</v>
      </c>
      <c r="J632" s="3">
        <f>G632/I632</f>
        <v/>
      </c>
      <c r="K632">
        <f>IF(J632&gt;=5100,"ставка","мин.ставка")</f>
        <v/>
      </c>
      <c r="L632" s="3">
        <f>ROUND(IF(K632="мин.ставка",I632*100,G632/102*2),2)</f>
        <v/>
      </c>
      <c r="M632" s="5" t="n">
        <v>46295.5</v>
      </c>
      <c r="N632" t="inlineStr">
        <is>
          <t>TravelLine YAX</t>
        </is>
      </c>
      <c r="O632" s="2" t="inlineStr">
        <is>
          <t>СТАНДАРТНЫЙ ДВУХМЕСТНЫЙ НОМЕР (МАНСАРДА)</t>
        </is>
      </c>
      <c r="P632" s="6" t="n"/>
      <c r="R632" t="inlineStr"/>
      <c r="S632" t="inlineStr">
        <is>
          <t>Тариф с завтраком</t>
        </is>
      </c>
      <c r="T632" t="n">
        <v>0</v>
      </c>
      <c r="U632" t="n">
        <v>11257.5</v>
      </c>
    </row>
    <row r="633">
      <c r="A633" t="inlineStr">
        <is>
          <t>20260827-8186-438982348</t>
        </is>
      </c>
      <c r="B633" t="n">
        <v>1</v>
      </c>
      <c r="C633" s="2" t="inlineStr">
        <is>
          <t>Мария Астахова</t>
        </is>
      </c>
      <c r="D633" s="3" t="n">
        <v>52360</v>
      </c>
      <c r="E633" s="4" t="n">
        <v>16</v>
      </c>
      <c r="F633" t="inlineStr">
        <is>
          <t>ООО "БРОНИРОВАНИЕ ГОСТИНИЦ" (OSTROVOK) [Чайковский]</t>
        </is>
      </c>
      <c r="G633" s="3">
        <f>ROUND(D633/(100-E633)*100,2)</f>
        <v/>
      </c>
      <c r="H633" s="5" t="n">
        <v>46261.58333333334</v>
      </c>
      <c r="I633" t="n">
        <v>8</v>
      </c>
      <c r="J633" s="3">
        <f>G633/I633</f>
        <v/>
      </c>
      <c r="K633">
        <f>IF(J633&gt;=5100,"ставка","мин.ставка")</f>
        <v/>
      </c>
      <c r="L633" s="3">
        <f>ROUND(IF(K633="мин.ставка",I633*100,G633/102*2),2)</f>
        <v/>
      </c>
      <c r="M633" s="5" t="n">
        <v>46269.5</v>
      </c>
      <c r="N633" t="inlineStr">
        <is>
          <t>TravelLine OTK</t>
        </is>
      </c>
      <c r="O633" s="2" t="inlineStr">
        <is>
          <t>СТАНДАРТНЫЙ ОДНОМЕСТНЫЙ НОМЕР</t>
        </is>
      </c>
      <c r="P633" s="6" t="n"/>
      <c r="R633" t="inlineStr"/>
      <c r="S633" t="inlineStr">
        <is>
          <t>Тариф с завтраком</t>
        </is>
      </c>
      <c r="T633" t="n">
        <v>0</v>
      </c>
      <c r="U633" t="n">
        <v>52360</v>
      </c>
    </row>
    <row r="634">
      <c r="A634" t="inlineStr">
        <is>
          <t>20260925-8186-464901936</t>
        </is>
      </c>
      <c r="B634" t="n">
        <v>1</v>
      </c>
      <c r="C634" s="2" t="inlineStr">
        <is>
          <t>Мария Ашихмина</t>
        </is>
      </c>
      <c r="D634" s="3" t="n">
        <v>34800</v>
      </c>
      <c r="E634" s="4" t="n">
        <v>18</v>
      </c>
      <c r="F634" t="inlineStr">
        <is>
          <t>Яндекс.Путешествия [Чайковский]</t>
        </is>
      </c>
      <c r="G634" s="3">
        <f>ROUND(D634/(100-E634)*100,2)</f>
        <v/>
      </c>
      <c r="H634" s="5" t="n">
        <v>46290.58333333334</v>
      </c>
      <c r="I634" t="n">
        <v>3</v>
      </c>
      <c r="J634" s="3">
        <f>G634/I634</f>
        <v/>
      </c>
      <c r="K634">
        <f>IF(J634&gt;=5100,"ставка","мин.ставка")</f>
        <v/>
      </c>
      <c r="L634" s="3">
        <f>ROUND(IF(K634="мин.ставка",I634*100,G634/102*2),2)</f>
        <v/>
      </c>
      <c r="M634" s="5" t="n">
        <v>46293.5</v>
      </c>
      <c r="N634" t="inlineStr">
        <is>
          <t>TravelLine YAX</t>
        </is>
      </c>
      <c r="O634" s="2" t="inlineStr">
        <is>
          <t>ПОЛУЛЮКС</t>
        </is>
      </c>
      <c r="P634" s="6" t="n"/>
      <c r="R634" t="inlineStr"/>
      <c r="S634" t="inlineStr">
        <is>
          <t>Тариф с завтраком</t>
        </is>
      </c>
      <c r="T634" t="n">
        <v>0</v>
      </c>
      <c r="U634" t="n">
        <v>34800</v>
      </c>
    </row>
    <row r="635">
      <c r="A635" t="inlineStr">
        <is>
          <t>20260729-8186-400177699</t>
        </is>
      </c>
      <c r="B635" t="n">
        <v>1</v>
      </c>
      <c r="C635" s="2" t="inlineStr">
        <is>
          <t>МАРИЯ БЕЛЕЕВСКАЯ, ЕВГЕНИЙ БЕЛЕЕВСКИЙ</t>
        </is>
      </c>
      <c r="D635" s="3" t="n">
        <v>52020</v>
      </c>
      <c r="E635" s="4" t="n">
        <v>0</v>
      </c>
      <c r="F635" t="inlineStr">
        <is>
          <t>Прямые бронирования (стойка) [Чайковский]</t>
        </is>
      </c>
      <c r="G635" s="3">
        <f>ROUND(D635/(100-E635)*100,2)</f>
        <v/>
      </c>
      <c r="H635" s="5" t="n">
        <v>46232.58333333334</v>
      </c>
      <c r="I635" t="n">
        <v>4</v>
      </c>
      <c r="J635" s="3">
        <f>G635/I635</f>
        <v/>
      </c>
      <c r="K635">
        <f>IF(J635&gt;=5100,"ставка","мин.ставка")</f>
        <v/>
      </c>
      <c r="L635" s="3">
        <f>ROUND(IF(K635="мин.ставка",I635*100,G635/102*2),2)</f>
        <v/>
      </c>
      <c r="M635" s="5" t="n">
        <v>46236.8125</v>
      </c>
      <c r="N635" t="inlineStr">
        <is>
          <t>TravelLine ресепшн</t>
        </is>
      </c>
      <c r="O635" s="2" t="inlineStr">
        <is>
          <t>семейный номер категории "стандарт"</t>
        </is>
      </c>
      <c r="P635" s="6" t="n"/>
      <c r="R635" t="inlineStr"/>
      <c r="S635" t="inlineStr">
        <is>
          <t>Тариф с завтраком</t>
        </is>
      </c>
      <c r="T635" t="n">
        <v>28625</v>
      </c>
      <c r="U635" t="n">
        <v>80645</v>
      </c>
    </row>
    <row r="636">
      <c r="A636" t="inlineStr">
        <is>
          <t>20260711-8186-440445654</t>
        </is>
      </c>
      <c r="B636" t="n">
        <v>1</v>
      </c>
      <c r="C636" s="2" t="inlineStr">
        <is>
          <t>Мария Евгенова</t>
        </is>
      </c>
      <c r="D636" s="3" t="n">
        <v>18841</v>
      </c>
      <c r="E636" s="4" t="n">
        <v>0</v>
      </c>
      <c r="F636" t="inlineStr">
        <is>
          <t>Прямые бронирования (стойка) [Чайковский]</t>
        </is>
      </c>
      <c r="G636" s="3">
        <f>ROUND(D636/(100-E636)*100,2)</f>
        <v/>
      </c>
      <c r="H636" s="5" t="n">
        <v>46214.58333333334</v>
      </c>
      <c r="I636" t="n">
        <v>2</v>
      </c>
      <c r="J636" s="3">
        <f>G636/I636</f>
        <v/>
      </c>
      <c r="K636">
        <f>IF(J636&gt;=5100,"ставка","мин.ставка")</f>
        <v/>
      </c>
      <c r="L636" s="3">
        <f>ROUND(IF(K636="мин.ставка",I636*100,G636/102*2),2)</f>
        <v/>
      </c>
      <c r="M636" s="5" t="n">
        <v>46216.5</v>
      </c>
      <c r="N636" t="inlineStr">
        <is>
          <t>TravelLine CMB</t>
        </is>
      </c>
      <c r="O636" s="2" t="inlineStr">
        <is>
          <t>СТАНДАРТНЫЙ ДВУХМЕСТНЫЙ НОМЕР</t>
        </is>
      </c>
      <c r="P636" s="6" t="n"/>
      <c r="R636" t="inlineStr"/>
      <c r="S636" t="inlineStr">
        <is>
          <t>Тариф с завтраком</t>
        </is>
      </c>
      <c r="T636" t="n">
        <v>0</v>
      </c>
      <c r="U636" t="n">
        <v>18841</v>
      </c>
    </row>
    <row r="637">
      <c r="A637" t="inlineStr">
        <is>
          <t>20260702-8186-443240661</t>
        </is>
      </c>
      <c r="B637" t="n">
        <v>1</v>
      </c>
      <c r="C637" s="2" t="inlineStr">
        <is>
          <t>Мария Еремеева, Альбина Зуева</t>
        </is>
      </c>
      <c r="D637" s="3" t="n">
        <v>33241.5</v>
      </c>
      <c r="E637" s="4" t="n">
        <v>17</v>
      </c>
      <c r="F637" t="inlineStr">
        <is>
          <t>ООО «Интернет Трэвел» (OZON) [Чайковский]</t>
        </is>
      </c>
      <c r="G637" s="3">
        <f>ROUND(D637/(100-E637)*100,2)</f>
        <v/>
      </c>
      <c r="H637" s="5" t="n">
        <v>46205.58333333334</v>
      </c>
      <c r="I637" t="n">
        <v>3</v>
      </c>
      <c r="J637" s="3">
        <f>G637/I637</f>
        <v/>
      </c>
      <c r="K637">
        <f>IF(J637&gt;=5100,"ставка","мин.ставка")</f>
        <v/>
      </c>
      <c r="L637" s="3">
        <f>ROUND(IF(K637="мин.ставка",I637*100,G637/102*2),2)</f>
        <v/>
      </c>
      <c r="M637" s="5" t="n">
        <v>46208.5</v>
      </c>
      <c r="N637" t="inlineStr">
        <is>
          <t>TravelLine OZ2</t>
        </is>
      </c>
      <c r="O637" s="2" t="inlineStr">
        <is>
          <t>СТАНДАРТНЫЙ ДВУХМЕСТНЫЙ НОМЕР</t>
        </is>
      </c>
      <c r="P637" s="6" t="n"/>
      <c r="R637" t="inlineStr"/>
      <c r="S637" t="inlineStr">
        <is>
          <t>Тариф с завтраком</t>
        </is>
      </c>
      <c r="T637" t="n">
        <v>0</v>
      </c>
      <c r="U637" t="n">
        <v>33241.5</v>
      </c>
    </row>
    <row r="638">
      <c r="A638" t="inlineStr">
        <is>
          <t>20260707-8186-427987036</t>
        </is>
      </c>
      <c r="B638" t="n">
        <v>1</v>
      </c>
      <c r="C638" s="2" t="inlineStr">
        <is>
          <t>Мария Журина, Степан Ртищев</t>
        </is>
      </c>
      <c r="D638" s="3" t="n">
        <v>11347.5</v>
      </c>
      <c r="E638" s="4" t="n">
        <v>15</v>
      </c>
      <c r="F638" t="inlineStr">
        <is>
          <t>ООО "БРОНИРОВАНИЕ ГОСТИНИЦ" (OSTROVOK) [Чайковский]</t>
        </is>
      </c>
      <c r="G638" s="3">
        <f>ROUND(D638/(100-E638)*100,2)</f>
        <v/>
      </c>
      <c r="H638" s="5" t="n">
        <v>46210.58333333334</v>
      </c>
      <c r="I638" t="n">
        <v>1</v>
      </c>
      <c r="J638" s="3">
        <f>G638/I638</f>
        <v/>
      </c>
      <c r="K638">
        <f>IF(J638&gt;=5100,"ставка","мин.ставка")</f>
        <v/>
      </c>
      <c r="L638" s="3">
        <f>ROUND(IF(K638="мин.ставка",I638*100,G638/102*2),2)</f>
        <v/>
      </c>
      <c r="M638" s="5" t="n">
        <v>46211.5</v>
      </c>
      <c r="N638" t="inlineStr">
        <is>
          <t>TravelLine OTK</t>
        </is>
      </c>
      <c r="O638" s="2" t="inlineStr">
        <is>
          <t>СТАНДАРТНЫЙ ДВУХМЕСТНЫЙ НОМЕР</t>
        </is>
      </c>
      <c r="P638" s="6" t="n"/>
      <c r="R638" t="inlineStr"/>
      <c r="S638" t="inlineStr">
        <is>
          <t>Тариф с завтраком</t>
        </is>
      </c>
      <c r="T638" t="n">
        <v>0</v>
      </c>
      <c r="U638" t="n">
        <v>11347.5</v>
      </c>
    </row>
    <row r="639">
      <c r="A639" t="inlineStr">
        <is>
          <t>20260927-8186-463737797</t>
        </is>
      </c>
      <c r="B639" t="n">
        <v>1</v>
      </c>
      <c r="C639" s="2" t="inlineStr">
        <is>
          <t>МАРИЯ Исакова</t>
        </is>
      </c>
      <c r="D639" s="3" t="n">
        <v>6320</v>
      </c>
      <c r="E639" s="4" t="n">
        <v>18</v>
      </c>
      <c r="F639" t="inlineStr">
        <is>
          <t>Яндекс.Путешествия [Чайковский]</t>
        </is>
      </c>
      <c r="G639" s="3">
        <f>ROUND(D639/(100-E639)*100,2)</f>
        <v/>
      </c>
      <c r="H639" s="5" t="n">
        <v>46292.58333333334</v>
      </c>
      <c r="I639" t="n">
        <v>1</v>
      </c>
      <c r="J639" s="3">
        <f>G639/I639</f>
        <v/>
      </c>
      <c r="K639">
        <f>IF(J639&gt;=5100,"ставка","мин.ставка")</f>
        <v/>
      </c>
      <c r="L639" s="3">
        <f>ROUND(IF(K639="мин.ставка",I639*100,G639/102*2),2)</f>
        <v/>
      </c>
      <c r="M639" s="5" t="n">
        <v>46293.5</v>
      </c>
      <c r="N639" t="inlineStr">
        <is>
          <t>TravelLine YAX</t>
        </is>
      </c>
      <c r="O639" s="2" t="inlineStr">
        <is>
          <t>СТАНДАРТНЫЙ ДВУХМЕСТНЫЙ НОМЕР (МАНСАРДА)</t>
        </is>
      </c>
      <c r="P639" s="6" t="n"/>
      <c r="R639" t="inlineStr"/>
      <c r="S639" t="inlineStr">
        <is>
          <t>Тариф с завтраком</t>
        </is>
      </c>
      <c r="T639" t="n">
        <v>0</v>
      </c>
      <c r="U639" t="n">
        <v>6320</v>
      </c>
    </row>
    <row r="640">
      <c r="A640" t="inlineStr">
        <is>
          <t>20260812-8186-454218570</t>
        </is>
      </c>
      <c r="B640" t="n">
        <v>1</v>
      </c>
      <c r="C640" s="2" t="inlineStr">
        <is>
          <t>Мария Кондратьева</t>
        </is>
      </c>
      <c r="D640" s="3" t="n">
        <v>23780</v>
      </c>
      <c r="E640" s="4" t="n">
        <v>18</v>
      </c>
      <c r="F640" t="inlineStr">
        <is>
          <t>ООО "Эй энд Эй" [Чайковский]</t>
        </is>
      </c>
      <c r="G640" s="3">
        <f>ROUND(D640/(100-E640)*100,2)</f>
        <v/>
      </c>
      <c r="H640" s="5" t="n">
        <v>46246.58333333334</v>
      </c>
      <c r="I640" t="n">
        <v>2</v>
      </c>
      <c r="J640" s="3">
        <f>G640/I640</f>
        <v/>
      </c>
      <c r="K640">
        <f>IF(J640&gt;=5100,"ставка","мин.ставка")</f>
        <v/>
      </c>
      <c r="L640" s="3">
        <f>ROUND(IF(K640="мин.ставка",I640*100,G640/102*2),2)</f>
        <v/>
      </c>
      <c r="M640" s="5" t="n">
        <v>46248.5</v>
      </c>
      <c r="N640" t="inlineStr">
        <is>
          <t>TravelLine ANA</t>
        </is>
      </c>
      <c r="O640" s="2" t="inlineStr">
        <is>
          <t>ПОЛУЛЮКС</t>
        </is>
      </c>
      <c r="P640" s="6" t="n"/>
      <c r="R640" t="inlineStr"/>
      <c r="S640" t="inlineStr">
        <is>
          <t>Тариф с завтраком</t>
        </is>
      </c>
      <c r="T640" t="n">
        <v>0</v>
      </c>
      <c r="U640" t="n">
        <v>23780</v>
      </c>
    </row>
    <row r="641">
      <c r="A641" t="inlineStr">
        <is>
          <t>20260806-8186-452608643</t>
        </is>
      </c>
      <c r="B641" t="n">
        <v>1</v>
      </c>
      <c r="C641" s="2" t="inlineStr">
        <is>
          <t>Мария КОТОВА</t>
        </is>
      </c>
      <c r="D641" s="3" t="n">
        <v>31000.5</v>
      </c>
      <c r="E641" s="4" t="n">
        <v>20</v>
      </c>
      <c r="F641" t="inlineStr">
        <is>
          <t>ООО «Дубль Гис» (OTELLO) [Чайковский]</t>
        </is>
      </c>
      <c r="G641" s="3">
        <f>ROUND(D641/(100-E641)*100,2)</f>
        <v/>
      </c>
      <c r="H641" s="5" t="n">
        <v>46240.58333333334</v>
      </c>
      <c r="I641" t="n">
        <v>3</v>
      </c>
      <c r="J641" s="3">
        <f>G641/I641</f>
        <v/>
      </c>
      <c r="K641">
        <f>IF(J641&gt;=5100,"ставка","мин.ставка")</f>
        <v/>
      </c>
      <c r="L641" s="3">
        <f>ROUND(IF(K641="мин.ставка",I641*100,G641/102*2),2)</f>
        <v/>
      </c>
      <c r="M641" s="5" t="n">
        <v>46243.5</v>
      </c>
      <c r="N641" t="inlineStr">
        <is>
          <t>TravelLine OL2</t>
        </is>
      </c>
      <c r="O641" s="2" t="inlineStr">
        <is>
          <t>СЕМЕЙНЫЙ НОМЕР КАТЕГОРИИ "СТАНДАРТ" ВТОРОЙ КОРПУС</t>
        </is>
      </c>
      <c r="P641" s="6" t="n"/>
      <c r="R641" t="inlineStr"/>
      <c r="S641" t="inlineStr">
        <is>
          <t>Тариф с завтраком</t>
        </is>
      </c>
      <c r="T641" t="n">
        <v>0</v>
      </c>
      <c r="U641" t="n">
        <v>31000.5</v>
      </c>
    </row>
    <row r="642">
      <c r="A642" t="inlineStr">
        <is>
          <t>20260914-8186-463736656</t>
        </is>
      </c>
      <c r="B642" t="n">
        <v>1</v>
      </c>
      <c r="C642" s="2" t="inlineStr">
        <is>
          <t>МАРИЯ КУТЕПОВА</t>
        </is>
      </c>
      <c r="D642" s="3" t="n">
        <v>26544</v>
      </c>
      <c r="E642" s="4" t="n">
        <v>16</v>
      </c>
      <c r="F642" t="inlineStr">
        <is>
          <t>ООО "БРОНИРОВАНИЕ ГОСТИНИЦ" (OSTROVOK) [Чайковский]</t>
        </is>
      </c>
      <c r="G642" s="3">
        <f>ROUND(D642/(100-E642)*100,2)</f>
        <v/>
      </c>
      <c r="H642" s="5" t="n">
        <v>46279.58333333334</v>
      </c>
      <c r="I642" t="n">
        <v>2</v>
      </c>
      <c r="J642" s="3">
        <f>G642/I642</f>
        <v/>
      </c>
      <c r="K642">
        <f>IF(J642&gt;=5100,"ставка","мин.ставка")</f>
        <v/>
      </c>
      <c r="L642" s="3">
        <f>ROUND(IF(K642="мин.ставка",I642*100,G642/102*2),2)</f>
        <v/>
      </c>
      <c r="M642" s="5" t="n">
        <v>46281.5</v>
      </c>
      <c r="N642" t="inlineStr">
        <is>
          <t>TravelLine OTK</t>
        </is>
      </c>
      <c r="O642" s="2" t="inlineStr">
        <is>
          <t>ЛЮКС ВТОРОЙ КОРПУС</t>
        </is>
      </c>
      <c r="P642" s="6" t="n"/>
      <c r="R642" t="inlineStr"/>
      <c r="S642" t="inlineStr">
        <is>
          <t>Тариф с завтраком</t>
        </is>
      </c>
      <c r="T642" t="n">
        <v>0</v>
      </c>
      <c r="U642" t="n">
        <v>26544</v>
      </c>
    </row>
    <row r="643">
      <c r="A643" t="inlineStr">
        <is>
          <t>20260810-8186-395777109</t>
        </is>
      </c>
      <c r="B643" t="n">
        <v>1</v>
      </c>
      <c r="C643" s="2" t="inlineStr">
        <is>
          <t>Мария Моллот</t>
        </is>
      </c>
      <c r="D643" s="3" t="n">
        <v>56880</v>
      </c>
      <c r="E643" s="4" t="n">
        <v>0</v>
      </c>
      <c r="F643" t="inlineStr">
        <is>
          <t>Прямые бронирования (стойка) [Чайковский]</t>
        </is>
      </c>
      <c r="G643" s="3">
        <f>ROUND(D643/(100-E643)*100,2)</f>
        <v/>
      </c>
      <c r="H643" s="5" t="n">
        <v>46244.58333333334</v>
      </c>
      <c r="I643" t="n">
        <v>8</v>
      </c>
      <c r="J643" s="3">
        <f>G643/I643</f>
        <v/>
      </c>
      <c r="K643">
        <f>IF(J643&gt;=5100,"ставка","мин.ставка")</f>
        <v/>
      </c>
      <c r="L643" s="3">
        <f>ROUND(IF(K643="мин.ставка",I643*100,G643/102*2),2)</f>
        <v/>
      </c>
      <c r="M643" s="5" t="n">
        <v>46252.5</v>
      </c>
      <c r="N643" t="inlineStr">
        <is>
          <t>TravelLine ресепшн</t>
        </is>
      </c>
      <c r="O643" s="2" t="inlineStr">
        <is>
          <t>СТАНДАРТНЫЙ ОДНОМЕСТНЫЙ НОМЕР</t>
        </is>
      </c>
      <c r="P643" s="6" t="n"/>
      <c r="R643" t="inlineStr"/>
      <c r="S643" t="inlineStr">
        <is>
          <t>Тариф с завтраком</t>
        </is>
      </c>
      <c r="T643" t="n">
        <v>0</v>
      </c>
      <c r="U643" t="n">
        <v>56880</v>
      </c>
    </row>
    <row r="644">
      <c r="A644" t="inlineStr">
        <is>
          <t>20260920-8186-465332627</t>
        </is>
      </c>
      <c r="B644" t="n">
        <v>1</v>
      </c>
      <c r="C644" s="2" t="inlineStr">
        <is>
          <t>Мария Москаленко</t>
        </is>
      </c>
      <c r="D644" s="3" t="n">
        <v>79279.75</v>
      </c>
      <c r="E644" s="4" t="n">
        <v>4</v>
      </c>
      <c r="F644" t="inlineStr">
        <is>
          <t>TravelLine Booking Engine [Чайковский]</t>
        </is>
      </c>
      <c r="G644" s="3">
        <f>ROUND(D644/(100-E644)*100,2)</f>
        <v/>
      </c>
      <c r="H644" s="5" t="n">
        <v>46285.97916666666</v>
      </c>
      <c r="I644" t="n">
        <v>7</v>
      </c>
      <c r="J644" s="3">
        <f>G644/I644</f>
        <v/>
      </c>
      <c r="K644">
        <f>IF(J644&gt;=5100,"ставка","мин.ставка")</f>
        <v/>
      </c>
      <c r="L644" s="3">
        <f>ROUND(IF(K644="мин.ставка",I644*100,G644/102*2),2)</f>
        <v/>
      </c>
      <c r="M644" s="5" t="n">
        <v>46292.5</v>
      </c>
      <c r="N644" t="inlineStr">
        <is>
          <t>TravelLine сайт</t>
        </is>
      </c>
      <c r="O644" s="2" t="inlineStr">
        <is>
          <t>СТАНДАРТНЫЙ ДВУХМЕСТНЫЙ НОМЕР</t>
        </is>
      </c>
      <c r="P644" s="6" t="n"/>
      <c r="R644" t="inlineStr"/>
      <c r="S644" t="inlineStr">
        <is>
          <t>Тариф с завтраком</t>
        </is>
      </c>
      <c r="T644" t="n">
        <v>0</v>
      </c>
      <c r="U644" t="n">
        <v>79279.75</v>
      </c>
    </row>
    <row r="645">
      <c r="A645" t="inlineStr">
        <is>
          <t>20260930-8186-465412038</t>
        </is>
      </c>
      <c r="B645" t="n">
        <v>1</v>
      </c>
      <c r="C645" s="2" t="inlineStr">
        <is>
          <t>Мария Новосельцева</t>
        </is>
      </c>
      <c r="D645" s="3" t="n">
        <v>29920</v>
      </c>
      <c r="E645" s="4" t="n">
        <v>15</v>
      </c>
      <c r="F645" t="inlineStr">
        <is>
          <t>«ЖилиБыли» [Чайковский]</t>
        </is>
      </c>
      <c r="G645" s="3">
        <f>ROUND(D645/(100-E645)*100,2)</f>
        <v/>
      </c>
      <c r="H645" s="5" t="n">
        <v>46295.58333333334</v>
      </c>
      <c r="I645" t="n">
        <v>3</v>
      </c>
      <c r="J645" s="3">
        <f>G645/I645</f>
        <v/>
      </c>
      <c r="K645">
        <f>IF(J645&gt;=5100,"ставка","мин.ставка")</f>
        <v/>
      </c>
      <c r="L645" s="3">
        <f>ROUND(IF(K645="мин.ставка",I645*100,G645/102*2),2)</f>
        <v/>
      </c>
      <c r="M645" s="5" t="n">
        <v>46298.5</v>
      </c>
      <c r="N645" t="inlineStr">
        <is>
          <t>TravelLine JLB</t>
        </is>
      </c>
      <c r="O645" s="2" t="inlineStr">
        <is>
          <t>УЛУЧШЕННЫЙ ДВУХМЕСТНЫЙ НОМЕР</t>
        </is>
      </c>
      <c r="P645" s="6" t="n"/>
      <c r="R645" t="inlineStr"/>
      <c r="S645" t="inlineStr">
        <is>
          <t>Тариф с завтраком</t>
        </is>
      </c>
      <c r="T645" t="n">
        <v>0</v>
      </c>
      <c r="U645" t="n">
        <v>29920</v>
      </c>
    </row>
    <row r="646">
      <c r="A646" t="inlineStr">
        <is>
          <t>20260914-8186-420584796</t>
        </is>
      </c>
      <c r="B646" t="n">
        <v>1</v>
      </c>
      <c r="C646" s="2" t="inlineStr">
        <is>
          <t>МАРИЯ ПЕРЯТИНСКАЯ, АННА КАЗАНКОВА</t>
        </is>
      </c>
      <c r="D646" s="3" t="n">
        <v>42075</v>
      </c>
      <c r="E646" s="4" t="n">
        <v>0</v>
      </c>
      <c r="F646" t="inlineStr">
        <is>
          <t>ООО «ХОМЛИН ЛЭНД» (ПЕГАС) [Чайковский]</t>
        </is>
      </c>
      <c r="G646" s="3">
        <f>ROUND(D646/(100-E646)*100,2)</f>
        <v/>
      </c>
      <c r="H646" s="5" t="n">
        <v>46279.58333333334</v>
      </c>
      <c r="I646" t="n">
        <v>5</v>
      </c>
      <c r="J646" s="3">
        <f>G646/I646</f>
        <v/>
      </c>
      <c r="K646">
        <f>IF(J646&gt;=5100,"ставка","мин.ставка")</f>
        <v/>
      </c>
      <c r="L646" s="3">
        <f>ROUND(IF(K646="мин.ставка",I646*100,G646/102*2),2)</f>
        <v/>
      </c>
      <c r="M646" s="5" t="n">
        <v>46284.5</v>
      </c>
      <c r="N646" t="inlineStr">
        <is>
          <t>TravelLine PGS</t>
        </is>
      </c>
      <c r="O646" s="2" t="inlineStr">
        <is>
          <t>СТАНДАРТНЫЙ ДВУХМЕСТНЫЙ НОМЕР (МАНСАРДА)</t>
        </is>
      </c>
      <c r="P646" s="6" t="n"/>
      <c r="R646" t="inlineStr"/>
      <c r="S646" t="inlineStr">
        <is>
          <t>Тариф с завтраком</t>
        </is>
      </c>
      <c r="T646" t="n">
        <v>0</v>
      </c>
      <c r="U646" t="n">
        <v>42075</v>
      </c>
    </row>
    <row r="647">
      <c r="A647" t="inlineStr">
        <is>
          <t>20260803-8186-453610722</t>
        </is>
      </c>
      <c r="B647" t="n">
        <v>1</v>
      </c>
      <c r="C647" s="2" t="inlineStr">
        <is>
          <t>Мария Рознер</t>
        </is>
      </c>
      <c r="D647" s="3" t="n">
        <v>6320</v>
      </c>
      <c r="E647" s="4" t="n">
        <v>18</v>
      </c>
      <c r="F647" t="inlineStr">
        <is>
          <t>Яндекс.Путешествия [Чайковский]</t>
        </is>
      </c>
      <c r="G647" s="3">
        <f>ROUND(D647/(100-E647)*100,2)</f>
        <v/>
      </c>
      <c r="H647" s="5" t="n">
        <v>46237.58333333334</v>
      </c>
      <c r="I647" t="n">
        <v>1</v>
      </c>
      <c r="J647" s="3">
        <f>G647/I647</f>
        <v/>
      </c>
      <c r="K647">
        <f>IF(J647&gt;=5100,"ставка","мин.ставка")</f>
        <v/>
      </c>
      <c r="L647" s="3">
        <f>ROUND(IF(K647="мин.ставка",I647*100,G647/102*2),2)</f>
        <v/>
      </c>
      <c r="M647" s="5" t="n">
        <v>46238.5</v>
      </c>
      <c r="N647" t="inlineStr">
        <is>
          <t>TravelLine YAX</t>
        </is>
      </c>
      <c r="O647" s="2" t="inlineStr">
        <is>
          <t>СТАНДАРТНЫЙ ДВУХМЕСТНЫЙ НОМЕР (МАНСАРДА)</t>
        </is>
      </c>
      <c r="P647" s="6" t="n"/>
      <c r="R647" t="inlineStr"/>
      <c r="S647" t="inlineStr">
        <is>
          <t>Тариф с завтраком</t>
        </is>
      </c>
      <c r="T647" t="n">
        <v>0</v>
      </c>
      <c r="U647" t="n">
        <v>6320</v>
      </c>
    </row>
    <row r="648">
      <c r="A648" t="inlineStr">
        <is>
          <t>20260927-8186-468805448</t>
        </is>
      </c>
      <c r="B648" t="n">
        <v>1</v>
      </c>
      <c r="C648" s="2" t="inlineStr">
        <is>
          <t>Мария Сазонова</t>
        </is>
      </c>
      <c r="D648" s="3" t="n">
        <v>6160</v>
      </c>
      <c r="E648" s="4" t="n">
        <v>18</v>
      </c>
      <c r="F648" t="inlineStr">
        <is>
          <t>Яндекс.Путешествия [Чайковский]</t>
        </is>
      </c>
      <c r="G648" s="3">
        <f>ROUND(D648/(100-E648)*100,2)</f>
        <v/>
      </c>
      <c r="H648" s="5" t="n">
        <v>46292.58333333334</v>
      </c>
      <c r="I648" t="n">
        <v>1</v>
      </c>
      <c r="J648" s="3">
        <f>G648/I648</f>
        <v/>
      </c>
      <c r="K648">
        <f>IF(J648&gt;=5100,"ставка","мин.ставка")</f>
        <v/>
      </c>
      <c r="L648" s="3">
        <f>ROUND(IF(K648="мин.ставка",I648*100,G648/102*2),2)</f>
        <v/>
      </c>
      <c r="M648" s="5" t="n">
        <v>46293.5</v>
      </c>
      <c r="N648" t="inlineStr">
        <is>
          <t>TravelLine YAX</t>
        </is>
      </c>
      <c r="O648" s="2" t="inlineStr">
        <is>
          <t>СТАНДАРТНЫЙ ОДНОМЕСТНЫЙ НОМЕР</t>
        </is>
      </c>
      <c r="P648" s="6" t="n"/>
      <c r="R648" t="inlineStr"/>
      <c r="S648" t="inlineStr">
        <is>
          <t>Тариф с завтраком</t>
        </is>
      </c>
      <c r="T648" t="n">
        <v>0</v>
      </c>
      <c r="U648" t="n">
        <v>6160</v>
      </c>
    </row>
    <row r="649">
      <c r="A649" t="inlineStr">
        <is>
          <t>20260813-8186-436955349</t>
        </is>
      </c>
      <c r="B649" t="n">
        <v>1</v>
      </c>
      <c r="C649" s="2" t="inlineStr">
        <is>
          <t>МАРИЯ САММУТ КАБАНОВА, Аня САММУТ КАБАНОВА</t>
        </is>
      </c>
      <c r="D649" s="3" t="n">
        <v>23760</v>
      </c>
      <c r="E649" s="4" t="n">
        <v>18</v>
      </c>
      <c r="F649" t="inlineStr">
        <is>
          <t>Яндекс.Путешествия [Чайковский]</t>
        </is>
      </c>
      <c r="G649" s="3">
        <f>ROUND(D649/(100-E649)*100,2)</f>
        <v/>
      </c>
      <c r="H649" s="5" t="n">
        <v>46247.58333333334</v>
      </c>
      <c r="I649" t="n">
        <v>3</v>
      </c>
      <c r="J649" s="3">
        <f>G649/I649</f>
        <v/>
      </c>
      <c r="K649">
        <f>IF(J649&gt;=5100,"ставка","мин.ставка")</f>
        <v/>
      </c>
      <c r="L649" s="3">
        <f>ROUND(IF(K649="мин.ставка",I649*100,G649/102*2),2)</f>
        <v/>
      </c>
      <c r="M649" s="5" t="n">
        <v>46250.5</v>
      </c>
      <c r="N649" t="inlineStr">
        <is>
          <t>TravelLine YAX</t>
        </is>
      </c>
      <c r="O649" s="2" t="inlineStr">
        <is>
          <t>СТАНДАРТНЫЙ ДВУХМЕСТНЫЙ НОМЕР (МАНСАРДА)</t>
        </is>
      </c>
      <c r="P649" s="6" t="n"/>
      <c r="R649" t="inlineStr"/>
      <c r="S649" t="inlineStr">
        <is>
          <t>Тариф с завтраком</t>
        </is>
      </c>
      <c r="T649" t="n">
        <v>0</v>
      </c>
      <c r="U649" t="n">
        <v>23760</v>
      </c>
    </row>
    <row r="650">
      <c r="A650" t="inlineStr">
        <is>
          <t>20260723-8186-448963382</t>
        </is>
      </c>
      <c r="B650" t="n">
        <v>1</v>
      </c>
      <c r="C650" s="2" t="inlineStr">
        <is>
          <t>МАРИЯ СЕЛИВЕРСТОВА</t>
        </is>
      </c>
      <c r="D650" s="3" t="n">
        <v>40200</v>
      </c>
      <c r="E650" s="4" t="n">
        <v>0</v>
      </c>
      <c r="F650" t="inlineStr">
        <is>
          <t>Прямые бронирования (стойка) [Чайковский]</t>
        </is>
      </c>
      <c r="G650" s="3">
        <f>ROUND(D650/(100-E650)*100,2)</f>
        <v/>
      </c>
      <c r="H650" s="5" t="n">
        <v>46226.58333333334</v>
      </c>
      <c r="I650" t="n">
        <v>3</v>
      </c>
      <c r="J650" s="3">
        <f>G650/I650</f>
        <v/>
      </c>
      <c r="K650">
        <f>IF(J650&gt;=5100,"ставка","мин.ставка")</f>
        <v/>
      </c>
      <c r="L650" s="3">
        <f>ROUND(IF(K650="мин.ставка",I650*100,G650/102*2),2)</f>
        <v/>
      </c>
      <c r="M650" s="5" t="n">
        <v>46229.5</v>
      </c>
      <c r="N650" t="inlineStr">
        <is>
          <t>TravelLine ресепшн</t>
        </is>
      </c>
      <c r="O650" s="2" t="inlineStr">
        <is>
          <t>УЛУЧШЕННЫЙ ДВУХМЕСТНЫЙ НОМЕР</t>
        </is>
      </c>
      <c r="P650" s="6" t="n"/>
      <c r="R650" t="inlineStr"/>
      <c r="S650" t="inlineStr">
        <is>
          <t>Тариф с завтраком</t>
        </is>
      </c>
      <c r="T650" t="n">
        <v>0</v>
      </c>
      <c r="U650" t="n">
        <v>40200</v>
      </c>
    </row>
    <row r="651">
      <c r="A651" t="inlineStr">
        <is>
          <t>20260804-8186-455621888</t>
        </is>
      </c>
      <c r="B651" t="n">
        <v>1</v>
      </c>
      <c r="C651" s="2" t="inlineStr">
        <is>
          <t>Мария Семенова</t>
        </is>
      </c>
      <c r="D651" s="3" t="n">
        <v>6557</v>
      </c>
      <c r="E651" s="4" t="n">
        <v>18</v>
      </c>
      <c r="F651" t="inlineStr">
        <is>
          <t>Яндекс.Путешествия [Чайковский]</t>
        </is>
      </c>
      <c r="G651" s="3">
        <f>ROUND(D651/(100-E651)*100,2)</f>
        <v/>
      </c>
      <c r="H651" s="5" t="n">
        <v>46238.58333333334</v>
      </c>
      <c r="I651" t="n">
        <v>1</v>
      </c>
      <c r="J651" s="3">
        <f>G651/I651</f>
        <v/>
      </c>
      <c r="K651">
        <f>IF(J651&gt;=5100,"ставка","мин.ставка")</f>
        <v/>
      </c>
      <c r="L651" s="3">
        <f>ROUND(IF(K651="мин.ставка",I651*100,G651/102*2),2)</f>
        <v/>
      </c>
      <c r="M651" s="5" t="n">
        <v>46239.5</v>
      </c>
      <c r="N651" t="inlineStr">
        <is>
          <t>TravelLine YAX</t>
        </is>
      </c>
      <c r="O651" s="2" t="inlineStr">
        <is>
          <t>СТАНДАРТНЫЙ ДВУХМЕСТНЫЙ НОМЕР (МАНСАРДА)</t>
        </is>
      </c>
      <c r="P651" s="6" t="n"/>
      <c r="R651" t="inlineStr"/>
      <c r="S651" t="inlineStr">
        <is>
          <t>Тариф с завтраком</t>
        </is>
      </c>
      <c r="T651" t="n">
        <v>0</v>
      </c>
      <c r="U651" t="n">
        <v>6557</v>
      </c>
    </row>
    <row r="652">
      <c r="A652" t="inlineStr">
        <is>
          <t>20260701-8186-442331561</t>
        </is>
      </c>
      <c r="B652" t="n">
        <v>1</v>
      </c>
      <c r="C652" s="2" t="inlineStr">
        <is>
          <t>МАРИЯ ХРОМОВА, ВИКТОРИЯ СЕМЕНОВА</t>
        </is>
      </c>
      <c r="D652" s="3" t="n">
        <v>13350</v>
      </c>
      <c r="E652" s="4" t="n">
        <v>0</v>
      </c>
      <c r="F652" t="inlineStr">
        <is>
          <t>Прямые бронирования (стойка) [Чайковский]</t>
        </is>
      </c>
      <c r="G652" s="3">
        <f>ROUND(D652/(100-E652)*100,2)</f>
        <v/>
      </c>
      <c r="H652" s="5" t="n">
        <v>46204.58333333334</v>
      </c>
      <c r="I652" t="n">
        <v>1</v>
      </c>
      <c r="J652" s="3">
        <f>G652/I652</f>
        <v/>
      </c>
      <c r="K652">
        <f>IF(J652&gt;=5100,"ставка","мин.ставка")</f>
        <v/>
      </c>
      <c r="L652" s="3">
        <f>ROUND(IF(K652="мин.ставка",I652*100,G652/102*2),2)</f>
        <v/>
      </c>
      <c r="M652" s="5" t="n">
        <v>46205.5</v>
      </c>
      <c r="N652" t="inlineStr">
        <is>
          <t>TravelLine ресепшн</t>
        </is>
      </c>
      <c r="O652" s="2" t="inlineStr">
        <is>
          <t>СТАНДАРТНЫЙ ДВУХМЕСТНЫЙ НОМЕР</t>
        </is>
      </c>
      <c r="P652" s="6" t="n"/>
      <c r="R652" t="inlineStr"/>
      <c r="S652" t="inlineStr">
        <is>
          <t>Тариф с завтраком</t>
        </is>
      </c>
      <c r="T652" t="n">
        <v>0</v>
      </c>
      <c r="U652" t="n">
        <v>13350</v>
      </c>
    </row>
    <row r="653">
      <c r="A653" t="inlineStr">
        <is>
          <t>20260910-8186-427551341</t>
        </is>
      </c>
      <c r="B653" t="n">
        <v>1</v>
      </c>
      <c r="C653" s="2" t="inlineStr">
        <is>
          <t>Мария Штыркина, Ольга Мулдашева</t>
        </is>
      </c>
      <c r="D653" s="3" t="n">
        <v>36045</v>
      </c>
      <c r="E653" s="4" t="n">
        <v>0</v>
      </c>
      <c r="F653" t="inlineStr">
        <is>
          <t>Прямые бронирования (стойка) [Чайковский]</t>
        </is>
      </c>
      <c r="G653" s="3">
        <f>ROUND(D653/(100-E653)*100,2)</f>
        <v/>
      </c>
      <c r="H653" s="5" t="n">
        <v>46275.58333333334</v>
      </c>
      <c r="I653" t="n">
        <v>3</v>
      </c>
      <c r="J653" s="3">
        <f>G653/I653</f>
        <v/>
      </c>
      <c r="K653">
        <f>IF(J653&gt;=5100,"ставка","мин.ставка")</f>
        <v/>
      </c>
      <c r="L653" s="3">
        <f>ROUND(IF(K653="мин.ставка",I653*100,G653/102*2),2)</f>
        <v/>
      </c>
      <c r="M653" s="5" t="n">
        <v>46278.5</v>
      </c>
      <c r="N653" t="inlineStr">
        <is>
          <t>TravelLine ресепшн</t>
        </is>
      </c>
      <c r="O653" s="2" t="inlineStr">
        <is>
          <t>СТАНДАРТНЫЙ ДВУХМЕСТНЫЙ НОМЕР</t>
        </is>
      </c>
      <c r="P653" s="6" t="n"/>
      <c r="R653" t="inlineStr"/>
      <c r="S653" t="inlineStr">
        <is>
          <t>Тариф с завтраком</t>
        </is>
      </c>
      <c r="T653" t="n">
        <v>0</v>
      </c>
      <c r="U653" t="n">
        <v>216270</v>
      </c>
    </row>
    <row r="654">
      <c r="A654" t="inlineStr">
        <is>
          <t>20260813-8186-456350100</t>
        </is>
      </c>
      <c r="B654" t="n">
        <v>1</v>
      </c>
      <c r="C654" s="2" t="inlineStr">
        <is>
          <t>Матвей Фролов, Мария Фролова</t>
        </is>
      </c>
      <c r="D654" s="3" t="n">
        <v>64080</v>
      </c>
      <c r="E654" s="4" t="n">
        <v>20</v>
      </c>
      <c r="F654" t="inlineStr">
        <is>
          <t>ООО "КОМПАНИЯ БРОНЕВИК" [Чайковский]</t>
        </is>
      </c>
      <c r="G654" s="3">
        <f>ROUND(D654/(100-E654)*100,2)</f>
        <v/>
      </c>
      <c r="H654" s="5" t="n">
        <v>46247.58333333334</v>
      </c>
      <c r="I654" t="n">
        <v>6</v>
      </c>
      <c r="J654" s="3">
        <f>G654/I654</f>
        <v/>
      </c>
      <c r="K654">
        <f>IF(J654&gt;=5100,"ставка","мин.ставка")</f>
        <v/>
      </c>
      <c r="L654" s="3">
        <f>ROUND(IF(K654="мин.ставка",I654*100,G654/102*2),2)</f>
        <v/>
      </c>
      <c r="M654" s="5" t="n">
        <v>46253.5</v>
      </c>
      <c r="N654" t="inlineStr">
        <is>
          <t>TravelLine BR2</t>
        </is>
      </c>
      <c r="O654" s="2" t="inlineStr">
        <is>
          <t>СТАНДАРТНЫЙ ДВУХМЕСТНЫЙ НОМЕР</t>
        </is>
      </c>
      <c r="P654" s="6" t="n"/>
      <c r="R654" t="inlineStr"/>
      <c r="S654" t="inlineStr">
        <is>
          <t>Тариф с завтраком</t>
        </is>
      </c>
      <c r="T654" t="n">
        <v>0</v>
      </c>
      <c r="U654" t="n">
        <v>64080</v>
      </c>
    </row>
    <row r="655">
      <c r="A655" t="inlineStr">
        <is>
          <t>20260810-8186-457515494</t>
        </is>
      </c>
      <c r="B655" t="n">
        <v>1</v>
      </c>
      <c r="C655" s="2" t="inlineStr">
        <is>
          <t>Михаил Дворкин, Мария Леевик, Герман Дворкин</t>
        </is>
      </c>
      <c r="D655" s="3" t="n">
        <v>14317.5</v>
      </c>
      <c r="E655" s="4" t="n">
        <v>17</v>
      </c>
      <c r="F655" t="inlineStr">
        <is>
          <t>ООО «Интернет Трэвел» (OZON) [Чайковский]</t>
        </is>
      </c>
      <c r="G655" s="3">
        <f>ROUND(D655/(100-E655)*100,2)</f>
        <v/>
      </c>
      <c r="H655" s="5" t="n">
        <v>46244.58333333334</v>
      </c>
      <c r="I655" t="n">
        <v>1</v>
      </c>
      <c r="J655" s="3">
        <f>G655/I655</f>
        <v/>
      </c>
      <c r="K655">
        <f>IF(J655&gt;=5100,"ставка","мин.ставка")</f>
        <v/>
      </c>
      <c r="L655" s="3">
        <f>ROUND(IF(K655="мин.ставка",I655*100,G655/102*2),2)</f>
        <v/>
      </c>
      <c r="M655" s="5" t="n">
        <v>46245.5</v>
      </c>
      <c r="N655" t="inlineStr">
        <is>
          <t>TravelLine OZ2</t>
        </is>
      </c>
      <c r="O655" s="2" t="inlineStr">
        <is>
          <t>СЕМЕЙНЫЙ НОМЕР КАТЕГОРИИ "СТАНДАРТ" ВТОРОЙ КОРПУС</t>
        </is>
      </c>
      <c r="P655" s="6" t="n"/>
      <c r="R655" t="inlineStr"/>
      <c r="S655" t="inlineStr">
        <is>
          <t>Тариф с завтраком</t>
        </is>
      </c>
      <c r="T655" t="n">
        <v>0</v>
      </c>
      <c r="U655" t="n">
        <v>14317.5</v>
      </c>
    </row>
    <row r="656">
      <c r="A656" t="inlineStr">
        <is>
          <t>20260731-8186-450039766</t>
        </is>
      </c>
      <c r="B656" t="n">
        <v>1</v>
      </c>
      <c r="C656" s="2" t="inlineStr">
        <is>
          <t>Михаил Запальский</t>
        </is>
      </c>
      <c r="D656" s="3" t="n">
        <v>15555.1</v>
      </c>
      <c r="E656" s="4" t="n">
        <v>4</v>
      </c>
      <c r="F656" t="inlineStr">
        <is>
          <t>TravelLine Booking Engine [Чайковский]</t>
        </is>
      </c>
      <c r="G656" s="3">
        <f>ROUND(D656/(100-E656)*100,2)</f>
        <v/>
      </c>
      <c r="H656" s="5" t="n">
        <v>46234.58333333334</v>
      </c>
      <c r="I656" t="n">
        <v>2</v>
      </c>
      <c r="J656" s="3">
        <f>G656/I656</f>
        <v/>
      </c>
      <c r="K656">
        <f>IF(J656&gt;=5100,"ставка","мин.ставка")</f>
        <v/>
      </c>
      <c r="L656" s="3">
        <f>ROUND(IF(K656="мин.ставка",I656*100,G656/102*2),2)</f>
        <v/>
      </c>
      <c r="M656" s="5" t="n">
        <v>46236.5</v>
      </c>
      <c r="N656" t="inlineStr">
        <is>
          <t>TravelLine сайт</t>
        </is>
      </c>
      <c r="O656" s="2" t="inlineStr">
        <is>
          <t>СТАНДАРТНЫЙ ДВУХМЕСТНЫЙ НОМЕР (МАНСАРДА)</t>
        </is>
      </c>
      <c r="P656" s="6" t="n"/>
      <c r="R656" t="inlineStr"/>
      <c r="S656" t="inlineStr">
        <is>
          <t>Тариф с завтраком</t>
        </is>
      </c>
      <c r="T656" t="n">
        <v>0</v>
      </c>
      <c r="U656" t="n">
        <v>15555.1</v>
      </c>
    </row>
    <row r="657">
      <c r="A657" t="inlineStr">
        <is>
          <t>20260721-8186-421839122</t>
        </is>
      </c>
      <c r="B657" t="n">
        <v>1</v>
      </c>
      <c r="C657" s="2" t="inlineStr">
        <is>
          <t>МИХАИЛ ИНЯКИН, АЛЕКСАНДРА КОЗЛОВА</t>
        </is>
      </c>
      <c r="D657" s="3" t="n">
        <v>64080</v>
      </c>
      <c r="E657" s="4" t="n">
        <v>0</v>
      </c>
      <c r="F657" t="inlineStr">
        <is>
          <t>Прямые бронирования (стойка) [Чайковский]</t>
        </is>
      </c>
      <c r="G657" s="3">
        <f>ROUND(D657/(100-E657)*100,2)</f>
        <v/>
      </c>
      <c r="H657" s="5" t="n">
        <v>46224.58333333334</v>
      </c>
      <c r="I657" t="n">
        <v>6</v>
      </c>
      <c r="J657" s="3">
        <f>G657/I657</f>
        <v/>
      </c>
      <c r="K657">
        <f>IF(J657&gt;=5100,"ставка","мин.ставка")</f>
        <v/>
      </c>
      <c r="L657" s="3">
        <f>ROUND(IF(K657="мин.ставка",I657*100,G657/102*2),2)</f>
        <v/>
      </c>
      <c r="M657" s="5" t="n">
        <v>46230.5</v>
      </c>
      <c r="N657" t="inlineStr">
        <is>
          <t>TravelLine ресепшн</t>
        </is>
      </c>
      <c r="O657" s="2" t="inlineStr">
        <is>
          <t>СТАНДАРТНЫЙ ДВУХМЕСТНЫЙ НОМЕР</t>
        </is>
      </c>
      <c r="P657" s="6" t="n"/>
      <c r="R657" t="inlineStr"/>
      <c r="S657" t="inlineStr">
        <is>
          <t>Тариф с завтраком</t>
        </is>
      </c>
      <c r="T657" t="n">
        <v>0</v>
      </c>
      <c r="U657" t="n">
        <v>64080</v>
      </c>
    </row>
    <row r="658">
      <c r="A658" t="inlineStr">
        <is>
          <t>20260824-8186-450244783</t>
        </is>
      </c>
      <c r="B658" t="n">
        <v>1</v>
      </c>
      <c r="C658" s="2" t="inlineStr">
        <is>
          <t>Михаил Каюмов</t>
        </is>
      </c>
      <c r="D658" s="3" t="n">
        <v>6160</v>
      </c>
      <c r="E658" s="4" t="n">
        <v>20</v>
      </c>
      <c r="F658" t="inlineStr">
        <is>
          <t>ООО "КОМПАНИЯ БРОНЕВИК" [Чайковский]</t>
        </is>
      </c>
      <c r="G658" s="3">
        <f>ROUND(D658/(100-E658)*100,2)</f>
        <v/>
      </c>
      <c r="H658" s="5" t="n">
        <v>46258.58333333334</v>
      </c>
      <c r="I658" t="n">
        <v>1</v>
      </c>
      <c r="J658" s="3">
        <f>G658/I658</f>
        <v/>
      </c>
      <c r="K658">
        <f>IF(J658&gt;=5100,"ставка","мин.ставка")</f>
        <v/>
      </c>
      <c r="L658" s="3">
        <f>ROUND(IF(K658="мин.ставка",I658*100,G658/102*2),2)</f>
        <v/>
      </c>
      <c r="M658" s="5" t="n">
        <v>46259.5</v>
      </c>
      <c r="N658" t="inlineStr">
        <is>
          <t>TravelLine BR2</t>
        </is>
      </c>
      <c r="O658" s="2" t="inlineStr">
        <is>
          <t>СТАНДАРТНЫЙ ОДНОМЕСТНЫЙ НОМЕР</t>
        </is>
      </c>
      <c r="P658" s="6" t="n"/>
      <c r="R658" t="inlineStr"/>
      <c r="S658" t="inlineStr">
        <is>
          <t>Тариф с завтраком</t>
        </is>
      </c>
      <c r="T658" t="n">
        <v>0</v>
      </c>
      <c r="U658" t="n">
        <v>6160</v>
      </c>
    </row>
    <row r="659">
      <c r="A659" t="inlineStr">
        <is>
          <t>20260705-8186-420485306</t>
        </is>
      </c>
      <c r="B659" t="n">
        <v>1</v>
      </c>
      <c r="C659" s="2" t="inlineStr">
        <is>
          <t>МИХАИЛ КОРСАКОВ, ЕЛЕНА Осипова</t>
        </is>
      </c>
      <c r="D659" s="3" t="n">
        <v>13350</v>
      </c>
      <c r="E659" s="4" t="n">
        <v>0</v>
      </c>
      <c r="F659" t="inlineStr">
        <is>
          <t>Прямые бронирования (стойка) [Чайковский]</t>
        </is>
      </c>
      <c r="G659" s="3">
        <f>ROUND(D659/(100-E659)*100,2)</f>
        <v/>
      </c>
      <c r="H659" s="5" t="n">
        <v>46208.58333333334</v>
      </c>
      <c r="I659" t="n">
        <v>1</v>
      </c>
      <c r="J659" s="3">
        <f>G659/I659</f>
        <v/>
      </c>
      <c r="K659">
        <f>IF(J659&gt;=5100,"ставка","мин.ставка")</f>
        <v/>
      </c>
      <c r="L659" s="3">
        <f>ROUND(IF(K659="мин.ставка",I659*100,G659/102*2),2)</f>
        <v/>
      </c>
      <c r="M659" s="5" t="n">
        <v>46209.5</v>
      </c>
      <c r="N659" t="inlineStr">
        <is>
          <t>TravelLine ресепшн</t>
        </is>
      </c>
      <c r="O659" s="2" t="inlineStr">
        <is>
          <t>СТАНДАРТНЫЙ ДВУХМЕСТНЫЙ НОМЕР</t>
        </is>
      </c>
      <c r="P659" s="6" t="n"/>
      <c r="R659" t="inlineStr"/>
      <c r="S659" t="inlineStr">
        <is>
          <t>Тариф с завтраком</t>
        </is>
      </c>
      <c r="T659" t="n">
        <v>0</v>
      </c>
      <c r="U659" t="n">
        <v>13350</v>
      </c>
    </row>
    <row r="660">
      <c r="A660" t="inlineStr">
        <is>
          <t>20260707-8186-438267525</t>
        </is>
      </c>
      <c r="B660" t="n">
        <v>1</v>
      </c>
      <c r="C660" s="2" t="inlineStr">
        <is>
          <t>МИХАИЛ МОРОЗОВ, Полина Морозова</t>
        </is>
      </c>
      <c r="D660" s="3" t="n">
        <v>66750</v>
      </c>
      <c r="E660" s="4" t="n">
        <v>0</v>
      </c>
      <c r="F660" t="inlineStr">
        <is>
          <t>Прямые бронирования (стойка) [Чайковский]</t>
        </is>
      </c>
      <c r="G660" s="3">
        <f>ROUND(D660/(100-E660)*100,2)</f>
        <v/>
      </c>
      <c r="H660" s="5" t="n">
        <v>46210.58333333334</v>
      </c>
      <c r="I660" t="n">
        <v>5</v>
      </c>
      <c r="J660" s="3">
        <f>G660/I660</f>
        <v/>
      </c>
      <c r="K660">
        <f>IF(J660&gt;=5100,"ставка","мин.ставка")</f>
        <v/>
      </c>
      <c r="L660" s="3">
        <f>ROUND(IF(K660="мин.ставка",I660*100,G660/102*2),2)</f>
        <v/>
      </c>
      <c r="M660" s="5" t="n">
        <v>46215.5</v>
      </c>
      <c r="N660" t="inlineStr">
        <is>
          <t>TravelLine ресепшн</t>
        </is>
      </c>
      <c r="O660" s="2" t="inlineStr">
        <is>
          <t>СТАНДАРТНЫЙ ДВУХМЕСТНЫЙ НОМЕР</t>
        </is>
      </c>
      <c r="P660" s="6" t="n"/>
      <c r="R660" t="inlineStr"/>
      <c r="S660" t="inlineStr">
        <is>
          <t>Тариф с завтраком</t>
        </is>
      </c>
      <c r="T660" t="n">
        <v>400</v>
      </c>
      <c r="U660" t="n">
        <v>67150</v>
      </c>
    </row>
    <row r="661">
      <c r="A661" t="inlineStr">
        <is>
          <t>20260817-8186-435147824</t>
        </is>
      </c>
      <c r="B661" t="n">
        <v>1</v>
      </c>
      <c r="C661" s="2" t="inlineStr">
        <is>
          <t>Михаил Полежаев, МАРИЯ ПОЛЕЖАЕВА</t>
        </is>
      </c>
      <c r="D661" s="3" t="n">
        <v>40460</v>
      </c>
      <c r="E661" s="4" t="n">
        <v>0</v>
      </c>
      <c r="F661" t="inlineStr">
        <is>
          <t>Прямые бронирования (стойка) [Чайковский]</t>
        </is>
      </c>
      <c r="G661" s="3">
        <f>ROUND(D661/(100-E661)*100,2)</f>
        <v/>
      </c>
      <c r="H661" s="5" t="n">
        <v>46251.58333333334</v>
      </c>
      <c r="I661" t="n">
        <v>3</v>
      </c>
      <c r="J661" s="3">
        <f>G661/I661</f>
        <v/>
      </c>
      <c r="K661">
        <f>IF(J661&gt;=5100,"ставка","мин.ставка")</f>
        <v/>
      </c>
      <c r="L661" s="3">
        <f>ROUND(IF(K661="мин.ставка",I661*100,G661/102*2),2)</f>
        <v/>
      </c>
      <c r="M661" s="5" t="n">
        <v>46254.5</v>
      </c>
      <c r="N661" t="inlineStr">
        <is>
          <t>TravelLine ресепшн</t>
        </is>
      </c>
      <c r="O661" s="2" t="inlineStr">
        <is>
          <t>СЕМЕЙНЫЙ НОМЕР КАТЕГОРИИ "СТАНДАРТ" ВТОРОЙ КОРПУС</t>
        </is>
      </c>
      <c r="P661" s="6" t="n"/>
      <c r="R661" t="inlineStr"/>
      <c r="S661" t="inlineStr">
        <is>
          <t>Тариф с завтраком</t>
        </is>
      </c>
      <c r="T661" t="n">
        <v>19800</v>
      </c>
      <c r="U661" t="n">
        <v>60260</v>
      </c>
    </row>
    <row r="662">
      <c r="A662" t="inlineStr">
        <is>
          <t>20260817-8186-459136649</t>
        </is>
      </c>
      <c r="B662" t="n">
        <v>1</v>
      </c>
      <c r="C662" s="2" t="inlineStr">
        <is>
          <t>МИХАИЛ ПРОНИН</t>
        </is>
      </c>
      <c r="D662" s="3" t="n">
        <v>23100</v>
      </c>
      <c r="E662" s="4" t="n">
        <v>0</v>
      </c>
      <c r="F662" t="inlineStr">
        <is>
          <t>Прямые бронирования (стойка) [Чайковский]</t>
        </is>
      </c>
      <c r="G662" s="3">
        <f>ROUND(D662/(100-E662)*100,2)</f>
        <v/>
      </c>
      <c r="H662" s="5" t="n">
        <v>46251.58333333334</v>
      </c>
      <c r="I662" t="n">
        <v>3</v>
      </c>
      <c r="J662" s="3">
        <f>G662/I662</f>
        <v/>
      </c>
      <c r="K662">
        <f>IF(J662&gt;=5100,"ставка","мин.ставка")</f>
        <v/>
      </c>
      <c r="L662" s="3">
        <f>ROUND(IF(K662="мин.ставка",I662*100,G662/102*2),2)</f>
        <v/>
      </c>
      <c r="M662" s="5" t="n">
        <v>46254.5</v>
      </c>
      <c r="N662" t="inlineStr">
        <is>
          <t>TravelLine ресепшн</t>
        </is>
      </c>
      <c r="O662" s="2" t="inlineStr">
        <is>
          <t>СТАНДАРТНЫЙ ОДНОМЕСТНЫЙ НОМЕР</t>
        </is>
      </c>
      <c r="P662" s="6" t="n"/>
      <c r="R662" t="inlineStr"/>
      <c r="S662" t="inlineStr">
        <is>
          <t>Тариф с завтраком</t>
        </is>
      </c>
      <c r="T662" t="n">
        <v>0</v>
      </c>
      <c r="U662" t="n">
        <v>23100</v>
      </c>
    </row>
    <row r="663">
      <c r="A663" t="inlineStr">
        <is>
          <t>20260803-8186-429997810</t>
        </is>
      </c>
      <c r="B663" t="n">
        <v>1</v>
      </c>
      <c r="C663" s="2" t="inlineStr">
        <is>
          <t>Михаил Селецкий, Анна Гордеева</t>
        </is>
      </c>
      <c r="D663" s="3" t="n">
        <v>39270</v>
      </c>
      <c r="E663" s="4" t="n">
        <v>16</v>
      </c>
      <c r="F663" t="inlineStr">
        <is>
          <t>ООО "БРОНИРОВАНИЕ ГОСТИНИЦ" (OSTROVOK) [Чайковский]</t>
        </is>
      </c>
      <c r="G663" s="3">
        <f>ROUND(D663/(100-E663)*100,2)</f>
        <v/>
      </c>
      <c r="H663" s="5" t="n">
        <v>46237.58333333334</v>
      </c>
      <c r="I663" t="n">
        <v>3</v>
      </c>
      <c r="J663" s="3">
        <f>G663/I663</f>
        <v/>
      </c>
      <c r="K663">
        <f>IF(J663&gt;=5100,"ставка","мин.ставка")</f>
        <v/>
      </c>
      <c r="L663" s="3">
        <f>ROUND(IF(K663="мин.ставка",I663*100,G663/102*2),2)</f>
        <v/>
      </c>
      <c r="M663" s="5" t="n">
        <v>46240.5</v>
      </c>
      <c r="N663" t="inlineStr">
        <is>
          <t>TravelLine OTK</t>
        </is>
      </c>
      <c r="O663" s="2" t="inlineStr">
        <is>
          <t>УЛУЧШЕННЫЙ ДВУХМЕСТНЫЙ НОМЕР</t>
        </is>
      </c>
      <c r="P663" s="6" t="n"/>
      <c r="R663" t="inlineStr"/>
      <c r="S663" t="inlineStr">
        <is>
          <t>Тариф с завтраком</t>
        </is>
      </c>
      <c r="T663" t="n">
        <v>0</v>
      </c>
      <c r="U663" t="n">
        <v>39270</v>
      </c>
    </row>
    <row r="664">
      <c r="A664" t="inlineStr">
        <is>
          <t>20260924-8186-447704409</t>
        </is>
      </c>
      <c r="B664" t="n">
        <v>1</v>
      </c>
      <c r="C664" s="2" t="inlineStr">
        <is>
          <t>Михаил Терехов, Алена Терехова</t>
        </is>
      </c>
      <c r="D664" s="3" t="n">
        <v>23760</v>
      </c>
      <c r="E664" s="4" t="n">
        <v>18</v>
      </c>
      <c r="F664" t="inlineStr">
        <is>
          <t>Яндекс.Путешествия [Чайковский]</t>
        </is>
      </c>
      <c r="G664" s="3">
        <f>ROUND(D664/(100-E664)*100,2)</f>
        <v/>
      </c>
      <c r="H664" s="5" t="n">
        <v>46289.58333333334</v>
      </c>
      <c r="I664" t="n">
        <v>3</v>
      </c>
      <c r="J664" s="3">
        <f>G664/I664</f>
        <v/>
      </c>
      <c r="K664">
        <f>IF(J664&gt;=5100,"ставка","мин.ставка")</f>
        <v/>
      </c>
      <c r="L664" s="3">
        <f>ROUND(IF(K664="мин.ставка",I664*100,G664/102*2),2)</f>
        <v/>
      </c>
      <c r="M664" s="5" t="n">
        <v>46292.5</v>
      </c>
      <c r="N664" t="inlineStr">
        <is>
          <t>TravelLine YAX</t>
        </is>
      </c>
      <c r="O664" s="2" t="inlineStr">
        <is>
          <t>СТАНДАРТНЫЙ ДВУХМЕСТНЫЙ НОМЕР (МАНСАРДА)</t>
        </is>
      </c>
      <c r="P664" s="6" t="n"/>
      <c r="R664" t="inlineStr"/>
      <c r="S664" t="inlineStr">
        <is>
          <t>Тариф с завтраком</t>
        </is>
      </c>
      <c r="T664" t="n">
        <v>0</v>
      </c>
      <c r="U664" t="n">
        <v>23760</v>
      </c>
    </row>
    <row r="665">
      <c r="A665" t="inlineStr">
        <is>
          <t>20260905-8186-460961015</t>
        </is>
      </c>
      <c r="B665" t="n">
        <v>1</v>
      </c>
      <c r="C665" s="2" t="inlineStr">
        <is>
          <t>Михаил Фролов, Оксана Фролова</t>
        </is>
      </c>
      <c r="D665" s="3" t="n">
        <v>88644</v>
      </c>
      <c r="E665" s="4" t="n">
        <v>17</v>
      </c>
      <c r="F665" t="inlineStr">
        <is>
          <t>ООО «Интернет Трэвел» (OZON) [Чайковский]</t>
        </is>
      </c>
      <c r="G665" s="3">
        <f>ROUND(D665/(100-E665)*100,2)</f>
        <v/>
      </c>
      <c r="H665" s="5" t="n">
        <v>46270.58333333334</v>
      </c>
      <c r="I665" t="n">
        <v>8</v>
      </c>
      <c r="J665" s="3">
        <f>G665/I665</f>
        <v/>
      </c>
      <c r="K665">
        <f>IF(J665&gt;=5100,"ставка","мин.ставка")</f>
        <v/>
      </c>
      <c r="L665" s="3">
        <f>ROUND(IF(K665="мин.ставка",I665*100,G665/102*2),2)</f>
        <v/>
      </c>
      <c r="M665" s="5" t="n">
        <v>46278.5</v>
      </c>
      <c r="N665" t="inlineStr">
        <is>
          <t>TravelLine OZ2</t>
        </is>
      </c>
      <c r="O665" s="2" t="inlineStr">
        <is>
          <t>СТАНДАРТНЫЙ ДВУХМЕСТНЫЙ НОМЕР</t>
        </is>
      </c>
      <c r="P665" s="6" t="n"/>
      <c r="R665" t="inlineStr"/>
      <c r="S665" t="inlineStr">
        <is>
          <t>Тариф с завтраком</t>
        </is>
      </c>
      <c r="T665" t="n">
        <v>0</v>
      </c>
      <c r="U665" t="n">
        <v>88644</v>
      </c>
    </row>
    <row r="666">
      <c r="A666" t="inlineStr">
        <is>
          <t>20260720-8186-410208436</t>
        </is>
      </c>
      <c r="B666" t="n">
        <v>1</v>
      </c>
      <c r="C666" s="2" t="inlineStr">
        <is>
          <t>Михаил Чистяков, Алексей Чистяков</t>
        </is>
      </c>
      <c r="D666" s="3" t="n">
        <v>56826</v>
      </c>
      <c r="E666" s="4" t="n">
        <v>18</v>
      </c>
      <c r="F666" t="inlineStr">
        <is>
          <t>Яндекс.Путешествия [Чайковский]</t>
        </is>
      </c>
      <c r="G666" s="3">
        <f>ROUND(D666/(100-E666)*100,2)</f>
        <v/>
      </c>
      <c r="H666" s="5" t="n">
        <v>46223.58333333334</v>
      </c>
      <c r="I666" t="n">
        <v>7</v>
      </c>
      <c r="J666" s="3">
        <f>G666/I666</f>
        <v/>
      </c>
      <c r="K666">
        <f>IF(J666&gt;=5100,"ставка","мин.ставка")</f>
        <v/>
      </c>
      <c r="L666" s="3">
        <f>ROUND(IF(K666="мин.ставка",I666*100,G666/102*2),2)</f>
        <v/>
      </c>
      <c r="M666" s="5" t="n">
        <v>46230.5</v>
      </c>
      <c r="N666" t="inlineStr">
        <is>
          <t>TravelLine YAX</t>
        </is>
      </c>
      <c r="O666" s="2" t="inlineStr">
        <is>
          <t>СТАНДАРТНЫЙ ДВУХМЕСТНЫЙ НОМЕР (МАНСАРДА)</t>
        </is>
      </c>
      <c r="P666" s="6" t="n"/>
      <c r="R666" t="inlineStr"/>
      <c r="S666" t="inlineStr">
        <is>
          <t>Тариф с завтраком</t>
        </is>
      </c>
      <c r="T666" t="n">
        <v>0</v>
      </c>
      <c r="U666" t="n">
        <v>113652</v>
      </c>
    </row>
    <row r="667">
      <c r="A667" t="inlineStr">
        <is>
          <t>20260702-8186-446408397</t>
        </is>
      </c>
      <c r="B667" t="n">
        <v>1</v>
      </c>
      <c r="C667" s="2" t="inlineStr">
        <is>
          <t>мохнов мохнов</t>
        </is>
      </c>
      <c r="D667" s="3" t="n">
        <v>14240</v>
      </c>
      <c r="E667" s="4" t="n">
        <v>0</v>
      </c>
      <c r="F667" t="inlineStr">
        <is>
          <t>Прямые бронирования (стойка) [Чайковский]</t>
        </is>
      </c>
      <c r="G667" s="3">
        <f>ROUND(D667/(100-E667)*100,2)</f>
        <v/>
      </c>
      <c r="H667" s="5" t="n">
        <v>46205.58333333334</v>
      </c>
      <c r="I667" t="n">
        <v>1</v>
      </c>
      <c r="J667" s="3">
        <f>G667/I667</f>
        <v/>
      </c>
      <c r="K667">
        <f>IF(J667&gt;=5100,"ставка","мин.ставка")</f>
        <v/>
      </c>
      <c r="L667" s="3">
        <f>ROUND(IF(K667="мин.ставка",I667*100,G667/102*2),2)</f>
        <v/>
      </c>
      <c r="M667" s="5" t="n">
        <v>46206.5</v>
      </c>
      <c r="N667" t="inlineStr">
        <is>
          <t>TravelLine ресепшн</t>
        </is>
      </c>
      <c r="O667" s="2" t="inlineStr">
        <is>
          <t>ЛЮКС ВТОРОЙ КОРПУС</t>
        </is>
      </c>
      <c r="P667" s="6" t="n"/>
      <c r="R667" t="inlineStr"/>
      <c r="S667" t="inlineStr">
        <is>
          <t>Тариф с завтраком</t>
        </is>
      </c>
      <c r="T667" t="n">
        <v>0</v>
      </c>
      <c r="U667" t="n">
        <v>14240</v>
      </c>
    </row>
    <row r="668">
      <c r="A668" t="inlineStr">
        <is>
          <t>20260822-8186-427442163</t>
        </is>
      </c>
      <c r="B668" t="n">
        <v>1</v>
      </c>
      <c r="C668" s="2" t="inlineStr">
        <is>
          <t>МУРАТ ГАНЕЕВ, ИРИНА АБРАМОВА</t>
        </is>
      </c>
      <c r="D668" s="3" t="n">
        <v>68174</v>
      </c>
      <c r="E668" s="4" t="n">
        <v>17</v>
      </c>
      <c r="F668" t="inlineStr">
        <is>
          <t>ООО "ОНЛАЙН ИННОВАЦИИ" (101 Отель) [Чайковский]</t>
        </is>
      </c>
      <c r="G668" s="3">
        <f>ROUND(D668/(100-E668)*100,2)</f>
        <v/>
      </c>
      <c r="H668" s="5" t="n">
        <v>46256.58333333334</v>
      </c>
      <c r="I668" t="n">
        <v>4</v>
      </c>
      <c r="J668" s="3">
        <f>G668/I668</f>
        <v/>
      </c>
      <c r="K668">
        <f>IF(J668&gt;=5100,"ставка","мин.ставка")</f>
        <v/>
      </c>
      <c r="L668" s="3">
        <f>ROUND(IF(K668="мин.ставка",I668*100,G668/102*2),2)</f>
        <v/>
      </c>
      <c r="M668" s="5" t="n">
        <v>46260.5</v>
      </c>
      <c r="N668" t="inlineStr">
        <is>
          <t>TravelLine H1C</t>
        </is>
      </c>
      <c r="O668" s="2" t="inlineStr">
        <is>
          <t>ЛЮКС</t>
        </is>
      </c>
      <c r="P668" s="6" t="n"/>
      <c r="R668" t="inlineStr"/>
      <c r="S668" t="inlineStr">
        <is>
          <t>Тариф с завтраком</t>
        </is>
      </c>
      <c r="T668" t="n">
        <v>0</v>
      </c>
      <c r="U668" t="n">
        <v>68174</v>
      </c>
    </row>
    <row r="669">
      <c r="A669" t="inlineStr">
        <is>
          <t>20260730-8186-437645974</t>
        </is>
      </c>
      <c r="B669" t="n">
        <v>1</v>
      </c>
      <c r="C669" s="2" t="inlineStr">
        <is>
          <t>Надежда Великанова</t>
        </is>
      </c>
      <c r="D669" s="3" t="n">
        <v>13149.75</v>
      </c>
      <c r="E669" s="4" t="n">
        <v>4</v>
      </c>
      <c r="F669" t="inlineStr">
        <is>
          <t>TravelLine Booking Engine [Чайковский]</t>
        </is>
      </c>
      <c r="G669" s="3">
        <f>ROUND(D669/(100-E669)*100,2)</f>
        <v/>
      </c>
      <c r="H669" s="5" t="n">
        <v>46233.58333333334</v>
      </c>
      <c r="I669" t="n">
        <v>1</v>
      </c>
      <c r="J669" s="3">
        <f>G669/I669</f>
        <v/>
      </c>
      <c r="K669">
        <f>IF(J669&gt;=5100,"ставка","мин.ставка")</f>
        <v/>
      </c>
      <c r="L669" s="3">
        <f>ROUND(IF(K669="мин.ставка",I669*100,G669/102*2),2)</f>
        <v/>
      </c>
      <c r="M669" s="5" t="n">
        <v>46234.5</v>
      </c>
      <c r="N669" t="inlineStr">
        <is>
          <t>TravelLine сайт</t>
        </is>
      </c>
      <c r="O669" s="2" t="inlineStr">
        <is>
          <t>СТАНДАРТНЫЙ ДВУХМЕСТНЫЙ НОМЕР</t>
        </is>
      </c>
      <c r="P669" s="6" t="n"/>
      <c r="R669" t="inlineStr"/>
      <c r="S669" t="inlineStr">
        <is>
          <t>Тариф с завтраком</t>
        </is>
      </c>
      <c r="T669" t="n">
        <v>0</v>
      </c>
      <c r="U669" t="n">
        <v>13149.75</v>
      </c>
    </row>
    <row r="670">
      <c r="A670" t="inlineStr">
        <is>
          <t>20260630-8186-444909188</t>
        </is>
      </c>
      <c r="B670" t="n">
        <v>1</v>
      </c>
      <c r="C670" s="2" t="inlineStr">
        <is>
          <t>Надежда Еремеева</t>
        </is>
      </c>
      <c r="D670" s="3" t="n">
        <v>21440</v>
      </c>
      <c r="E670" s="4" t="n">
        <v>20</v>
      </c>
      <c r="F670" t="inlineStr">
        <is>
          <t>ООО "УК ГЦБ и Т" [Чайковский]</t>
        </is>
      </c>
      <c r="G670" s="3">
        <f>ROUND(D670/(100-E670)*100,2)</f>
        <v/>
      </c>
      <c r="H670" s="5" t="n">
        <v>46203.58333333334</v>
      </c>
      <c r="I670" t="n">
        <v>2</v>
      </c>
      <c r="J670" s="3">
        <f>G670/I670</f>
        <v/>
      </c>
      <c r="K670">
        <f>IF(J670&gt;=5100,"ставка","мин.ставка")</f>
        <v/>
      </c>
      <c r="L670" s="3">
        <f>ROUND(IF(K670="мин.ставка",I670*100,G670/102*2),2)</f>
        <v/>
      </c>
      <c r="M670" s="5" t="n">
        <v>46205.5</v>
      </c>
      <c r="N670" t="inlineStr">
        <is>
          <t>TravelLine CBC</t>
        </is>
      </c>
      <c r="O670" s="2" t="inlineStr">
        <is>
          <t>УЛУЧШЕННЫЙ ДВУХМЕСТНЫЙ НОМЕР</t>
        </is>
      </c>
      <c r="P670" s="6" t="n"/>
      <c r="R670" t="inlineStr"/>
      <c r="S670" t="inlineStr">
        <is>
          <t>Тариф с завтраком</t>
        </is>
      </c>
      <c r="T670" t="n">
        <v>0</v>
      </c>
      <c r="U670" t="n">
        <v>21440</v>
      </c>
    </row>
    <row r="671">
      <c r="A671" t="inlineStr">
        <is>
          <t>20260805-8186-436895950</t>
        </is>
      </c>
      <c r="B671" t="n">
        <v>1</v>
      </c>
      <c r="C671" s="2" t="inlineStr">
        <is>
          <t>НАДЕЖДА ЛЕВЕНКОВА, Мария Гущина</t>
        </is>
      </c>
      <c r="D671" s="3" t="n">
        <v>19651.5</v>
      </c>
      <c r="E671" s="4" t="n">
        <v>4</v>
      </c>
      <c r="F671" t="inlineStr">
        <is>
          <t>TravelLine Booking Engine [Чайковский]</t>
        </is>
      </c>
      <c r="G671" s="3">
        <f>ROUND(D671/(100-E671)*100,2)</f>
        <v/>
      </c>
      <c r="H671" s="5" t="n">
        <v>46239.58333333334</v>
      </c>
      <c r="I671" t="n">
        <v>2</v>
      </c>
      <c r="J671" s="3">
        <f>G671/I671</f>
        <v/>
      </c>
      <c r="K671">
        <f>IF(J671&gt;=5100,"ставка","мин.ставка")</f>
        <v/>
      </c>
      <c r="L671" s="3">
        <f>ROUND(IF(K671="мин.ставка",I671*100,G671/102*2),2)</f>
        <v/>
      </c>
      <c r="M671" s="5" t="n">
        <v>46241.5</v>
      </c>
      <c r="N671" t="inlineStr">
        <is>
          <t>TravelLine сайт</t>
        </is>
      </c>
      <c r="O671" s="2" t="inlineStr">
        <is>
          <t>СТАНДАРТНЫЙ ДВУХМЕСТНЫЙ НОМЕР (МАНСАРДА)</t>
        </is>
      </c>
      <c r="P671" s="6" t="n"/>
      <c r="R671" t="inlineStr"/>
      <c r="S671" t="inlineStr">
        <is>
          <t>Тариф с завтраком</t>
        </is>
      </c>
      <c r="T671" t="n">
        <v>0</v>
      </c>
      <c r="U671" t="n">
        <v>19651.5</v>
      </c>
    </row>
    <row r="672">
      <c r="A672" t="inlineStr">
        <is>
          <t>20260822-8186-425651545</t>
        </is>
      </c>
      <c r="B672" t="n">
        <v>1</v>
      </c>
      <c r="C672" s="2" t="inlineStr">
        <is>
          <t>Надежда Шведова, Даниил Шведов</t>
        </is>
      </c>
      <c r="D672" s="3" t="n">
        <v>60876</v>
      </c>
      <c r="E672" s="4" t="n">
        <v>18</v>
      </c>
      <c r="F672" t="inlineStr">
        <is>
          <t>Яндекс.Путешествия [Чайковский]</t>
        </is>
      </c>
      <c r="G672" s="3">
        <f>ROUND(D672/(100-E672)*100,2)</f>
        <v/>
      </c>
      <c r="H672" s="5" t="n">
        <v>46256.58333333334</v>
      </c>
      <c r="I672" t="n">
        <v>6</v>
      </c>
      <c r="J672" s="3">
        <f>G672/I672</f>
        <v/>
      </c>
      <c r="K672">
        <f>IF(J672&gt;=5100,"ставка","мин.ставка")</f>
        <v/>
      </c>
      <c r="L672" s="3">
        <f>ROUND(IF(K672="мин.ставка",I672*100,G672/102*2),2)</f>
        <v/>
      </c>
      <c r="M672" s="5" t="n">
        <v>46262.5</v>
      </c>
      <c r="N672" t="inlineStr">
        <is>
          <t>TravelLine YAX</t>
        </is>
      </c>
      <c r="O672" s="2" t="inlineStr">
        <is>
          <t>СТАНДАРТНЫЙ ДВУХМЕСТНЫЙ НОМЕР</t>
        </is>
      </c>
      <c r="P672" s="6" t="n"/>
      <c r="R672" t="inlineStr"/>
      <c r="S672" t="inlineStr">
        <is>
          <t>Тариф с завтраком</t>
        </is>
      </c>
      <c r="T672" t="n">
        <v>300</v>
      </c>
      <c r="U672" t="n">
        <v>182928</v>
      </c>
    </row>
    <row r="673">
      <c r="A673" t="inlineStr">
        <is>
          <t>20260813-8186-450552757</t>
        </is>
      </c>
      <c r="B673" t="n">
        <v>1</v>
      </c>
      <c r="C673" s="2" t="inlineStr">
        <is>
          <t>Надежда Шевырина, Владимир Юмашев</t>
        </is>
      </c>
      <c r="D673" s="3" t="n">
        <v>40584</v>
      </c>
      <c r="E673" s="4" t="n">
        <v>18</v>
      </c>
      <c r="F673" t="inlineStr">
        <is>
          <t>Яндекс.Путешествия [Чайковский]</t>
        </is>
      </c>
      <c r="G673" s="3">
        <f>ROUND(D673/(100-E673)*100,2)</f>
        <v/>
      </c>
      <c r="H673" s="5" t="n">
        <v>46247.58333333334</v>
      </c>
      <c r="I673" t="n">
        <v>4</v>
      </c>
      <c r="J673" s="3">
        <f>G673/I673</f>
        <v/>
      </c>
      <c r="K673">
        <f>IF(J673&gt;=5100,"ставка","мин.ставка")</f>
        <v/>
      </c>
      <c r="L673" s="3">
        <f>ROUND(IF(K673="мин.ставка",I673*100,G673/102*2),2)</f>
        <v/>
      </c>
      <c r="M673" s="5" t="n">
        <v>46251.5</v>
      </c>
      <c r="N673" t="inlineStr">
        <is>
          <t>TravelLine YAX</t>
        </is>
      </c>
      <c r="O673" s="2" t="inlineStr">
        <is>
          <t>СТАНДАРТНЫЙ ДВУХМЕСТНЫЙ НОМЕР</t>
        </is>
      </c>
      <c r="P673" s="6" t="n"/>
      <c r="R673" t="inlineStr"/>
      <c r="S673" t="inlineStr">
        <is>
          <t>Тариф с завтраком</t>
        </is>
      </c>
      <c r="T673" t="n">
        <v>0</v>
      </c>
      <c r="U673" t="n">
        <v>40584</v>
      </c>
    </row>
    <row r="674">
      <c r="A674" t="inlineStr">
        <is>
          <t>20260826-8186-447063291</t>
        </is>
      </c>
      <c r="B674" t="n">
        <v>1</v>
      </c>
      <c r="C674" s="2" t="inlineStr">
        <is>
          <t>Наталия Золотарева</t>
        </is>
      </c>
      <c r="D674" s="3" t="n">
        <v>18960</v>
      </c>
      <c r="E674" s="4" t="n">
        <v>20</v>
      </c>
      <c r="F674" t="inlineStr">
        <is>
          <t>ООО "КОМПАНИЯ БРОНЕВИК" [Чайковский]</t>
        </is>
      </c>
      <c r="G674" s="3">
        <f>ROUND(D674/(100-E674)*100,2)</f>
        <v/>
      </c>
      <c r="H674" s="5" t="n">
        <v>46260.58333333334</v>
      </c>
      <c r="I674" t="n">
        <v>3</v>
      </c>
      <c r="J674" s="3">
        <f>G674/I674</f>
        <v/>
      </c>
      <c r="K674">
        <f>IF(J674&gt;=5100,"ставка","мин.ставка")</f>
        <v/>
      </c>
      <c r="L674" s="3">
        <f>ROUND(IF(K674="мин.ставка",I674*100,G674/102*2),2)</f>
        <v/>
      </c>
      <c r="M674" s="5" t="n">
        <v>46263.5</v>
      </c>
      <c r="N674" t="inlineStr">
        <is>
          <t>TravelLine BR2</t>
        </is>
      </c>
      <c r="O674" s="2" t="inlineStr">
        <is>
          <t>СТАНДАРТНЫЙ ДВУХМЕСТНЫЙ НОМЕР (МАНСАРДА)</t>
        </is>
      </c>
      <c r="P674" s="6" t="n"/>
      <c r="R674" t="inlineStr"/>
      <c r="S674" t="inlineStr">
        <is>
          <t>Тариф с завтраком</t>
        </is>
      </c>
      <c r="T674" t="n">
        <v>0</v>
      </c>
      <c r="U674" t="n">
        <v>18960</v>
      </c>
    </row>
    <row r="675">
      <c r="A675" t="inlineStr">
        <is>
          <t>20260908-8186-464310952</t>
        </is>
      </c>
      <c r="B675" t="n">
        <v>1</v>
      </c>
      <c r="C675" s="2" t="inlineStr">
        <is>
          <t>Наталия Купцова</t>
        </is>
      </c>
      <c r="D675" s="3" t="n">
        <v>19908</v>
      </c>
      <c r="E675" s="4" t="n">
        <v>16</v>
      </c>
      <c r="F675" t="inlineStr">
        <is>
          <t>ООО "БРОНИРОВАНИЕ ГОСТИНИЦ" (OSTROVOK) [Чайковский]</t>
        </is>
      </c>
      <c r="G675" s="3">
        <f>ROUND(D675/(100-E675)*100,2)</f>
        <v/>
      </c>
      <c r="H675" s="5" t="n">
        <v>46273.58333333334</v>
      </c>
      <c r="I675" t="n">
        <v>3</v>
      </c>
      <c r="J675" s="3">
        <f>G675/I675</f>
        <v/>
      </c>
      <c r="K675">
        <f>IF(J675&gt;=5100,"ставка","мин.ставка")</f>
        <v/>
      </c>
      <c r="L675" s="3">
        <f>ROUND(IF(K675="мин.ставка",I675*100,G675/102*2),2)</f>
        <v/>
      </c>
      <c r="M675" s="5" t="n">
        <v>46276.5</v>
      </c>
      <c r="N675" t="inlineStr">
        <is>
          <t>TravelLine OTK</t>
        </is>
      </c>
      <c r="O675" s="2" t="inlineStr">
        <is>
          <t>СТАНДАРТНЫЙ ДВУХМЕСТНЫЙ НОМЕР (МАНСАРДА)</t>
        </is>
      </c>
      <c r="P675" s="6" t="n"/>
      <c r="R675" t="inlineStr"/>
      <c r="S675" t="inlineStr">
        <is>
          <t>Тариф с завтраком</t>
        </is>
      </c>
      <c r="T675" t="n">
        <v>0</v>
      </c>
      <c r="U675" t="n">
        <v>19908</v>
      </c>
    </row>
    <row r="676">
      <c r="A676" t="inlineStr">
        <is>
          <t>20260809-8186-451680118</t>
        </is>
      </c>
      <c r="B676" t="n">
        <v>1</v>
      </c>
      <c r="C676" s="2" t="inlineStr">
        <is>
          <t>НАТАЛИЯ СЛОБОДЯНЮК, ЕЛЕНА БЕЛОВА</t>
        </is>
      </c>
      <c r="D676" s="3" t="n">
        <v>48060</v>
      </c>
      <c r="E676" s="4" t="n">
        <v>0</v>
      </c>
      <c r="F676" t="inlineStr">
        <is>
          <t>Прямые бронирования (стойка) [Чайковский]</t>
        </is>
      </c>
      <c r="G676" s="3">
        <f>ROUND(D676/(100-E676)*100,2)</f>
        <v/>
      </c>
      <c r="H676" s="5" t="n">
        <v>46243.58333333334</v>
      </c>
      <c r="I676" t="n">
        <v>4</v>
      </c>
      <c r="J676" s="3">
        <f>G676/I676</f>
        <v/>
      </c>
      <c r="K676">
        <f>IF(J676&gt;=5100,"ставка","мин.ставка")</f>
        <v/>
      </c>
      <c r="L676" s="3">
        <f>ROUND(IF(K676="мин.ставка",I676*100,G676/102*2),2)</f>
        <v/>
      </c>
      <c r="M676" s="5" t="n">
        <v>46247.5</v>
      </c>
      <c r="N676" t="inlineStr">
        <is>
          <t>TravelLine ресепшн</t>
        </is>
      </c>
      <c r="O676" s="2" t="inlineStr">
        <is>
          <t>СТАНДАРТНЫЙ ДВУХМЕСТНЫЙ НОМЕР</t>
        </is>
      </c>
      <c r="P676" s="6" t="n"/>
      <c r="R676" t="inlineStr"/>
      <c r="S676" t="inlineStr">
        <is>
          <t>Тариф с завтраком</t>
        </is>
      </c>
      <c r="T676" t="n">
        <v>0</v>
      </c>
      <c r="U676" t="n">
        <v>48060</v>
      </c>
    </row>
    <row r="677">
      <c r="A677" t="inlineStr">
        <is>
          <t>20260915-8186-456399111</t>
        </is>
      </c>
      <c r="B677" t="n">
        <v>1</v>
      </c>
      <c r="C677" s="2" t="inlineStr">
        <is>
          <t>Наталия Титова</t>
        </is>
      </c>
      <c r="D677" s="3" t="n">
        <v>22700</v>
      </c>
      <c r="E677" s="4" t="n">
        <v>0</v>
      </c>
      <c r="F677" t="inlineStr">
        <is>
          <t>Прямые бронирования (стойка) [Чайковский]</t>
        </is>
      </c>
      <c r="G677" s="3">
        <f>ROUND(D677/(100-E677)*100,2)</f>
        <v/>
      </c>
      <c r="H677" s="5" t="n">
        <v>46280.58333333334</v>
      </c>
      <c r="I677" t="n">
        <v>2</v>
      </c>
      <c r="J677" s="3">
        <f>G677/I677</f>
        <v/>
      </c>
      <c r="K677">
        <f>IF(J677&gt;=5100,"ставка","мин.ставка")</f>
        <v/>
      </c>
      <c r="L677" s="3">
        <f>ROUND(IF(K677="мин.ставка",I677*100,G677/102*2),2)</f>
        <v/>
      </c>
      <c r="M677" s="5" t="n">
        <v>46282.5</v>
      </c>
      <c r="N677" t="inlineStr">
        <is>
          <t>TravelLine ресепшн</t>
        </is>
      </c>
      <c r="O677" s="2" t="inlineStr">
        <is>
          <t>СТАНДАРТНЫЙ ДВУХМЕСТНЫЙ НОМЕР</t>
        </is>
      </c>
      <c r="P677" s="6" t="n"/>
      <c r="R677" t="inlineStr"/>
      <c r="S677" t="inlineStr">
        <is>
          <t>Тариф с завтраком</t>
        </is>
      </c>
      <c r="T677" t="n">
        <v>0</v>
      </c>
      <c r="U677" t="n">
        <v>22700</v>
      </c>
    </row>
    <row r="678">
      <c r="A678" t="inlineStr">
        <is>
          <t>20260726-8186-423278923</t>
        </is>
      </c>
      <c r="B678" t="n">
        <v>1</v>
      </c>
      <c r="C678" s="2" t="inlineStr">
        <is>
          <t>Наталия Шлеёнкова, Сергей Щлеёнков</t>
        </is>
      </c>
      <c r="D678" s="3" t="n">
        <v>45390</v>
      </c>
      <c r="E678" s="4" t="n">
        <v>0</v>
      </c>
      <c r="F678" t="inlineStr">
        <is>
          <t>ООО «ХОМЛИН ЛЭНД» (ПЕГАС) [Чайковский]</t>
        </is>
      </c>
      <c r="G678" s="3">
        <f>ROUND(D678/(100-E678)*100,2)</f>
        <v/>
      </c>
      <c r="H678" s="5" t="n">
        <v>46229.58333333334</v>
      </c>
      <c r="I678" t="n">
        <v>4</v>
      </c>
      <c r="J678" s="3">
        <f>G678/I678</f>
        <v/>
      </c>
      <c r="K678">
        <f>IF(J678&gt;=5100,"ставка","мин.ставка")</f>
        <v/>
      </c>
      <c r="L678" s="3">
        <f>ROUND(IF(K678="мин.ставка",I678*100,G678/102*2),2)</f>
        <v/>
      </c>
      <c r="M678" s="5" t="n">
        <v>46233.5</v>
      </c>
      <c r="N678" t="inlineStr">
        <is>
          <t>TravelLine PGS</t>
        </is>
      </c>
      <c r="O678" s="2" t="inlineStr">
        <is>
          <t>СТАНДАРТНЫЙ ДВУХМЕСТНЫЙ НОМЕР</t>
        </is>
      </c>
      <c r="P678" s="6" t="n"/>
      <c r="R678" t="inlineStr"/>
      <c r="S678" t="inlineStr">
        <is>
          <t>Тариф с завтраком</t>
        </is>
      </c>
      <c r="T678" t="n">
        <v>0</v>
      </c>
      <c r="U678" t="n">
        <v>45390</v>
      </c>
    </row>
    <row r="679">
      <c r="A679" t="inlineStr">
        <is>
          <t>20260910-8186-427551341</t>
        </is>
      </c>
      <c r="B679" t="n">
        <v>1</v>
      </c>
      <c r="C679" s="2" t="inlineStr">
        <is>
          <t>НАТАЛИЯ ШТЕРКЕЛЬ, Екатерина Мигуля</t>
        </is>
      </c>
      <c r="D679" s="3" t="n">
        <v>36045</v>
      </c>
      <c r="E679" s="4" t="n">
        <v>0</v>
      </c>
      <c r="F679" t="inlineStr">
        <is>
          <t>Прямые бронирования (стойка) [Чайковский]</t>
        </is>
      </c>
      <c r="G679" s="3">
        <f>ROUND(D679/(100-E679)*100,2)</f>
        <v/>
      </c>
      <c r="H679" s="5" t="n">
        <v>46275.58333333334</v>
      </c>
      <c r="I679" t="n">
        <v>3</v>
      </c>
      <c r="J679" s="3">
        <f>G679/I679</f>
        <v/>
      </c>
      <c r="K679">
        <f>IF(J679&gt;=5100,"ставка","мин.ставка")</f>
        <v/>
      </c>
      <c r="L679" s="3">
        <f>ROUND(IF(K679="мин.ставка",I679*100,G679/102*2),2)</f>
        <v/>
      </c>
      <c r="M679" s="5" t="n">
        <v>46278.5</v>
      </c>
      <c r="N679" t="inlineStr">
        <is>
          <t>TravelLine ресепшн</t>
        </is>
      </c>
      <c r="O679" s="2" t="inlineStr">
        <is>
          <t>СТАНДАРТНЫЙ ДВУХМЕСТНЫЙ НОМЕР</t>
        </is>
      </c>
      <c r="P679" s="6" t="n"/>
      <c r="R679" t="inlineStr"/>
      <c r="S679" t="inlineStr">
        <is>
          <t>Тариф с завтраком</t>
        </is>
      </c>
      <c r="T679" t="n">
        <v>0</v>
      </c>
      <c r="U679" t="n">
        <v>216270</v>
      </c>
    </row>
    <row r="680">
      <c r="A680" t="inlineStr">
        <is>
          <t>20260815-8186-458640858</t>
        </is>
      </c>
      <c r="B680" t="n">
        <v>1</v>
      </c>
      <c r="C680" s="2" t="inlineStr">
        <is>
          <t>Наталия Элуашвили</t>
        </is>
      </c>
      <c r="D680" s="3" t="n">
        <v>10215</v>
      </c>
      <c r="E680" s="4" t="n">
        <v>0</v>
      </c>
      <c r="F680" t="inlineStr">
        <is>
          <t>Прямые бронирования (стойка) [Чайковский]</t>
        </is>
      </c>
      <c r="G680" s="3">
        <f>ROUND(D680/(100-E680)*100,2)</f>
        <v/>
      </c>
      <c r="H680" s="5" t="n">
        <v>46249.58333333334</v>
      </c>
      <c r="I680" t="n">
        <v>1</v>
      </c>
      <c r="J680" s="3">
        <f>G680/I680</f>
        <v/>
      </c>
      <c r="K680">
        <f>IF(J680&gt;=5100,"ставка","мин.ставка")</f>
        <v/>
      </c>
      <c r="L680" s="3">
        <f>ROUND(IF(K680="мин.ставка",I680*100,G680/102*2),2)</f>
        <v/>
      </c>
      <c r="M680" s="5" t="n">
        <v>46250.5</v>
      </c>
      <c r="N680" t="inlineStr">
        <is>
          <t>TravelLine ресепшн</t>
        </is>
      </c>
      <c r="O680" s="2" t="inlineStr">
        <is>
          <t>СТАНДАРТНЫЙ ДВУХМЕСТНЫЙ НОМЕР</t>
        </is>
      </c>
      <c r="P680" s="6" t="n"/>
      <c r="R680" t="inlineStr"/>
      <c r="S680" t="inlineStr">
        <is>
          <t>Тариф с завтраком</t>
        </is>
      </c>
      <c r="T680" t="n">
        <v>0</v>
      </c>
      <c r="U680" t="n">
        <v>10215</v>
      </c>
    </row>
    <row r="681">
      <c r="A681" t="inlineStr">
        <is>
          <t>20260710-8186-442591146</t>
        </is>
      </c>
      <c r="B681" t="n">
        <v>1</v>
      </c>
      <c r="C681" s="2" t="inlineStr">
        <is>
          <t>Наталья Анохина, Анна Анохина</t>
        </is>
      </c>
      <c r="D681" s="3" t="n">
        <v>15988.5</v>
      </c>
      <c r="E681" s="4" t="n">
        <v>4</v>
      </c>
      <c r="F681" t="inlineStr">
        <is>
          <t>TravelLine Booking Engine [Чайковский]</t>
        </is>
      </c>
      <c r="G681" s="3">
        <f>ROUND(D681/(100-E681)*100,2)</f>
        <v/>
      </c>
      <c r="H681" s="5" t="n">
        <v>46213.58333333334</v>
      </c>
      <c r="I681" t="n">
        <v>1</v>
      </c>
      <c r="J681" s="3">
        <f>G681/I681</f>
        <v/>
      </c>
      <c r="K681">
        <f>IF(J681&gt;=5100,"ставка","мин.ставка")</f>
        <v/>
      </c>
      <c r="L681" s="3">
        <f>ROUND(IF(K681="мин.ставка",I681*100,G681/102*2),2)</f>
        <v/>
      </c>
      <c r="M681" s="5" t="n">
        <v>46214.5</v>
      </c>
      <c r="N681" t="inlineStr">
        <is>
          <t>TravelLine сайт</t>
        </is>
      </c>
      <c r="O681" s="2" t="inlineStr">
        <is>
          <t>ПОЛУЛЮКС</t>
        </is>
      </c>
      <c r="P681" s="6" t="n"/>
      <c r="R681" t="inlineStr"/>
      <c r="S681" t="inlineStr">
        <is>
          <t>Тариф с завтраком</t>
        </is>
      </c>
      <c r="T681" t="n">
        <v>0</v>
      </c>
      <c r="U681" t="n">
        <v>15988.5</v>
      </c>
    </row>
    <row r="682">
      <c r="A682" t="inlineStr">
        <is>
          <t>20260904-8186-459092255</t>
        </is>
      </c>
      <c r="B682" t="n">
        <v>1</v>
      </c>
      <c r="C682" s="2" t="inlineStr">
        <is>
          <t>Наталья Бехтерева, Антон Бехтерев</t>
        </is>
      </c>
      <c r="D682" s="3" t="n">
        <v>98488.5</v>
      </c>
      <c r="E682" s="4" t="n">
        <v>4</v>
      </c>
      <c r="F682" t="inlineStr">
        <is>
          <t>TravelLine Booking Engine [Чайковский]</t>
        </is>
      </c>
      <c r="G682" s="3">
        <f>ROUND(D682/(100-E682)*100,2)</f>
        <v/>
      </c>
      <c r="H682" s="5" t="n">
        <v>46269.58333333334</v>
      </c>
      <c r="I682" t="n">
        <v>6</v>
      </c>
      <c r="J682" s="3">
        <f>G682/I682</f>
        <v/>
      </c>
      <c r="K682">
        <f>IF(J682&gt;=5100,"ставка","мин.ставка")</f>
        <v/>
      </c>
      <c r="L682" s="3">
        <f>ROUND(IF(K682="мин.ставка",I682*100,G682/102*2),2)</f>
        <v/>
      </c>
      <c r="M682" s="5" t="n">
        <v>46275.5</v>
      </c>
      <c r="N682" t="inlineStr">
        <is>
          <t>TravelLine сайт</t>
        </is>
      </c>
      <c r="O682" s="2" t="inlineStr">
        <is>
          <t>ПОЛУЛЮКС</t>
        </is>
      </c>
      <c r="P682" s="6" t="n"/>
      <c r="R682" t="inlineStr"/>
      <c r="S682" t="inlineStr">
        <is>
          <t>Тариф с завтраком</t>
        </is>
      </c>
      <c r="T682" t="n">
        <v>0</v>
      </c>
      <c r="U682" t="n">
        <v>98488.5</v>
      </c>
    </row>
    <row r="683">
      <c r="A683" t="inlineStr">
        <is>
          <t>20260807-8186-402291252</t>
        </is>
      </c>
      <c r="B683" t="n">
        <v>1</v>
      </c>
      <c r="C683" s="2" t="inlineStr">
        <is>
          <t>НАТАЛЬЯ БОРИСОВА</t>
        </is>
      </c>
      <c r="D683" s="3" t="n">
        <v>20790</v>
      </c>
      <c r="E683" s="4" t="n">
        <v>0</v>
      </c>
      <c r="F683" t="inlineStr">
        <is>
          <t>Прямые бронирования (стойка) [Чайковский]</t>
        </is>
      </c>
      <c r="G683" s="3">
        <f>ROUND(D683/(100-E683)*100,2)</f>
        <v/>
      </c>
      <c r="H683" s="5" t="n">
        <v>46241.58333333334</v>
      </c>
      <c r="I683" t="n">
        <v>3</v>
      </c>
      <c r="J683" s="3">
        <f>G683/I683</f>
        <v/>
      </c>
      <c r="K683">
        <f>IF(J683&gt;=5100,"ставка","мин.ставка")</f>
        <v/>
      </c>
      <c r="L683" s="3">
        <f>ROUND(IF(K683="мин.ставка",I683*100,G683/102*2),2)</f>
        <v/>
      </c>
      <c r="M683" s="5" t="n">
        <v>46244.5</v>
      </c>
      <c r="N683" t="inlineStr">
        <is>
          <t>TravelLine ресепшн</t>
        </is>
      </c>
      <c r="O683" s="2" t="inlineStr">
        <is>
          <t>СТАНДАРТНЫЙ ОДНОМЕСТНЫЙ НОМЕР</t>
        </is>
      </c>
      <c r="P683" s="6" t="n"/>
      <c r="R683" t="inlineStr"/>
      <c r="S683" t="inlineStr">
        <is>
          <t>Тариф с завтраком</t>
        </is>
      </c>
      <c r="T683" t="n">
        <v>0</v>
      </c>
      <c r="U683" t="n">
        <v>20790</v>
      </c>
    </row>
    <row r="684">
      <c r="A684" t="inlineStr">
        <is>
          <t>20260906-8186-464058568</t>
        </is>
      </c>
      <c r="B684" t="n">
        <v>1</v>
      </c>
      <c r="C684" s="2" t="inlineStr">
        <is>
          <t>Наталья Волнянская, ВИКТОР ПРОЦЕНКО</t>
        </is>
      </c>
      <c r="D684" s="3" t="n">
        <v>27720</v>
      </c>
      <c r="E684" s="4" t="n">
        <v>0</v>
      </c>
      <c r="F684" t="inlineStr">
        <is>
          <t>Прямые бронирования (стойка) [Чайковский]</t>
        </is>
      </c>
      <c r="G684" s="3">
        <f>ROUND(D684/(100-E684)*100,2)</f>
        <v/>
      </c>
      <c r="H684" s="5" t="n">
        <v>46271.58333333334</v>
      </c>
      <c r="I684" t="n">
        <v>2</v>
      </c>
      <c r="J684" s="3">
        <f>G684/I684</f>
        <v/>
      </c>
      <c r="K684">
        <f>IF(J684&gt;=5100,"ставка","мин.ставка")</f>
        <v/>
      </c>
      <c r="L684" s="3">
        <f>ROUND(IF(K684="мин.ставка",I684*100,G684/102*2),2)</f>
        <v/>
      </c>
      <c r="M684" s="5" t="n">
        <v>46273.5</v>
      </c>
      <c r="N684" t="inlineStr">
        <is>
          <t>TravelLine ресепшн</t>
        </is>
      </c>
      <c r="O684" s="2" t="inlineStr">
        <is>
          <t>УЛУЧШЕННЫЙ ДВУХМЕСТНЫЙ НОМЕР</t>
        </is>
      </c>
      <c r="P684" s="6" t="n"/>
      <c r="R684" t="inlineStr"/>
      <c r="S684" t="inlineStr">
        <is>
          <t>Тариф с завтраком</t>
        </is>
      </c>
      <c r="T684" t="n">
        <v>1520</v>
      </c>
      <c r="U684" t="n">
        <v>29240</v>
      </c>
    </row>
    <row r="685">
      <c r="A685" t="inlineStr">
        <is>
          <t>20260812-8186-432301165</t>
        </is>
      </c>
      <c r="B685" t="n">
        <v>1</v>
      </c>
      <c r="C685" s="2" t="inlineStr">
        <is>
          <t>Наталья Гончарова, София Цугуй</t>
        </is>
      </c>
      <c r="D685" s="3" t="n">
        <v>12320</v>
      </c>
      <c r="E685" s="4" t="n">
        <v>18</v>
      </c>
      <c r="F685" t="inlineStr">
        <is>
          <t>Яндекс.Путешествия [Чайковский]</t>
        </is>
      </c>
      <c r="G685" s="3">
        <f>ROUND(D685/(100-E685)*100,2)</f>
        <v/>
      </c>
      <c r="H685" s="5" t="n">
        <v>46247.58333333334</v>
      </c>
      <c r="I685" t="n">
        <v>1</v>
      </c>
      <c r="J685" s="3">
        <f>G685/I685</f>
        <v/>
      </c>
      <c r="K685">
        <f>IF(J685&gt;=5100,"ставка","мин.ставка")</f>
        <v/>
      </c>
      <c r="L685" s="3">
        <f>ROUND(IF(K685="мин.ставка",I685*100,G685/102*2),2)</f>
        <v/>
      </c>
      <c r="M685" s="5" t="n">
        <v>46248.5</v>
      </c>
      <c r="N685" t="inlineStr">
        <is>
          <t>TravelLine YAX</t>
        </is>
      </c>
      <c r="O685" s="2" t="inlineStr">
        <is>
          <t>УЛУЧШЕННЫЙ ДВУХМЕСТНЫЙ НОМЕР</t>
        </is>
      </c>
      <c r="P685" s="6" t="n"/>
      <c r="R685" t="inlineStr"/>
      <c r="S685" t="inlineStr">
        <is>
          <t>Тариф с завтраком</t>
        </is>
      </c>
      <c r="T685" t="n">
        <v>0</v>
      </c>
      <c r="U685" t="n">
        <v>12320</v>
      </c>
    </row>
    <row r="686">
      <c r="A686" t="inlineStr">
        <is>
          <t>20260814-8186-443750002</t>
        </is>
      </c>
      <c r="B686" t="n">
        <v>1</v>
      </c>
      <c r="C686" s="2" t="inlineStr">
        <is>
          <t>Наталья Гончарова, София Цугуй</t>
        </is>
      </c>
      <c r="D686" s="3" t="n">
        <v>12320</v>
      </c>
      <c r="E686" s="4" t="n">
        <v>18</v>
      </c>
      <c r="F686" t="inlineStr">
        <is>
          <t>Яндекс.Путешествия [Чайковский]</t>
        </is>
      </c>
      <c r="G686" s="3">
        <f>ROUND(D686/(100-E686)*100,2)</f>
        <v/>
      </c>
      <c r="H686" s="5" t="n">
        <v>46248.58333333334</v>
      </c>
      <c r="I686" t="n">
        <v>1</v>
      </c>
      <c r="J686" s="3">
        <f>G686/I686</f>
        <v/>
      </c>
      <c r="K686">
        <f>IF(J686&gt;=5100,"ставка","мин.ставка")</f>
        <v/>
      </c>
      <c r="L686" s="3">
        <f>ROUND(IF(K686="мин.ставка",I686*100,G686/102*2),2)</f>
        <v/>
      </c>
      <c r="M686" s="5" t="n">
        <v>46249.5</v>
      </c>
      <c r="N686" t="inlineStr">
        <is>
          <t>TravelLine YAX</t>
        </is>
      </c>
      <c r="O686" s="2" t="inlineStr">
        <is>
          <t>УЛУЧШЕННЫЙ ДВУХМЕСТНЫЙ НОМЕР</t>
        </is>
      </c>
      <c r="P686" s="6" t="n"/>
      <c r="R686" t="inlineStr"/>
      <c r="S686" t="inlineStr">
        <is>
          <t>Тариф с завтраком</t>
        </is>
      </c>
      <c r="T686" t="n">
        <v>0</v>
      </c>
      <c r="U686" t="n">
        <v>12320</v>
      </c>
    </row>
    <row r="687">
      <c r="A687" t="inlineStr">
        <is>
          <t>20260826-8186-453545439</t>
        </is>
      </c>
      <c r="B687" t="n">
        <v>1</v>
      </c>
      <c r="C687" s="2" t="inlineStr">
        <is>
          <t>Наталья Горшкова, Илья Ивлев</t>
        </is>
      </c>
      <c r="D687" s="3" t="n">
        <v>10680</v>
      </c>
      <c r="E687" s="4" t="n">
        <v>20</v>
      </c>
      <c r="F687" t="inlineStr">
        <is>
          <t>ООО "КОМПАНИЯ БРОНЕВИК" [Чайковский]</t>
        </is>
      </c>
      <c r="G687" s="3">
        <f>ROUND(D687/(100-E687)*100,2)</f>
        <v/>
      </c>
      <c r="H687" s="5" t="n">
        <v>46260.58333333334</v>
      </c>
      <c r="I687" t="n">
        <v>1</v>
      </c>
      <c r="J687" s="3">
        <f>G687/I687</f>
        <v/>
      </c>
      <c r="K687">
        <f>IF(J687&gt;=5100,"ставка","мин.ставка")</f>
        <v/>
      </c>
      <c r="L687" s="3">
        <f>ROUND(IF(K687="мин.ставка",I687*100,G687/102*2),2)</f>
        <v/>
      </c>
      <c r="M687" s="5" t="n">
        <v>46261.5</v>
      </c>
      <c r="N687" t="inlineStr">
        <is>
          <t>TravelLine BR2</t>
        </is>
      </c>
      <c r="O687" s="2" t="inlineStr">
        <is>
          <t>СТАНДАРТНЫЙ ДВУХМЕСТНЫЙ НОМЕР</t>
        </is>
      </c>
      <c r="P687" s="6" t="n"/>
      <c r="R687" t="inlineStr"/>
      <c r="S687" t="inlineStr">
        <is>
          <t>Тариф с завтраком</t>
        </is>
      </c>
      <c r="T687" t="n">
        <v>0</v>
      </c>
      <c r="U687" t="n">
        <v>10680</v>
      </c>
    </row>
    <row r="688">
      <c r="A688" t="inlineStr">
        <is>
          <t>20260708-8186-426313855</t>
        </is>
      </c>
      <c r="B688" t="n">
        <v>1</v>
      </c>
      <c r="C688" s="2" t="inlineStr">
        <is>
          <t>НАТАЛЬЯ ДЕРНОВА, Виталий Савельев</t>
        </is>
      </c>
      <c r="D688" s="3" t="n">
        <v>71200</v>
      </c>
      <c r="E688" s="4" t="n">
        <v>4</v>
      </c>
      <c r="F688" t="inlineStr">
        <is>
          <t>TravelLine Booking Engine [Чайковский]</t>
        </is>
      </c>
      <c r="G688" s="3">
        <f>ROUND(D688/(100-E688)*100,2)</f>
        <v/>
      </c>
      <c r="H688" s="5" t="n">
        <v>46211.58333333334</v>
      </c>
      <c r="I688" t="n">
        <v>4</v>
      </c>
      <c r="J688" s="3">
        <f>G688/I688</f>
        <v/>
      </c>
      <c r="K688">
        <f>IF(J688&gt;=5100,"ставка","мин.ставка")</f>
        <v/>
      </c>
      <c r="L688" s="3">
        <f>ROUND(IF(K688="мин.ставка",I688*100,G688/102*2),2)</f>
        <v/>
      </c>
      <c r="M688" s="5" t="n">
        <v>46215.5</v>
      </c>
      <c r="N688" t="inlineStr">
        <is>
          <t>TravelLine сайт</t>
        </is>
      </c>
      <c r="O688" s="2" t="inlineStr">
        <is>
          <t>ЛЮКС</t>
        </is>
      </c>
      <c r="P688" s="6" t="n"/>
      <c r="R688" t="inlineStr"/>
      <c r="S688" t="inlineStr">
        <is>
          <t>Тариф с завтраком</t>
        </is>
      </c>
      <c r="T688" t="n">
        <v>1900</v>
      </c>
      <c r="U688" t="n">
        <v>73100</v>
      </c>
    </row>
    <row r="689">
      <c r="A689" t="inlineStr">
        <is>
          <t>20260915-8186-459193237</t>
        </is>
      </c>
      <c r="B689" t="n">
        <v>1</v>
      </c>
      <c r="C689" s="2" t="inlineStr">
        <is>
          <t>Наталья Жукова</t>
        </is>
      </c>
      <c r="D689" s="3" t="n">
        <v>27921</v>
      </c>
      <c r="E689" s="4" t="n">
        <v>18</v>
      </c>
      <c r="F689" t="inlineStr">
        <is>
          <t>ООО "Эй энд Эй" [Чайковский]</t>
        </is>
      </c>
      <c r="G689" s="3">
        <f>ROUND(D689/(100-E689)*100,2)</f>
        <v/>
      </c>
      <c r="H689" s="5" t="n">
        <v>46280.58333333334</v>
      </c>
      <c r="I689" t="n">
        <v>3</v>
      </c>
      <c r="J689" s="3">
        <f>G689/I689</f>
        <v/>
      </c>
      <c r="K689">
        <f>IF(J689&gt;=5100,"ставка","мин.ставка")</f>
        <v/>
      </c>
      <c r="L689" s="3">
        <f>ROUND(IF(K689="мин.ставка",I689*100,G689/102*2),2)</f>
        <v/>
      </c>
      <c r="M689" s="5" t="n">
        <v>46283.5</v>
      </c>
      <c r="N689" t="inlineStr">
        <is>
          <t>TravelLine ANA</t>
        </is>
      </c>
      <c r="O689" s="2" t="inlineStr">
        <is>
          <t>СТАНДАРТНЫЙ ДВУХМЕСТНЫЙ НОМЕР</t>
        </is>
      </c>
      <c r="P689" s="6" t="n"/>
      <c r="R689" t="inlineStr"/>
      <c r="S689" t="inlineStr">
        <is>
          <t>Тариф с завтраком</t>
        </is>
      </c>
      <c r="T689" t="n">
        <v>0</v>
      </c>
      <c r="U689" t="n">
        <v>27921</v>
      </c>
    </row>
    <row r="690">
      <c r="A690" t="inlineStr">
        <is>
          <t>20260722-8186-452072624</t>
        </is>
      </c>
      <c r="B690" t="n">
        <v>1</v>
      </c>
      <c r="C690" s="2" t="inlineStr">
        <is>
          <t>Наталья Жукова, Владимир Жуков</t>
        </is>
      </c>
      <c r="D690" s="3" t="n">
        <v>13860</v>
      </c>
      <c r="E690" s="4" t="n">
        <v>0</v>
      </c>
      <c r="F690" t="inlineStr">
        <is>
          <t>Прямые бронирования (стойка) [Чайковский]</t>
        </is>
      </c>
      <c r="G690" s="3">
        <f>ROUND(D690/(100-E690)*100,2)</f>
        <v/>
      </c>
      <c r="H690" s="5" t="n">
        <v>46225.58333333334</v>
      </c>
      <c r="I690" t="n">
        <v>1</v>
      </c>
      <c r="J690" s="3">
        <f>G690/I690</f>
        <v/>
      </c>
      <c r="K690">
        <f>IF(J690&gt;=5100,"ставка","мин.ставка")</f>
        <v/>
      </c>
      <c r="L690" s="3">
        <f>ROUND(IF(K690="мин.ставка",I690*100,G690/102*2),2)</f>
        <v/>
      </c>
      <c r="M690" s="5" t="n">
        <v>46226.5</v>
      </c>
      <c r="N690" t="inlineStr">
        <is>
          <t>TravelLine ресепшн</t>
        </is>
      </c>
      <c r="O690" s="2" t="inlineStr">
        <is>
          <t>УЛУЧШЕННЫЙ ДВУХМЕСТНЫЙ НОМЕР</t>
        </is>
      </c>
      <c r="P690" s="6" t="n"/>
      <c r="R690" t="inlineStr"/>
      <c r="S690" t="inlineStr">
        <is>
          <t>Тариф с завтраком</t>
        </is>
      </c>
      <c r="T690" t="n">
        <v>240</v>
      </c>
      <c r="U690" t="n">
        <v>14100</v>
      </c>
    </row>
    <row r="691">
      <c r="A691" t="inlineStr">
        <is>
          <t>20260729-8186-446530257</t>
        </is>
      </c>
      <c r="B691" t="n">
        <v>1</v>
      </c>
      <c r="C691" s="2" t="inlineStr">
        <is>
          <t>Наталья Жукова, Владимир Жуков</t>
        </is>
      </c>
      <c r="D691" s="3" t="n">
        <v>12015</v>
      </c>
      <c r="E691" s="4" t="n">
        <v>0</v>
      </c>
      <c r="F691" t="inlineStr">
        <is>
          <t>Прямые бронирования (стойка) [Чайковский]</t>
        </is>
      </c>
      <c r="G691" s="3">
        <f>ROUND(D691/(100-E691)*100,2)</f>
        <v/>
      </c>
      <c r="H691" s="5" t="n">
        <v>46232.58333333334</v>
      </c>
      <c r="I691" t="n">
        <v>1</v>
      </c>
      <c r="J691" s="3">
        <f>G691/I691</f>
        <v/>
      </c>
      <c r="K691">
        <f>IF(J691&gt;=5100,"ставка","мин.ставка")</f>
        <v/>
      </c>
      <c r="L691" s="3">
        <f>ROUND(IF(K691="мин.ставка",I691*100,G691/102*2),2)</f>
        <v/>
      </c>
      <c r="M691" s="5" t="n">
        <v>46233.5</v>
      </c>
      <c r="N691" t="inlineStr">
        <is>
          <t>TravelLine ресепшн</t>
        </is>
      </c>
      <c r="O691" s="2" t="inlineStr">
        <is>
          <t>СТАНДАРТНЫЙ ДВУХМЕСТНЫЙ НОМЕР</t>
        </is>
      </c>
      <c r="P691" s="6" t="n"/>
      <c r="R691" t="inlineStr"/>
      <c r="S691" t="inlineStr">
        <is>
          <t>Тариф с завтраком</t>
        </is>
      </c>
      <c r="T691" t="n">
        <v>0</v>
      </c>
      <c r="U691" t="n">
        <v>12015</v>
      </c>
    </row>
    <row r="692">
      <c r="A692" t="inlineStr">
        <is>
          <t>20260801-8186-453170442</t>
        </is>
      </c>
      <c r="B692" t="n">
        <v>1</v>
      </c>
      <c r="C692" s="2" t="inlineStr">
        <is>
          <t>Наталья Зайковская</t>
        </is>
      </c>
      <c r="D692" s="3" t="n">
        <v>9751.5</v>
      </c>
      <c r="E692" s="4" t="n">
        <v>4</v>
      </c>
      <c r="F692" t="inlineStr">
        <is>
          <t>TravelLine Booking Engine [Чайковский]</t>
        </is>
      </c>
      <c r="G692" s="3">
        <f>ROUND(D692/(100-E692)*100,2)</f>
        <v/>
      </c>
      <c r="H692" s="5" t="n">
        <v>46235.58333333334</v>
      </c>
      <c r="I692" t="n">
        <v>1</v>
      </c>
      <c r="J692" s="3">
        <f>G692/I692</f>
        <v/>
      </c>
      <c r="K692">
        <f>IF(J692&gt;=5100,"ставка","мин.ставка")</f>
        <v/>
      </c>
      <c r="L692" s="3">
        <f>ROUND(IF(K692="мин.ставка",I692*100,G692/102*2),2)</f>
        <v/>
      </c>
      <c r="M692" s="5" t="n">
        <v>46236.5</v>
      </c>
      <c r="N692" t="inlineStr">
        <is>
          <t>TravelLine сайт</t>
        </is>
      </c>
      <c r="O692" s="2" t="inlineStr">
        <is>
          <t>СТАНДАРТНЫЙ ДВУХМЕСТНЫЙ НОМЕР (МАНСАРДА)</t>
        </is>
      </c>
      <c r="P692" s="6" t="n"/>
      <c r="R692" t="inlineStr"/>
      <c r="S692" t="inlineStr">
        <is>
          <t>Тариф с завтраком</t>
        </is>
      </c>
      <c r="T692" t="n">
        <v>0</v>
      </c>
      <c r="U692" t="n">
        <v>9751.5</v>
      </c>
    </row>
    <row r="693">
      <c r="A693" t="inlineStr">
        <is>
          <t>20260721-8186-440916013</t>
        </is>
      </c>
      <c r="B693" t="n">
        <v>1</v>
      </c>
      <c r="C693" s="2" t="inlineStr">
        <is>
          <t>Наталья Зайлер</t>
        </is>
      </c>
      <c r="D693" s="3" t="n">
        <v>43500</v>
      </c>
      <c r="E693" s="4" t="n">
        <v>0</v>
      </c>
      <c r="F693" t="inlineStr">
        <is>
          <t>Прямые бронирования (стойка) [Чайковский]</t>
        </is>
      </c>
      <c r="G693" s="3">
        <f>ROUND(D693/(100-E693)*100,2)</f>
        <v/>
      </c>
      <c r="H693" s="5" t="n">
        <v>46224.58333333334</v>
      </c>
      <c r="I693" t="n">
        <v>3</v>
      </c>
      <c r="J693" s="3">
        <f>G693/I693</f>
        <v/>
      </c>
      <c r="K693">
        <f>IF(J693&gt;=5100,"ставка","мин.ставка")</f>
        <v/>
      </c>
      <c r="L693" s="3">
        <f>ROUND(IF(K693="мин.ставка",I693*100,G693/102*2),2)</f>
        <v/>
      </c>
      <c r="M693" s="5" t="n">
        <v>46227.5</v>
      </c>
      <c r="N693" t="inlineStr">
        <is>
          <t>TravelLine ресепшн</t>
        </is>
      </c>
      <c r="O693" s="2" t="inlineStr">
        <is>
          <t>ПОЛУЛЮКС</t>
        </is>
      </c>
      <c r="P693" s="6" t="n"/>
      <c r="R693" t="inlineStr"/>
      <c r="S693" t="inlineStr">
        <is>
          <t>Тариф с завтраком</t>
        </is>
      </c>
      <c r="T693" t="n">
        <v>0</v>
      </c>
      <c r="U693" t="n">
        <v>43500</v>
      </c>
    </row>
    <row r="694">
      <c r="A694" t="inlineStr">
        <is>
          <t>20260907-8186-464187956</t>
        </is>
      </c>
      <c r="B694" t="n">
        <v>1</v>
      </c>
      <c r="C694" s="2" t="inlineStr">
        <is>
          <t>Наталья Зарубина</t>
        </is>
      </c>
      <c r="D694" s="3" t="n">
        <v>5925</v>
      </c>
      <c r="E694" s="4" t="n">
        <v>18</v>
      </c>
      <c r="F694" t="inlineStr">
        <is>
          <t>Яндекс.Путешествия [Чайковский]</t>
        </is>
      </c>
      <c r="G694" s="3">
        <f>ROUND(D694/(100-E694)*100,2)</f>
        <v/>
      </c>
      <c r="H694" s="5" t="n">
        <v>46272.58333333334</v>
      </c>
      <c r="I694" t="n">
        <v>1</v>
      </c>
      <c r="J694" s="3">
        <f>G694/I694</f>
        <v/>
      </c>
      <c r="K694">
        <f>IF(J694&gt;=5100,"ставка","мин.ставка")</f>
        <v/>
      </c>
      <c r="L694" s="3">
        <f>ROUND(IF(K694="мин.ставка",I694*100,G694/102*2),2)</f>
        <v/>
      </c>
      <c r="M694" s="5" t="n">
        <v>46273.5</v>
      </c>
      <c r="N694" t="inlineStr">
        <is>
          <t>TravelLine YAX</t>
        </is>
      </c>
      <c r="O694" s="2" t="inlineStr">
        <is>
          <t>СТАНДАРТНЫЙ ДВУХМЕСТНЫЙ НОМЕР (МАНСАРДА)</t>
        </is>
      </c>
      <c r="P694" s="6" t="n"/>
      <c r="R694" t="inlineStr"/>
      <c r="S694" t="inlineStr">
        <is>
          <t>Тариф с завтраком</t>
        </is>
      </c>
      <c r="T694" t="n">
        <v>0</v>
      </c>
      <c r="U694" t="n">
        <v>5925</v>
      </c>
    </row>
    <row r="695">
      <c r="A695" t="inlineStr">
        <is>
          <t>20260831-8186-462545984</t>
        </is>
      </c>
      <c r="B695" t="n">
        <v>1</v>
      </c>
      <c r="C695" s="2" t="inlineStr">
        <is>
          <t>Наталья Карасева, Елена Карасева</t>
        </is>
      </c>
      <c r="D695" s="3" t="n">
        <v>8316</v>
      </c>
      <c r="E695" s="4" t="n">
        <v>16</v>
      </c>
      <c r="F695" t="inlineStr">
        <is>
          <t>ООО "БРОНИРОВАНИЕ ГОСТИНИЦ" (OSTROVOK) [Чайковский]</t>
        </is>
      </c>
      <c r="G695" s="3">
        <f>ROUND(D695/(100-E695)*100,2)</f>
        <v/>
      </c>
      <c r="H695" s="5" t="n">
        <v>46265.58333333334</v>
      </c>
      <c r="I695" t="n">
        <v>1</v>
      </c>
      <c r="J695" s="3">
        <f>G695/I695</f>
        <v/>
      </c>
      <c r="K695">
        <f>IF(J695&gt;=5100,"ставка","мин.ставка")</f>
        <v/>
      </c>
      <c r="L695" s="3">
        <f>ROUND(IF(K695="мин.ставка",I695*100,G695/102*2),2)</f>
        <v/>
      </c>
      <c r="M695" s="5" t="n">
        <v>46266.5</v>
      </c>
      <c r="N695" t="inlineStr">
        <is>
          <t>TravelLine OTK</t>
        </is>
      </c>
      <c r="O695" s="2" t="inlineStr">
        <is>
          <t>СТАНДАРТНЫЙ ДВУХМЕСТНЫЙ НОМЕР</t>
        </is>
      </c>
      <c r="P695" s="6" t="n"/>
      <c r="R695" t="inlineStr"/>
      <c r="S695" t="inlineStr">
        <is>
          <t>Тариф с завтраком</t>
        </is>
      </c>
      <c r="T695" t="n">
        <v>0</v>
      </c>
      <c r="U695" t="n">
        <v>8316</v>
      </c>
    </row>
    <row r="696">
      <c r="A696" t="inlineStr">
        <is>
          <t>20260907-8186-455643629</t>
        </is>
      </c>
      <c r="B696" t="n">
        <v>1</v>
      </c>
      <c r="C696" s="2" t="inlineStr">
        <is>
          <t>Наталья Коноваленко, ВИКТОРИЯ ХРОМОВА</t>
        </is>
      </c>
      <c r="D696" s="3" t="n">
        <v>52986.15</v>
      </c>
      <c r="E696" s="4" t="n">
        <v>4</v>
      </c>
      <c r="F696" t="inlineStr">
        <is>
          <t>TravelLine Booking Engine [Чайковский]</t>
        </is>
      </c>
      <c r="G696" s="3">
        <f>ROUND(D696/(100-E696)*100,2)</f>
        <v/>
      </c>
      <c r="H696" s="5" t="n">
        <v>46272.58333333334</v>
      </c>
      <c r="I696" t="n">
        <v>4</v>
      </c>
      <c r="J696" s="3">
        <f>G696/I696</f>
        <v/>
      </c>
      <c r="K696">
        <f>IF(J696&gt;=5100,"ставка","мин.ставка")</f>
        <v/>
      </c>
      <c r="L696" s="3">
        <f>ROUND(IF(K696="мин.ставка",I696*100,G696/102*2),2)</f>
        <v/>
      </c>
      <c r="M696" s="5" t="n">
        <v>46276.5</v>
      </c>
      <c r="N696" t="inlineStr">
        <is>
          <t>TravelLine сайт</t>
        </is>
      </c>
      <c r="O696" s="2" t="inlineStr">
        <is>
          <t>СЕМЕЙНЫЙ НОМЕР КАТЕГОРИИ "СТАНДАРТ" ВТОРОЙ КОРПУС</t>
        </is>
      </c>
      <c r="P696" s="6" t="n"/>
      <c r="R696" t="inlineStr"/>
      <c r="S696" t="inlineStr">
        <is>
          <t>Тариф с завтраком</t>
        </is>
      </c>
      <c r="T696" t="n">
        <v>0</v>
      </c>
      <c r="U696" t="n">
        <v>52986.15</v>
      </c>
    </row>
    <row r="697">
      <c r="A697" t="inlineStr">
        <is>
          <t>20260811-8186-451623831</t>
        </is>
      </c>
      <c r="B697" t="n">
        <v>1</v>
      </c>
      <c r="C697" s="2" t="inlineStr">
        <is>
          <t>Наталья Копейкина, Андрей Копейкин</t>
        </is>
      </c>
      <c r="D697" s="3" t="n">
        <v>26180</v>
      </c>
      <c r="E697" s="4" t="n">
        <v>16</v>
      </c>
      <c r="F697" t="inlineStr">
        <is>
          <t>ООО "БРОНИРОВАНИЕ ГОСТИНИЦ" (OSTROVOK) [Чайковский]</t>
        </is>
      </c>
      <c r="G697" s="3">
        <f>ROUND(D697/(100-E697)*100,2)</f>
        <v/>
      </c>
      <c r="H697" s="5" t="n">
        <v>46245.58333333334</v>
      </c>
      <c r="I697" t="n">
        <v>2</v>
      </c>
      <c r="J697" s="3">
        <f>G697/I697</f>
        <v/>
      </c>
      <c r="K697">
        <f>IF(J697&gt;=5100,"ставка","мин.ставка")</f>
        <v/>
      </c>
      <c r="L697" s="3">
        <f>ROUND(IF(K697="мин.ставка",I697*100,G697/102*2),2)</f>
        <v/>
      </c>
      <c r="M697" s="5" t="n">
        <v>46247.5</v>
      </c>
      <c r="N697" t="inlineStr">
        <is>
          <t>TravelLine OTK</t>
        </is>
      </c>
      <c r="O697" s="2" t="inlineStr">
        <is>
          <t>УЛУЧШЕННЫЙ ДВУХМЕСТНЫЙ НОМЕР</t>
        </is>
      </c>
      <c r="P697" s="6" t="n"/>
      <c r="R697" t="inlineStr"/>
      <c r="S697" t="inlineStr">
        <is>
          <t>Тариф с завтраком</t>
        </is>
      </c>
      <c r="T697" t="n">
        <v>0</v>
      </c>
      <c r="U697" t="n">
        <v>26180</v>
      </c>
    </row>
    <row r="698">
      <c r="A698" t="inlineStr">
        <is>
          <t>20260825-8186-460757995</t>
        </is>
      </c>
      <c r="B698" t="n">
        <v>1</v>
      </c>
      <c r="C698" s="2" t="inlineStr">
        <is>
          <t>НАТАЛЬЯ КОРОЛЕВА</t>
        </is>
      </c>
      <c r="D698" s="3" t="n">
        <v>6680</v>
      </c>
      <c r="E698" s="4" t="n">
        <v>17</v>
      </c>
      <c r="F698" t="inlineStr">
        <is>
          <t>ООО «Интернет Трэвел» (OZON) [Чайковский]</t>
        </is>
      </c>
      <c r="G698" s="3">
        <f>ROUND(D698/(100-E698)*100,2)</f>
        <v/>
      </c>
      <c r="H698" s="5" t="n">
        <v>46259.58333333334</v>
      </c>
      <c r="I698" t="n">
        <v>1</v>
      </c>
      <c r="J698" s="3">
        <f>G698/I698</f>
        <v/>
      </c>
      <c r="K698">
        <f>IF(J698&gt;=5100,"ставка","мин.ставка")</f>
        <v/>
      </c>
      <c r="L698" s="3">
        <f>ROUND(IF(K698="мин.ставка",I698*100,G698/102*2),2)</f>
        <v/>
      </c>
      <c r="M698" s="5" t="n">
        <v>46260.5</v>
      </c>
      <c r="N698" t="inlineStr">
        <is>
          <t>TravelLine OZ2</t>
        </is>
      </c>
      <c r="O698" s="2" t="inlineStr">
        <is>
          <t>СТАНДАРТНЫЙ ОДНОМЕСТНЫЙ НОМЕР</t>
        </is>
      </c>
      <c r="P698" s="6" t="n"/>
      <c r="R698" t="inlineStr"/>
      <c r="S698" t="inlineStr">
        <is>
          <t>Тариф с завтраком</t>
        </is>
      </c>
      <c r="T698" t="n">
        <v>0</v>
      </c>
      <c r="U698" t="n">
        <v>6680</v>
      </c>
    </row>
    <row r="699">
      <c r="A699" t="inlineStr">
        <is>
          <t>20260701-8186-446759137</t>
        </is>
      </c>
      <c r="B699" t="n">
        <v>1</v>
      </c>
      <c r="C699" s="2" t="inlineStr">
        <is>
          <t>НАТАЛЬЯ ЛЕОСКО</t>
        </is>
      </c>
      <c r="D699" s="3" t="n">
        <v>16560</v>
      </c>
      <c r="E699" s="4" t="n">
        <v>20</v>
      </c>
      <c r="F699" t="inlineStr">
        <is>
          <t>ООО "ХБ-ПРО" [Чайковский]</t>
        </is>
      </c>
      <c r="G699" s="3">
        <f>ROUND(D699/(100-E699)*100,2)</f>
        <v/>
      </c>
      <c r="H699" s="5" t="n">
        <v>46204.58333333334</v>
      </c>
      <c r="I699" t="n">
        <v>2</v>
      </c>
      <c r="J699" s="3">
        <f>G699/I699</f>
        <v/>
      </c>
      <c r="K699">
        <f>IF(J699&gt;=5100,"ставка","мин.ставка")</f>
        <v/>
      </c>
      <c r="L699" s="3">
        <f>ROUND(IF(K699="мин.ставка",I699*100,G699/102*2),2)</f>
        <v/>
      </c>
      <c r="M699" s="5" t="n">
        <v>46206.5</v>
      </c>
      <c r="N699" t="inlineStr">
        <is>
          <t>TravelLine UTS</t>
        </is>
      </c>
      <c r="O699" s="2" t="inlineStr">
        <is>
          <t>СЕМЕЙНЫЙ НОМЕР КАТЕГОРИИ "СТАНДАРТ" ВТОРОЙ КОРПУС</t>
        </is>
      </c>
      <c r="P699" s="6" t="n"/>
      <c r="R699" t="inlineStr"/>
      <c r="S699" t="inlineStr">
        <is>
          <t>Тариф с завтраком</t>
        </is>
      </c>
      <c r="T699" t="n">
        <v>0</v>
      </c>
      <c r="U699" t="n">
        <v>16560</v>
      </c>
    </row>
    <row r="700">
      <c r="A700" t="inlineStr">
        <is>
          <t>20260809-8186-419208245</t>
        </is>
      </c>
      <c r="B700" t="n">
        <v>1</v>
      </c>
      <c r="C700" s="2" t="inlineStr">
        <is>
          <t>НАТАЛЬЯ МАКАРОВА, АНДРЕЙ МИХАЛЕВ</t>
        </is>
      </c>
      <c r="D700" s="3" t="n">
        <v>68085</v>
      </c>
      <c r="E700" s="4" t="n">
        <v>16</v>
      </c>
      <c r="F700" t="inlineStr">
        <is>
          <t>ООО "БРОНИРОВАНИЕ ГОСТИНИЦ" (OSTROVOK) [Чайковский]</t>
        </is>
      </c>
      <c r="G700" s="3">
        <f>ROUND(D700/(100-E700)*100,2)</f>
        <v/>
      </c>
      <c r="H700" s="5" t="n">
        <v>46243.58333333334</v>
      </c>
      <c r="I700" t="n">
        <v>6</v>
      </c>
      <c r="J700" s="3">
        <f>G700/I700</f>
        <v/>
      </c>
      <c r="K700">
        <f>IF(J700&gt;=5100,"ставка","мин.ставка")</f>
        <v/>
      </c>
      <c r="L700" s="3">
        <f>ROUND(IF(K700="мин.ставка",I700*100,G700/102*2),2)</f>
        <v/>
      </c>
      <c r="M700" s="5" t="n">
        <v>46249.5</v>
      </c>
      <c r="N700" t="inlineStr">
        <is>
          <t>TravelLine OTK</t>
        </is>
      </c>
      <c r="O700" s="2" t="inlineStr">
        <is>
          <t>СТАНДАРТНЫЙ ДВУХМЕСТНЫЙ НОМЕР</t>
        </is>
      </c>
      <c r="P700" s="6" t="n"/>
      <c r="R700" t="inlineStr"/>
      <c r="S700" t="inlineStr">
        <is>
          <t>Тариф с завтраком</t>
        </is>
      </c>
      <c r="T700" t="n">
        <v>0</v>
      </c>
      <c r="U700" t="n">
        <v>136170</v>
      </c>
    </row>
    <row r="701">
      <c r="A701" t="inlineStr">
        <is>
          <t>20260721-8186-450735881</t>
        </is>
      </c>
      <c r="B701" t="n">
        <v>1</v>
      </c>
      <c r="C701" s="2" t="inlineStr">
        <is>
          <t>НАТАЛЬЯ НИКОНОВА, Яков Никонов</t>
        </is>
      </c>
      <c r="D701" s="3" t="n">
        <v>37920</v>
      </c>
      <c r="E701" s="4" t="n">
        <v>20</v>
      </c>
      <c r="F701" t="inlineStr">
        <is>
          <t>ООО "ХБ-ПРО" [Чайковский]</t>
        </is>
      </c>
      <c r="G701" s="3">
        <f>ROUND(D701/(100-E701)*100,2)</f>
        <v/>
      </c>
      <c r="H701" s="5" t="n">
        <v>46224.58333333334</v>
      </c>
      <c r="I701" t="n">
        <v>3</v>
      </c>
      <c r="J701" s="3">
        <f>G701/I701</f>
        <v/>
      </c>
      <c r="K701">
        <f>IF(J701&gt;=5100,"ставка","мин.ставка")</f>
        <v/>
      </c>
      <c r="L701" s="3">
        <f>ROUND(IF(K701="мин.ставка",I701*100,G701/102*2),2)</f>
        <v/>
      </c>
      <c r="M701" s="5" t="n">
        <v>46227.5</v>
      </c>
      <c r="N701" t="inlineStr">
        <is>
          <t>TravelLine UTS</t>
        </is>
      </c>
      <c r="O701" s="2" t="inlineStr">
        <is>
          <t>ЛЮКС ВТОРОЙ КОРПУС</t>
        </is>
      </c>
      <c r="P701" s="6" t="n"/>
      <c r="R701" t="inlineStr"/>
      <c r="S701" t="inlineStr">
        <is>
          <t>Тариф с завтраком</t>
        </is>
      </c>
      <c r="T701" t="n">
        <v>6000</v>
      </c>
      <c r="U701" t="n">
        <v>43920</v>
      </c>
    </row>
    <row r="702">
      <c r="A702" t="inlineStr">
        <is>
          <t>20260721-8186-440916164</t>
        </is>
      </c>
      <c r="B702" t="n">
        <v>1</v>
      </c>
      <c r="C702" s="2" t="inlineStr">
        <is>
          <t>Наталья Новикова</t>
        </is>
      </c>
      <c r="D702" s="3" t="n">
        <v>34050</v>
      </c>
      <c r="E702" s="4" t="n">
        <v>0</v>
      </c>
      <c r="F702" t="inlineStr">
        <is>
          <t>Прямые бронирования (стойка) [Чайковский]</t>
        </is>
      </c>
      <c r="G702" s="3">
        <f>ROUND(D702/(100-E702)*100,2)</f>
        <v/>
      </c>
      <c r="H702" s="5" t="n">
        <v>46224.58333333334</v>
      </c>
      <c r="I702" t="n">
        <v>3</v>
      </c>
      <c r="J702" s="3">
        <f>G702/I702</f>
        <v/>
      </c>
      <c r="K702">
        <f>IF(J702&gt;=5100,"ставка","мин.ставка")</f>
        <v/>
      </c>
      <c r="L702" s="3">
        <f>ROUND(IF(K702="мин.ставка",I702*100,G702/102*2),2)</f>
        <v/>
      </c>
      <c r="M702" s="5" t="n">
        <v>46227.5</v>
      </c>
      <c r="N702" t="inlineStr">
        <is>
          <t>TravelLine ресепшн</t>
        </is>
      </c>
      <c r="O702" s="2" t="inlineStr">
        <is>
          <t>СТАНДАРТНЫЙ ДВУХМЕСТНЫЙ НОМЕР</t>
        </is>
      </c>
      <c r="P702" s="6" t="n"/>
      <c r="R702" t="inlineStr"/>
      <c r="S702" t="inlineStr">
        <is>
          <t>Тариф с завтраком</t>
        </is>
      </c>
      <c r="T702" t="n">
        <v>0</v>
      </c>
      <c r="U702" t="n">
        <v>34050</v>
      </c>
    </row>
    <row r="703">
      <c r="A703" t="inlineStr">
        <is>
          <t>20260929-8186-468991538</t>
        </is>
      </c>
      <c r="B703" t="n">
        <v>1</v>
      </c>
      <c r="C703" s="2" t="inlineStr">
        <is>
          <t>Наталья Поночевная, RYOTARO MIYASHITA</t>
        </is>
      </c>
      <c r="D703" s="3" t="n">
        <v>42925</v>
      </c>
      <c r="E703" s="4" t="n">
        <v>15</v>
      </c>
      <c r="F703" t="inlineStr">
        <is>
          <t>Trip.com Group [Чайковский]</t>
        </is>
      </c>
      <c r="G703" s="3">
        <f>ROUND(D703/(100-E703)*100,2)</f>
        <v/>
      </c>
      <c r="H703" s="5" t="n">
        <v>46294.58333333334</v>
      </c>
      <c r="I703" t="n">
        <v>3</v>
      </c>
      <c r="J703" s="3">
        <f>G703/I703</f>
        <v/>
      </c>
      <c r="K703">
        <f>IF(J703&gt;=5100,"ставка","мин.ставка")</f>
        <v/>
      </c>
      <c r="L703" s="3">
        <f>ROUND(IF(K703="мин.ставка",I703*100,G703/102*2),2)</f>
        <v/>
      </c>
      <c r="M703" s="5" t="n">
        <v>46297.5</v>
      </c>
      <c r="N703" t="inlineStr">
        <is>
          <t>TravelLine CTP</t>
        </is>
      </c>
      <c r="O703" s="2" t="inlineStr">
        <is>
          <t>ЛЮКС ВТОРОЙ КОРПУС</t>
        </is>
      </c>
      <c r="P703" s="6" t="n"/>
      <c r="R703" t="inlineStr"/>
      <c r="S703" t="inlineStr">
        <is>
          <t>Тариф с завтраком</t>
        </is>
      </c>
      <c r="T703" t="n">
        <v>0</v>
      </c>
      <c r="U703" t="n">
        <v>42925</v>
      </c>
    </row>
    <row r="704">
      <c r="A704" t="inlineStr">
        <is>
          <t>20260909-8186-463439312</t>
        </is>
      </c>
      <c r="B704" t="n">
        <v>1</v>
      </c>
      <c r="C704" s="2" t="inlineStr">
        <is>
          <t>Наталья Пряхина</t>
        </is>
      </c>
      <c r="D704" s="3" t="n">
        <v>10998.15</v>
      </c>
      <c r="E704" s="4" t="n">
        <v>4</v>
      </c>
      <c r="F704" t="inlineStr">
        <is>
          <t>TravelLine Booking Engine [Чайковский]</t>
        </is>
      </c>
      <c r="G704" s="3">
        <f>ROUND(D704/(100-E704)*100,2)</f>
        <v/>
      </c>
      <c r="H704" s="5" t="n">
        <v>46274.58333333334</v>
      </c>
      <c r="I704" t="n">
        <v>1</v>
      </c>
      <c r="J704" s="3">
        <f>G704/I704</f>
        <v/>
      </c>
      <c r="K704">
        <f>IF(J704&gt;=5100,"ставка","мин.ставка")</f>
        <v/>
      </c>
      <c r="L704" s="3">
        <f>ROUND(IF(K704="мин.ставка",I704*100,G704/102*2),2)</f>
        <v/>
      </c>
      <c r="M704" s="5" t="n">
        <v>46275.5</v>
      </c>
      <c r="N704" t="inlineStr">
        <is>
          <t>TravelLine сайт</t>
        </is>
      </c>
      <c r="O704" s="2" t="inlineStr">
        <is>
          <t>СТАНДАРТНЫЙ ДВУХМЕСТНЫЙ НОМЕР</t>
        </is>
      </c>
      <c r="P704" s="6" t="n"/>
      <c r="R704" t="inlineStr"/>
      <c r="S704" t="inlineStr">
        <is>
          <t>Тариф с завтраком</t>
        </is>
      </c>
      <c r="T704" t="n">
        <v>0</v>
      </c>
      <c r="U704" t="n">
        <v>10998.15</v>
      </c>
    </row>
    <row r="705">
      <c r="A705" t="inlineStr">
        <is>
          <t>20260730-8186-401372495</t>
        </is>
      </c>
      <c r="B705" t="n">
        <v>1</v>
      </c>
      <c r="C705" s="2" t="inlineStr">
        <is>
          <t>Наталья Селина, Илья Задорин</t>
        </is>
      </c>
      <c r="D705" s="3" t="n">
        <v>22695</v>
      </c>
      <c r="E705" s="4" t="n">
        <v>15</v>
      </c>
      <c r="F705" t="inlineStr">
        <is>
          <t>ООО "БРОНИРОВАНИЕ ГОСТИНИЦ" (OSTROVOK) [Чайковский]</t>
        </is>
      </c>
      <c r="G705" s="3">
        <f>ROUND(D705/(100-E705)*100,2)</f>
        <v/>
      </c>
      <c r="H705" s="5" t="n">
        <v>46233.58333333334</v>
      </c>
      <c r="I705" t="n">
        <v>2</v>
      </c>
      <c r="J705" s="3">
        <f>G705/I705</f>
        <v/>
      </c>
      <c r="K705">
        <f>IF(J705&gt;=5100,"ставка","мин.ставка")</f>
        <v/>
      </c>
      <c r="L705" s="3">
        <f>ROUND(IF(K705="мин.ставка",I705*100,G705/102*2),2)</f>
        <v/>
      </c>
      <c r="M705" s="5" t="n">
        <v>46235.5</v>
      </c>
      <c r="N705" t="inlineStr">
        <is>
          <t>TravelLine OTK</t>
        </is>
      </c>
      <c r="O705" s="2" t="inlineStr">
        <is>
          <t>СТАНДАРТНЫЙ ДВУХМЕСТНЫЙ НОМЕР</t>
        </is>
      </c>
      <c r="P705" s="6" t="n"/>
      <c r="R705" t="inlineStr"/>
      <c r="S705" t="inlineStr">
        <is>
          <t>Тариф с завтраком</t>
        </is>
      </c>
      <c r="T705" t="n">
        <v>0</v>
      </c>
      <c r="U705" t="n">
        <v>22695</v>
      </c>
    </row>
    <row r="706">
      <c r="A706" t="inlineStr">
        <is>
          <t>20260724-8186-452953731</t>
        </is>
      </c>
      <c r="B706" t="n">
        <v>1</v>
      </c>
      <c r="C706" s="2" t="inlineStr">
        <is>
          <t>Наталья Сибирева, ВЛАДИМИР ТИХОНОВ</t>
        </is>
      </c>
      <c r="D706" s="3" t="n">
        <v>10736.5</v>
      </c>
      <c r="E706" s="4" t="n">
        <v>4</v>
      </c>
      <c r="F706" t="inlineStr">
        <is>
          <t>TravelLine Booking Engine [Чайковский]</t>
        </is>
      </c>
      <c r="G706" s="3">
        <f>ROUND(D706/(100-E706)*100,2)</f>
        <v/>
      </c>
      <c r="H706" s="5" t="n">
        <v>46227.75</v>
      </c>
      <c r="I706" t="n">
        <v>1</v>
      </c>
      <c r="J706" s="3">
        <f>G706/I706</f>
        <v/>
      </c>
      <c r="K706">
        <f>IF(J706&gt;=5100,"ставка","мин.ставка")</f>
        <v/>
      </c>
      <c r="L706" s="3">
        <f>ROUND(IF(K706="мин.ставка",I706*100,G706/102*2),2)</f>
        <v/>
      </c>
      <c r="M706" s="5" t="n">
        <v>46228.5</v>
      </c>
      <c r="N706" t="inlineStr">
        <is>
          <t>TravelLine сайт</t>
        </is>
      </c>
      <c r="O706" s="2" t="inlineStr">
        <is>
          <t>СЕМЕЙНЫЙ НОМЕР КАТЕГОРИИ "СТАНДАРТ" ВТОРОЙ КОРПУС</t>
        </is>
      </c>
      <c r="P706" s="6" t="n"/>
      <c r="R706" t="inlineStr"/>
      <c r="S706" t="inlineStr">
        <is>
          <t>Тариф с завтраком</t>
        </is>
      </c>
      <c r="T706" t="n">
        <v>0</v>
      </c>
      <c r="U706" t="n">
        <v>10736.5</v>
      </c>
    </row>
    <row r="707">
      <c r="A707" t="inlineStr">
        <is>
          <t>20260910-8186-462995264</t>
        </is>
      </c>
      <c r="B707" t="n">
        <v>1</v>
      </c>
      <c r="C707" s="2" t="inlineStr">
        <is>
          <t>Наталья Соболева, ЕВГЕНИЙ БЕКИН</t>
        </is>
      </c>
      <c r="D707" s="3" t="n">
        <v>30627</v>
      </c>
      <c r="E707" s="4" t="n">
        <v>18</v>
      </c>
      <c r="F707" t="inlineStr">
        <is>
          <t>ООО "Эй энд Эй" [Чайковский]</t>
        </is>
      </c>
      <c r="G707" s="3">
        <f>ROUND(D707/(100-E707)*100,2)</f>
        <v/>
      </c>
      <c r="H707" s="5" t="n">
        <v>46275.58333333334</v>
      </c>
      <c r="I707" t="n">
        <v>3</v>
      </c>
      <c r="J707" s="3">
        <f>G707/I707</f>
        <v/>
      </c>
      <c r="K707">
        <f>IF(J707&gt;=5100,"ставка","мин.ставка")</f>
        <v/>
      </c>
      <c r="L707" s="3">
        <f>ROUND(IF(K707="мин.ставка",I707*100,G707/102*2),2)</f>
        <v/>
      </c>
      <c r="M707" s="5" t="n">
        <v>46278.5</v>
      </c>
      <c r="N707" t="inlineStr">
        <is>
          <t>TravelLine ANA</t>
        </is>
      </c>
      <c r="O707" s="2" t="inlineStr">
        <is>
          <t>СЕМЕЙНЫЙ НОМЕР КАТЕГОРИИ "СТАНДАРТ" ВТОРОЙ КОРПУС</t>
        </is>
      </c>
      <c r="P707" s="6" t="n"/>
      <c r="R707" t="inlineStr"/>
      <c r="S707" t="inlineStr">
        <is>
          <t>Тариф с завтраком</t>
        </is>
      </c>
      <c r="T707" t="n">
        <v>6000</v>
      </c>
      <c r="U707" t="n">
        <v>36627</v>
      </c>
    </row>
    <row r="708">
      <c r="A708" t="inlineStr">
        <is>
          <t>20260702-8186-447187422</t>
        </is>
      </c>
      <c r="B708" t="n">
        <v>1</v>
      </c>
      <c r="C708" s="2" t="inlineStr">
        <is>
          <t>Наталья Фетисова</t>
        </is>
      </c>
      <c r="D708" s="3" t="n">
        <v>9900</v>
      </c>
      <c r="E708" s="4" t="n">
        <v>0</v>
      </c>
      <c r="F708" t="inlineStr">
        <is>
          <t>Прямые бронирования (стойка) [Чайковский]</t>
        </is>
      </c>
      <c r="G708" s="3">
        <f>ROUND(D708/(100-E708)*100,2)</f>
        <v/>
      </c>
      <c r="H708" s="5" t="n">
        <v>46205.58333333334</v>
      </c>
      <c r="I708" t="n">
        <v>1</v>
      </c>
      <c r="J708" s="3">
        <f>G708/I708</f>
        <v/>
      </c>
      <c r="K708">
        <f>IF(J708&gt;=5100,"ставка","мин.ставка")</f>
        <v/>
      </c>
      <c r="L708" s="3">
        <f>ROUND(IF(K708="мин.ставка",I708*100,G708/102*2),2)</f>
        <v/>
      </c>
      <c r="M708" s="5" t="n">
        <v>46206.5</v>
      </c>
      <c r="N708" t="inlineStr">
        <is>
          <t>TravelLine ресепшн</t>
        </is>
      </c>
      <c r="O708" s="2" t="inlineStr">
        <is>
          <t>СТАНДАРТНЫЙ ДВУХМЕСТНЫЙ НОМЕР (МАНСАРДА)</t>
        </is>
      </c>
      <c r="P708" s="6" t="n"/>
      <c r="R708" t="inlineStr"/>
      <c r="S708" t="inlineStr">
        <is>
          <t>Тариф с завтраком</t>
        </is>
      </c>
      <c r="T708" t="n">
        <v>0</v>
      </c>
      <c r="U708" t="n">
        <v>9900</v>
      </c>
    </row>
    <row r="709">
      <c r="A709" t="inlineStr">
        <is>
          <t>20260904-8186-463350025</t>
        </is>
      </c>
      <c r="B709" t="n">
        <v>1</v>
      </c>
      <c r="C709" s="2" t="inlineStr">
        <is>
          <t>Наталья Шиловская</t>
        </is>
      </c>
      <c r="D709" s="3" t="n">
        <v>10500</v>
      </c>
      <c r="E709" s="4" t="n">
        <v>16</v>
      </c>
      <c r="F709" t="inlineStr">
        <is>
          <t>ООО "БРОНИРОВАНИЕ ГОСТИНИЦ" (OSTROVOK) [Чайковский]</t>
        </is>
      </c>
      <c r="G709" s="3">
        <f>ROUND(D709/(100-E709)*100,2)</f>
        <v/>
      </c>
      <c r="H709" s="5" t="n">
        <v>46269.58333333334</v>
      </c>
      <c r="I709" t="n">
        <v>1</v>
      </c>
      <c r="J709" s="3">
        <f>G709/I709</f>
        <v/>
      </c>
      <c r="K709">
        <f>IF(J709&gt;=5100,"ставка","мин.ставка")</f>
        <v/>
      </c>
      <c r="L709" s="3">
        <f>ROUND(IF(K709="мин.ставка",I709*100,G709/102*2),2)</f>
        <v/>
      </c>
      <c r="M709" s="5" t="n">
        <v>46270.5</v>
      </c>
      <c r="N709" t="inlineStr">
        <is>
          <t>TravelLine OTK</t>
        </is>
      </c>
      <c r="O709" s="2" t="inlineStr">
        <is>
          <t>ЛЮКС ВТОРОЙ КОРПУС</t>
        </is>
      </c>
      <c r="P709" s="6" t="n"/>
      <c r="R709" t="inlineStr"/>
      <c r="S709" t="inlineStr">
        <is>
          <t>Основной тариф без завтрака</t>
        </is>
      </c>
      <c r="T709" t="n">
        <v>0</v>
      </c>
      <c r="U709" t="n">
        <v>10500</v>
      </c>
    </row>
    <row r="710">
      <c r="A710" t="inlineStr">
        <is>
          <t>20260914-8186-463592253</t>
        </is>
      </c>
      <c r="B710" t="n">
        <v>1</v>
      </c>
      <c r="C710" s="2" t="inlineStr">
        <is>
          <t>НАТТЕЛА ТКАВАДЗЕ</t>
        </is>
      </c>
      <c r="D710" s="3" t="n">
        <v>9647.5</v>
      </c>
      <c r="E710" s="4" t="n">
        <v>15</v>
      </c>
      <c r="F710" t="inlineStr">
        <is>
          <t>ООО "Библио-Глобус Туроператор" [Чайковский]</t>
        </is>
      </c>
      <c r="G710" s="3">
        <f>ROUND(D710/(100-E710)*100,2)</f>
        <v/>
      </c>
      <c r="H710" s="5" t="n">
        <v>46279.58333333334</v>
      </c>
      <c r="I710" t="n">
        <v>1</v>
      </c>
      <c r="J710" s="3">
        <f>G710/I710</f>
        <v/>
      </c>
      <c r="K710">
        <f>IF(J710&gt;=5100,"ставка","мин.ставка")</f>
        <v/>
      </c>
      <c r="L710" s="3">
        <f>ROUND(IF(K710="мин.ставка",I710*100,G710/102*2),2)</f>
        <v/>
      </c>
      <c r="M710" s="5" t="n">
        <v>46280.5</v>
      </c>
      <c r="N710" t="inlineStr">
        <is>
          <t>TravelLine BGL</t>
        </is>
      </c>
      <c r="O710" s="2" t="inlineStr">
        <is>
          <t>СТАНДАРТНЫЙ ДВУХМЕСТНЫЙ НОМЕР</t>
        </is>
      </c>
      <c r="P710" s="6" t="n"/>
      <c r="R710" t="inlineStr"/>
      <c r="S710" t="inlineStr">
        <is>
          <t>Тариф с завтраком</t>
        </is>
      </c>
      <c r="T710" t="n">
        <v>0</v>
      </c>
      <c r="U710" t="n">
        <v>9647.5</v>
      </c>
    </row>
    <row r="711">
      <c r="A711" t="inlineStr">
        <is>
          <t>20260808-8186-441380386</t>
        </is>
      </c>
      <c r="B711" t="n">
        <v>1</v>
      </c>
      <c r="C711" s="2" t="inlineStr">
        <is>
          <t>Никита Войнов, Мария Муромова</t>
        </is>
      </c>
      <c r="D711" s="3" t="n">
        <v>7920</v>
      </c>
      <c r="E711" s="4" t="n">
        <v>18</v>
      </c>
      <c r="F711" t="inlineStr">
        <is>
          <t>Яндекс.Путешествия [Чайковский]</t>
        </is>
      </c>
      <c r="G711" s="3">
        <f>ROUND(D711/(100-E711)*100,2)</f>
        <v/>
      </c>
      <c r="H711" s="5" t="n">
        <v>46242.58333333334</v>
      </c>
      <c r="I711" t="n">
        <v>1</v>
      </c>
      <c r="J711" s="3">
        <f>G711/I711</f>
        <v/>
      </c>
      <c r="K711">
        <f>IF(J711&gt;=5100,"ставка","мин.ставка")</f>
        <v/>
      </c>
      <c r="L711" s="3">
        <f>ROUND(IF(K711="мин.ставка",I711*100,G711/102*2),2)</f>
        <v/>
      </c>
      <c r="M711" s="5" t="n">
        <v>46243.5</v>
      </c>
      <c r="N711" t="inlineStr">
        <is>
          <t>TravelLine YAX</t>
        </is>
      </c>
      <c r="O711" s="2" t="inlineStr">
        <is>
          <t>СТАНДАРТНЫЙ ДВУХМЕСТНЫЙ НОМЕР (МАНСАРДА)</t>
        </is>
      </c>
      <c r="P711" s="6" t="n"/>
      <c r="R711" t="inlineStr"/>
      <c r="S711" t="inlineStr">
        <is>
          <t>Тариф с завтраком</t>
        </is>
      </c>
      <c r="T711" t="n">
        <v>0</v>
      </c>
      <c r="U711" t="n">
        <v>7920</v>
      </c>
    </row>
    <row r="712">
      <c r="A712" t="inlineStr">
        <is>
          <t>20260924-8186-467746202</t>
        </is>
      </c>
      <c r="B712" t="n">
        <v>1</v>
      </c>
      <c r="C712" s="2" t="inlineStr">
        <is>
          <t>Никита Кривошеин, Алина Федорец</t>
        </is>
      </c>
      <c r="D712" s="3" t="n">
        <v>26700</v>
      </c>
      <c r="E712" s="4" t="n">
        <v>18</v>
      </c>
      <c r="F712" t="inlineStr">
        <is>
          <t>Яндекс.Путешествия [Чайковский]</t>
        </is>
      </c>
      <c r="G712" s="3">
        <f>ROUND(D712/(100-E712)*100,2)</f>
        <v/>
      </c>
      <c r="H712" s="5" t="n">
        <v>46289.58333333334</v>
      </c>
      <c r="I712" t="n">
        <v>2</v>
      </c>
      <c r="J712" s="3">
        <f>G712/I712</f>
        <v/>
      </c>
      <c r="K712">
        <f>IF(J712&gt;=5100,"ставка","мин.ставка")</f>
        <v/>
      </c>
      <c r="L712" s="3">
        <f>ROUND(IF(K712="мин.ставка",I712*100,G712/102*2),2)</f>
        <v/>
      </c>
      <c r="M712" s="5" t="n">
        <v>46291.5</v>
      </c>
      <c r="N712" t="inlineStr">
        <is>
          <t>TravelLine YAX</t>
        </is>
      </c>
      <c r="O712" s="2" t="inlineStr">
        <is>
          <t>ЛЮКС ВТОРОЙ КОРПУС</t>
        </is>
      </c>
      <c r="P712" s="6" t="n"/>
      <c r="R712" t="inlineStr"/>
      <c r="S712" t="inlineStr">
        <is>
          <t>Тариф с завтраком</t>
        </is>
      </c>
      <c r="T712" t="n">
        <v>0</v>
      </c>
      <c r="U712" t="n">
        <v>26700</v>
      </c>
    </row>
    <row r="713">
      <c r="A713" t="inlineStr">
        <is>
          <t>20260930-8186-466735765</t>
        </is>
      </c>
      <c r="B713" t="n">
        <v>1</v>
      </c>
      <c r="C713" s="2" t="inlineStr">
        <is>
          <t>НИКИТА СЕРГЕЕВ</t>
        </is>
      </c>
      <c r="D713" s="3" t="n">
        <v>18062.5</v>
      </c>
      <c r="E713" s="4" t="n">
        <v>15</v>
      </c>
      <c r="F713" t="inlineStr">
        <is>
          <t>ООО "АКАДЕМ-ОНЛАЙН" [Чайковский]</t>
        </is>
      </c>
      <c r="G713" s="3">
        <f>ROUND(D713/(100-E713)*100,2)</f>
        <v/>
      </c>
      <c r="H713" s="5" t="n">
        <v>46295.58333333334</v>
      </c>
      <c r="I713" t="n">
        <v>2</v>
      </c>
      <c r="J713" s="3">
        <f>G713/I713</f>
        <v/>
      </c>
      <c r="K713">
        <f>IF(J713&gt;=5100,"ставка","мин.ставка")</f>
        <v/>
      </c>
      <c r="L713" s="3">
        <f>ROUND(IF(K713="мин.ставка",I713*100,G713/102*2),2)</f>
        <v/>
      </c>
      <c r="M713" s="5" t="n">
        <v>46297.5</v>
      </c>
      <c r="N713" t="inlineStr">
        <is>
          <t>TravelLine ACS</t>
        </is>
      </c>
      <c r="O713" s="2" t="inlineStr">
        <is>
          <t>СТАНДАРТНЫЙ ДВУХМЕСТНЫЙ НОМЕР</t>
        </is>
      </c>
      <c r="P713" s="6" t="n"/>
      <c r="R713" t="inlineStr"/>
      <c r="S713" t="inlineStr">
        <is>
          <t>Тариф с завтраком</t>
        </is>
      </c>
      <c r="T713" t="n">
        <v>0</v>
      </c>
      <c r="U713" t="n">
        <v>18062.5</v>
      </c>
    </row>
    <row r="714">
      <c r="A714" t="inlineStr">
        <is>
          <t>20260704-8186-442805250</t>
        </is>
      </c>
      <c r="B714" t="n">
        <v>1</v>
      </c>
      <c r="C714" s="2" t="inlineStr">
        <is>
          <t>Никита Шалыгин</t>
        </is>
      </c>
      <c r="D714" s="3" t="n">
        <v>34050</v>
      </c>
      <c r="E714" s="4" t="n">
        <v>0</v>
      </c>
      <c r="F714" t="inlineStr">
        <is>
          <t>Прямые бронирования (стойка) [Чайковский]</t>
        </is>
      </c>
      <c r="G714" s="3">
        <f>ROUND(D714/(100-E714)*100,2)</f>
        <v/>
      </c>
      <c r="H714" s="5" t="n">
        <v>46207.58333333334</v>
      </c>
      <c r="I714" t="n">
        <v>3</v>
      </c>
      <c r="J714" s="3">
        <f>G714/I714</f>
        <v/>
      </c>
      <c r="K714">
        <f>IF(J714&gt;=5100,"ставка","мин.ставка")</f>
        <v/>
      </c>
      <c r="L714" s="3">
        <f>ROUND(IF(K714="мин.ставка",I714*100,G714/102*2),2)</f>
        <v/>
      </c>
      <c r="M714" s="5" t="n">
        <v>46210.5</v>
      </c>
      <c r="N714" t="inlineStr">
        <is>
          <t>TravelLine ресепшн</t>
        </is>
      </c>
      <c r="O714" s="2" t="inlineStr">
        <is>
          <t>СТАНДАРТНЫЙ ДВУХМЕСТНЫЙ НОМЕР</t>
        </is>
      </c>
      <c r="P714" s="6" t="n"/>
      <c r="R714" t="inlineStr"/>
      <c r="S714" t="inlineStr">
        <is>
          <t>Тариф с завтраком</t>
        </is>
      </c>
      <c r="T714" t="n">
        <v>0</v>
      </c>
      <c r="U714" t="n">
        <v>34050</v>
      </c>
    </row>
    <row r="715">
      <c r="A715" t="inlineStr">
        <is>
          <t>20260630-8186-439700002</t>
        </is>
      </c>
      <c r="B715" t="n">
        <v>1</v>
      </c>
      <c r="C715" s="2" t="inlineStr">
        <is>
          <t>Николай Богданов</t>
        </is>
      </c>
      <c r="D715" s="3" t="n">
        <v>27921</v>
      </c>
      <c r="E715" s="4" t="n">
        <v>18</v>
      </c>
      <c r="F715" t="inlineStr">
        <is>
          <t>ООО "Эй энд Эй" [Чайковский]</t>
        </is>
      </c>
      <c r="G715" s="3">
        <f>ROUND(D715/(100-E715)*100,2)</f>
        <v/>
      </c>
      <c r="H715" s="5" t="n">
        <v>46203.58333333334</v>
      </c>
      <c r="I715" t="n">
        <v>3</v>
      </c>
      <c r="J715" s="3">
        <f>G715/I715</f>
        <v/>
      </c>
      <c r="K715">
        <f>IF(J715&gt;=5100,"ставка","мин.ставка")</f>
        <v/>
      </c>
      <c r="L715" s="3">
        <f>ROUND(IF(K715="мин.ставка",I715*100,G715/102*2),2)</f>
        <v/>
      </c>
      <c r="M715" s="5" t="n">
        <v>46206.5</v>
      </c>
      <c r="N715" t="inlineStr">
        <is>
          <t>TravelLine ANA</t>
        </is>
      </c>
      <c r="O715" s="2" t="inlineStr">
        <is>
          <t>СТАНДАРТНЫЙ ДВУХМЕСТНЫЙ НОМЕР</t>
        </is>
      </c>
      <c r="P715" s="6" t="n"/>
      <c r="R715" t="inlineStr"/>
      <c r="S715" t="inlineStr">
        <is>
          <t>Тариф с завтраком</t>
        </is>
      </c>
      <c r="T715" t="n">
        <v>0</v>
      </c>
      <c r="U715" t="n">
        <v>27921</v>
      </c>
    </row>
    <row r="716">
      <c r="A716" t="inlineStr">
        <is>
          <t>20260728-8186-451976578</t>
        </is>
      </c>
      <c r="B716" t="n">
        <v>1</v>
      </c>
      <c r="C716" s="2" t="inlineStr">
        <is>
          <t>НИКОЛАЙ ГАВРИЛЬЧЕНКО, ГАЛИНА ГАВРИЛЬЧЕНКО</t>
        </is>
      </c>
      <c r="D716" s="3" t="n">
        <v>78540</v>
      </c>
      <c r="E716" s="4" t="n">
        <v>0</v>
      </c>
      <c r="F716" t="inlineStr">
        <is>
          <t>ООО «ХОМЛИН ЛЭНД» (ПЕГАС) [Чайковский]</t>
        </is>
      </c>
      <c r="G716" s="3">
        <f>ROUND(D716/(100-E716)*100,2)</f>
        <v/>
      </c>
      <c r="H716" s="5" t="n">
        <v>46231.58333333334</v>
      </c>
      <c r="I716" t="n">
        <v>6</v>
      </c>
      <c r="J716" s="3">
        <f>G716/I716</f>
        <v/>
      </c>
      <c r="K716">
        <f>IF(J716&gt;=5100,"ставка","мин.ставка")</f>
        <v/>
      </c>
      <c r="L716" s="3">
        <f>ROUND(IF(K716="мин.ставка",I716*100,G716/102*2),2)</f>
        <v/>
      </c>
      <c r="M716" s="5" t="n">
        <v>46237.5</v>
      </c>
      <c r="N716" t="inlineStr">
        <is>
          <t>TravelLine PGS</t>
        </is>
      </c>
      <c r="O716" s="2" t="inlineStr">
        <is>
          <t>УЛУЧШЕННЫЙ ДВУХМЕСТНЫЙ НОМЕР</t>
        </is>
      </c>
      <c r="P716" s="6" t="n"/>
      <c r="R716" t="inlineStr"/>
      <c r="S716" t="inlineStr">
        <is>
          <t>Тариф с завтраком</t>
        </is>
      </c>
      <c r="T716" t="n">
        <v>0</v>
      </c>
      <c r="U716" t="n">
        <v>78540</v>
      </c>
    </row>
    <row r="717">
      <c r="A717" t="inlineStr">
        <is>
          <t>20260809-8186-456961370</t>
        </is>
      </c>
      <c r="B717" t="n">
        <v>1</v>
      </c>
      <c r="C717" s="2" t="inlineStr">
        <is>
          <t>НИКОЛАЙ Двугрошев</t>
        </is>
      </c>
      <c r="D717" s="3" t="n">
        <v>16500</v>
      </c>
      <c r="E717" s="4" t="n">
        <v>0</v>
      </c>
      <c r="F717" t="inlineStr">
        <is>
          <t>Прямые бронирования (стойка) [Чайковский]</t>
        </is>
      </c>
      <c r="G717" s="3">
        <f>ROUND(D717/(100-E717)*100,2)</f>
        <v/>
      </c>
      <c r="H717" s="5" t="n">
        <v>46243.58333333334</v>
      </c>
      <c r="I717" t="n">
        <v>1</v>
      </c>
      <c r="J717" s="3">
        <f>G717/I717</f>
        <v/>
      </c>
      <c r="K717">
        <f>IF(J717&gt;=5100,"ставка","мин.ставка")</f>
        <v/>
      </c>
      <c r="L717" s="3">
        <f>ROUND(IF(K717="мин.ставка",I717*100,G717/102*2),2)</f>
        <v/>
      </c>
      <c r="M717" s="5" t="n">
        <v>46244.5</v>
      </c>
      <c r="N717" t="inlineStr">
        <is>
          <t>TravelLine ресепшн</t>
        </is>
      </c>
      <c r="O717" s="2" t="inlineStr">
        <is>
          <t>ПОЛУЛЮКС</t>
        </is>
      </c>
      <c r="P717" s="6" t="n"/>
      <c r="R717" t="inlineStr"/>
      <c r="S717" t="inlineStr">
        <is>
          <t>Тариф с завтраком</t>
        </is>
      </c>
      <c r="T717" t="n">
        <v>0</v>
      </c>
      <c r="U717" t="n">
        <v>16500</v>
      </c>
    </row>
    <row r="718">
      <c r="A718" t="inlineStr">
        <is>
          <t>20260723-8186-449405708</t>
        </is>
      </c>
      <c r="B718" t="n">
        <v>1</v>
      </c>
      <c r="C718" s="2" t="inlineStr">
        <is>
          <t>Николай Семенов</t>
        </is>
      </c>
      <c r="D718" s="3" t="n">
        <v>30645</v>
      </c>
      <c r="E718" s="4" t="n">
        <v>0</v>
      </c>
      <c r="F718" t="inlineStr">
        <is>
          <t>Прямые бронирования (стойка) [Чайковский]</t>
        </is>
      </c>
      <c r="G718" s="3">
        <f>ROUND(D718/(100-E718)*100,2)</f>
        <v/>
      </c>
      <c r="H718" s="5" t="n">
        <v>46226.58333333334</v>
      </c>
      <c r="I718" t="n">
        <v>3</v>
      </c>
      <c r="J718" s="3">
        <f>G718/I718</f>
        <v/>
      </c>
      <c r="K718">
        <f>IF(J718&gt;=5100,"ставка","мин.ставка")</f>
        <v/>
      </c>
      <c r="L718" s="3">
        <f>ROUND(IF(K718="мин.ставка",I718*100,G718/102*2),2)</f>
        <v/>
      </c>
      <c r="M718" s="5" t="n">
        <v>46229.5</v>
      </c>
      <c r="N718" t="inlineStr">
        <is>
          <t>TravelLine ресепшн</t>
        </is>
      </c>
      <c r="O718" s="2" t="inlineStr">
        <is>
          <t>СТАНДАРТНЫЙ ДВУХМЕСТНЫЙ НОМЕР</t>
        </is>
      </c>
      <c r="P718" s="6" t="n"/>
      <c r="R718" t="inlineStr"/>
      <c r="S718" t="inlineStr">
        <is>
          <t>Тариф с завтраком</t>
        </is>
      </c>
      <c r="T718" t="n">
        <v>0</v>
      </c>
      <c r="U718" t="n">
        <v>30645</v>
      </c>
    </row>
    <row r="719">
      <c r="A719" t="inlineStr">
        <is>
          <t>20260821-8186-459875156</t>
        </is>
      </c>
      <c r="B719" t="n">
        <v>1</v>
      </c>
      <c r="C719" s="2" t="inlineStr">
        <is>
          <t>НИКОЛАЙ Соболев</t>
        </is>
      </c>
      <c r="D719" s="3" t="n">
        <v>11350</v>
      </c>
      <c r="E719" s="4" t="n">
        <v>0</v>
      </c>
      <c r="F719" t="inlineStr">
        <is>
          <t>Прямые бронирования (стойка) [Чайковский]</t>
        </is>
      </c>
      <c r="G719" s="3">
        <f>ROUND(D719/(100-E719)*100,2)</f>
        <v/>
      </c>
      <c r="H719" s="5" t="n">
        <v>46255.58333333334</v>
      </c>
      <c r="I719" t="n">
        <v>1</v>
      </c>
      <c r="J719" s="3">
        <f>G719/I719</f>
        <v/>
      </c>
      <c r="K719">
        <f>IF(J719&gt;=5100,"ставка","мин.ставка")</f>
        <v/>
      </c>
      <c r="L719" s="3">
        <f>ROUND(IF(K719="мин.ставка",I719*100,G719/102*2),2)</f>
        <v/>
      </c>
      <c r="M719" s="5" t="n">
        <v>46256.5</v>
      </c>
      <c r="N719" t="inlineStr">
        <is>
          <t>TravelLine ресепшн</t>
        </is>
      </c>
      <c r="O719" s="2" t="inlineStr">
        <is>
          <t>СТАНДАРТНЫЙ ДВУХМЕСТНЫЙ НОМЕР</t>
        </is>
      </c>
      <c r="P719" s="6" t="n"/>
      <c r="R719" t="inlineStr"/>
      <c r="S719" t="inlineStr">
        <is>
          <t>Тариф с завтраком</t>
        </is>
      </c>
      <c r="T719" t="n">
        <v>0</v>
      </c>
      <c r="U719" t="n">
        <v>11350</v>
      </c>
    </row>
    <row r="720">
      <c r="A720" t="inlineStr">
        <is>
          <t>20260706-8186-446293718</t>
        </is>
      </c>
      <c r="B720" t="n">
        <v>1</v>
      </c>
      <c r="C720" s="2" t="inlineStr">
        <is>
          <t>Николай Сорокин</t>
        </is>
      </c>
      <c r="D720" s="3" t="n">
        <v>30000</v>
      </c>
      <c r="E720" s="4" t="n">
        <v>0</v>
      </c>
      <c r="F720" t="inlineStr">
        <is>
          <t>Прямые бронирования (стойка) [Чайковский]</t>
        </is>
      </c>
      <c r="G720" s="3">
        <f>ROUND(D720/(100-E720)*100,2)</f>
        <v/>
      </c>
      <c r="H720" s="5" t="n">
        <v>46209.58333333334</v>
      </c>
      <c r="I720" t="n">
        <v>2</v>
      </c>
      <c r="J720" s="3">
        <f>G720/I720</f>
        <v/>
      </c>
      <c r="K720">
        <f>IF(J720&gt;=5100,"ставка","мин.ставка")</f>
        <v/>
      </c>
      <c r="L720" s="3">
        <f>ROUND(IF(K720="мин.ставка",I720*100,G720/102*2),2)</f>
        <v/>
      </c>
      <c r="M720" s="5" t="n">
        <v>46211.5</v>
      </c>
      <c r="N720" t="inlineStr">
        <is>
          <t>TravelLine ресепшн</t>
        </is>
      </c>
      <c r="O720" s="2" t="inlineStr">
        <is>
          <t>СТАНДАРТНЫЙ ДВУХМЕСТНЫЙ НОМЕР</t>
        </is>
      </c>
      <c r="P720" s="6" t="n"/>
      <c r="R720" t="inlineStr"/>
      <c r="S720" t="inlineStr">
        <is>
          <t>Тариф с завтраком</t>
        </is>
      </c>
      <c r="T720" t="n">
        <v>0</v>
      </c>
      <c r="U720" t="n">
        <v>30000</v>
      </c>
    </row>
    <row r="721">
      <c r="A721" t="inlineStr">
        <is>
          <t>20260916-8186-460918498</t>
        </is>
      </c>
      <c r="B721" t="n">
        <v>1</v>
      </c>
      <c r="C721" s="2" t="inlineStr">
        <is>
          <t>Николай Стовпец, ЛЮДМИЛА СТОВПЕЦ</t>
        </is>
      </c>
      <c r="D721" s="3" t="n">
        <v>83160</v>
      </c>
      <c r="E721" s="4" t="n">
        <v>0</v>
      </c>
      <c r="F721" t="inlineStr">
        <is>
          <t>Прямые бронирования (стойка) [Чайковский]</t>
        </is>
      </c>
      <c r="G721" s="3">
        <f>ROUND(D721/(100-E721)*100,2)</f>
        <v/>
      </c>
      <c r="H721" s="5" t="n">
        <v>46280.58333333334</v>
      </c>
      <c r="I721" t="n">
        <v>6</v>
      </c>
      <c r="J721" s="3">
        <f>G721/I721</f>
        <v/>
      </c>
      <c r="K721">
        <f>IF(J721&gt;=5100,"ставка","мин.ставка")</f>
        <v/>
      </c>
      <c r="L721" s="3">
        <f>ROUND(IF(K721="мин.ставка",I721*100,G721/102*2),2)</f>
        <v/>
      </c>
      <c r="M721" s="5" t="n">
        <v>46286.5</v>
      </c>
      <c r="N721" t="inlineStr">
        <is>
          <t>TravelLine ресепшн</t>
        </is>
      </c>
      <c r="O721" s="2" t="inlineStr">
        <is>
          <t>УЛУЧШЕННЫЙ ДВУХМЕСТНЫЙ НОМЕР</t>
        </is>
      </c>
      <c r="P721" s="6" t="n"/>
      <c r="R721" t="inlineStr"/>
      <c r="S721" t="inlineStr">
        <is>
          <t>Тариф с завтраком</t>
        </is>
      </c>
      <c r="T721" t="n">
        <v>0</v>
      </c>
      <c r="U721" t="n">
        <v>83160</v>
      </c>
    </row>
    <row r="722">
      <c r="A722" t="inlineStr">
        <is>
          <t>20260911-8186-459836145</t>
        </is>
      </c>
      <c r="B722" t="n">
        <v>1</v>
      </c>
      <c r="C722" s="2" t="inlineStr">
        <is>
          <t>НИКОЛАЙ ШИНОВ, ТАТЬЯНА ЛЕВАЧЕВА</t>
        </is>
      </c>
      <c r="D722" s="3" t="n">
        <v>39449.25</v>
      </c>
      <c r="E722" s="4" t="n">
        <v>4</v>
      </c>
      <c r="F722" t="inlineStr">
        <is>
          <t>TravelLine Booking Engine [Чайковский]</t>
        </is>
      </c>
      <c r="G722" s="3">
        <f>ROUND(D722/(100-E722)*100,2)</f>
        <v/>
      </c>
      <c r="H722" s="5" t="n">
        <v>46276.58333333334</v>
      </c>
      <c r="I722" t="n">
        <v>3</v>
      </c>
      <c r="J722" s="3">
        <f>G722/I722</f>
        <v/>
      </c>
      <c r="K722">
        <f>IF(J722&gt;=5100,"ставка","мин.ставка")</f>
        <v/>
      </c>
      <c r="L722" s="3">
        <f>ROUND(IF(K722="мин.ставка",I722*100,G722/102*2),2)</f>
        <v/>
      </c>
      <c r="M722" s="5" t="n">
        <v>46279.5</v>
      </c>
      <c r="N722" t="inlineStr">
        <is>
          <t>TravelLine сайт</t>
        </is>
      </c>
      <c r="O722" s="2" t="inlineStr">
        <is>
          <t>СТАНДАРТНЫЙ ДВУХМЕСТНЫЙ НОМЕР</t>
        </is>
      </c>
      <c r="P722" s="6" t="n"/>
      <c r="R722" t="inlineStr"/>
      <c r="S722" t="inlineStr">
        <is>
          <t>Тариф с завтраком</t>
        </is>
      </c>
      <c r="T722" t="n">
        <v>0</v>
      </c>
      <c r="U722" t="n">
        <v>39449.25</v>
      </c>
    </row>
    <row r="723">
      <c r="A723" t="inlineStr">
        <is>
          <t>20260627-8186-440220677</t>
        </is>
      </c>
      <c r="B723" t="n">
        <v>1</v>
      </c>
      <c r="C723" s="2" t="inlineStr">
        <is>
          <t>НИКОЛАЙ ЯРОВОЙ, ЕЛЕНА ИСУПОВА</t>
        </is>
      </c>
      <c r="D723" s="3" t="n">
        <v>76629</v>
      </c>
      <c r="E723" s="4" t="n">
        <v>18</v>
      </c>
      <c r="F723" t="inlineStr">
        <is>
          <t>ООО "ТРИВИО СЕРВИС" [Чайковский]</t>
        </is>
      </c>
      <c r="G723" s="3">
        <f>ROUND(D723/(100-E723)*100,2)</f>
        <v/>
      </c>
      <c r="H723" s="5" t="n">
        <v>46200.58333333334</v>
      </c>
      <c r="I723" t="n">
        <v>7</v>
      </c>
      <c r="J723" s="3">
        <f>G723/I723</f>
        <v/>
      </c>
      <c r="K723">
        <f>IF(J723&gt;=5100,"ставка","мин.ставка")</f>
        <v/>
      </c>
      <c r="L723" s="3">
        <f>ROUND(IF(K723="мин.ставка",I723*100,G723/102*2),2)</f>
        <v/>
      </c>
      <c r="M723" s="5" t="n">
        <v>46207.91666666666</v>
      </c>
      <c r="N723" t="inlineStr">
        <is>
          <t>TravelLine TIO</t>
        </is>
      </c>
      <c r="O723" s="2" t="inlineStr">
        <is>
          <t>СТАНДАРТНЫЙ ДВУХМЕСТНЫЙ НОМЕР</t>
        </is>
      </c>
      <c r="P723" s="6" t="n"/>
      <c r="R723" t="inlineStr"/>
      <c r="S723" t="inlineStr">
        <is>
          <t>Тариф с завтраком</t>
        </is>
      </c>
      <c r="T723" t="n">
        <v>13147</v>
      </c>
      <c r="U723" t="n">
        <v>89776</v>
      </c>
    </row>
    <row r="724">
      <c r="A724" t="inlineStr">
        <is>
          <t>20260806-8186-455738885</t>
        </is>
      </c>
      <c r="B724" t="n">
        <v>1</v>
      </c>
      <c r="C724" s="2" t="inlineStr">
        <is>
          <t>Николай Яроцкий</t>
        </is>
      </c>
      <c r="D724" s="3" t="n">
        <v>11350</v>
      </c>
      <c r="E724" s="4" t="n">
        <v>0</v>
      </c>
      <c r="F724" t="inlineStr">
        <is>
          <t>Прямые бронирования (стойка) [Чайковский]</t>
        </is>
      </c>
      <c r="G724" s="3">
        <f>ROUND(D724/(100-E724)*100,2)</f>
        <v/>
      </c>
      <c r="H724" s="5" t="n">
        <v>46240.58333333334</v>
      </c>
      <c r="I724" t="n">
        <v>1</v>
      </c>
      <c r="J724" s="3">
        <f>G724/I724</f>
        <v/>
      </c>
      <c r="K724">
        <f>IF(J724&gt;=5100,"ставка","мин.ставка")</f>
        <v/>
      </c>
      <c r="L724" s="3">
        <f>ROUND(IF(K724="мин.ставка",I724*100,G724/102*2),2)</f>
        <v/>
      </c>
      <c r="M724" s="5" t="n">
        <v>46241.5</v>
      </c>
      <c r="N724" t="inlineStr">
        <is>
          <t>TravelLine ресепшн</t>
        </is>
      </c>
      <c r="O724" s="2" t="inlineStr">
        <is>
          <t>СТАНДАРТНЫЙ ДВУХМЕСТНЫЙ НОМЕР</t>
        </is>
      </c>
      <c r="P724" s="6" t="n"/>
      <c r="R724" t="inlineStr"/>
      <c r="S724" t="inlineStr">
        <is>
          <t>Тариф с завтраком</t>
        </is>
      </c>
      <c r="T724" t="n">
        <v>0</v>
      </c>
      <c r="U724" t="n">
        <v>11350</v>
      </c>
    </row>
    <row r="725">
      <c r="A725" t="inlineStr">
        <is>
          <t>20260922-8186-466961418</t>
        </is>
      </c>
      <c r="B725" t="n">
        <v>1</v>
      </c>
      <c r="C725" s="2" t="inlineStr">
        <is>
          <t>Нина Балаян</t>
        </is>
      </c>
      <c r="D725" s="3" t="n">
        <v>44325</v>
      </c>
      <c r="E725" s="4" t="n">
        <v>18</v>
      </c>
      <c r="F725" t="inlineStr">
        <is>
          <t>Яндекс.Путешествия [Чайковский]</t>
        </is>
      </c>
      <c r="G725" s="3">
        <f>ROUND(D725/(100-E725)*100,2)</f>
        <v/>
      </c>
      <c r="H725" s="5" t="n">
        <v>46287.58333333334</v>
      </c>
      <c r="I725" t="n">
        <v>6</v>
      </c>
      <c r="J725" s="3">
        <f>G725/I725</f>
        <v/>
      </c>
      <c r="K725">
        <f>IF(J725&gt;=5100,"ставка","мин.ставка")</f>
        <v/>
      </c>
      <c r="L725" s="3">
        <f>ROUND(IF(K725="мин.ставка",I725*100,G725/102*2),2)</f>
        <v/>
      </c>
      <c r="M725" s="5" t="n">
        <v>46293.5</v>
      </c>
      <c r="N725" t="inlineStr">
        <is>
          <t>TravelLine YAX</t>
        </is>
      </c>
      <c r="O725" s="2" t="inlineStr">
        <is>
          <t>СТАНДАРТНЫЙ ДВУХМЕСТНЫЙ НОМЕР</t>
        </is>
      </c>
      <c r="P725" s="6" t="n"/>
      <c r="R725" t="inlineStr"/>
      <c r="S725" t="inlineStr">
        <is>
          <t>Основной тариф без завтрака</t>
        </is>
      </c>
      <c r="T725" t="n">
        <v>0</v>
      </c>
      <c r="U725" t="n">
        <v>44325</v>
      </c>
    </row>
    <row r="726">
      <c r="A726" t="inlineStr">
        <is>
          <t>20260919-8186-467166169</t>
        </is>
      </c>
      <c r="B726" t="n">
        <v>1</v>
      </c>
      <c r="C726" s="2" t="inlineStr">
        <is>
          <t>НИНА ДАВЫДОВА, ИГОРЬ ТИЩЕНКО</t>
        </is>
      </c>
      <c r="D726" s="3" t="n">
        <v>12500</v>
      </c>
      <c r="E726" s="4" t="n">
        <v>0</v>
      </c>
      <c r="F726" t="inlineStr">
        <is>
          <t>Прямые бронирования (стойка) [Чайковский]</t>
        </is>
      </c>
      <c r="G726" s="3">
        <f>ROUND(D726/(100-E726)*100,2)</f>
        <v/>
      </c>
      <c r="H726" s="5" t="n">
        <v>46284.58333333334</v>
      </c>
      <c r="I726" t="n">
        <v>1</v>
      </c>
      <c r="J726" s="3">
        <f>G726/I726</f>
        <v/>
      </c>
      <c r="K726">
        <f>IF(J726&gt;=5100,"ставка","мин.ставка")</f>
        <v/>
      </c>
      <c r="L726" s="3">
        <f>ROUND(IF(K726="мин.ставка",I726*100,G726/102*2),2)</f>
        <v/>
      </c>
      <c r="M726" s="5" t="n">
        <v>46285.5</v>
      </c>
      <c r="N726" t="inlineStr">
        <is>
          <t>TravelLine ресепшн</t>
        </is>
      </c>
      <c r="O726" s="2" t="inlineStr">
        <is>
          <t>СЕМЕЙНЫЙ НОМЕР КАТЕГОРИИ "СТАНДАРТ" ВТОРОЙ КОРПУС</t>
        </is>
      </c>
      <c r="P726" s="6" t="n"/>
      <c r="R726" t="inlineStr"/>
      <c r="S726" t="inlineStr">
        <is>
          <t>Тариф с завтраком</t>
        </is>
      </c>
      <c r="T726" t="n">
        <v>0</v>
      </c>
      <c r="U726" t="n">
        <v>12500</v>
      </c>
    </row>
    <row r="727">
      <c r="A727" t="inlineStr">
        <is>
          <t>20260915-8186-465944203</t>
        </is>
      </c>
      <c r="B727" t="n">
        <v>1</v>
      </c>
      <c r="C727" s="2" t="inlineStr">
        <is>
          <t>Нина Кравченко, Елизавета Смольская</t>
        </is>
      </c>
      <c r="D727" s="3" t="n">
        <v>23987</v>
      </c>
      <c r="E727" s="4" t="n">
        <v>17</v>
      </c>
      <c r="F727" t="inlineStr">
        <is>
          <t>ООО «Интернет Трэвел» (OZON) [Чайковский]</t>
        </is>
      </c>
      <c r="G727" s="3">
        <f>ROUND(D727/(100-E727)*100,2)</f>
        <v/>
      </c>
      <c r="H727" s="5" t="n">
        <v>46280.58333333334</v>
      </c>
      <c r="I727" t="n">
        <v>2</v>
      </c>
      <c r="J727" s="3">
        <f>G727/I727</f>
        <v/>
      </c>
      <c r="K727">
        <f>IF(J727&gt;=5100,"ставка","мин.ставка")</f>
        <v/>
      </c>
      <c r="L727" s="3">
        <f>ROUND(IF(K727="мин.ставка",I727*100,G727/102*2),2)</f>
        <v/>
      </c>
      <c r="M727" s="5" t="n">
        <v>46282.5</v>
      </c>
      <c r="N727" t="inlineStr">
        <is>
          <t>TravelLine OZ2</t>
        </is>
      </c>
      <c r="O727" s="2" t="inlineStr">
        <is>
          <t>СЕМЕЙНЫЙ НОМЕР КАТЕГОРИИ "СТАНДАРТ" ВТОРОЙ КОРПУС</t>
        </is>
      </c>
      <c r="P727" s="6" t="n"/>
      <c r="R727" t="inlineStr"/>
      <c r="S727" t="inlineStr">
        <is>
          <t>Тариф с завтраком</t>
        </is>
      </c>
      <c r="T727" t="n">
        <v>0</v>
      </c>
      <c r="U727" t="n">
        <v>23987</v>
      </c>
    </row>
    <row r="728">
      <c r="A728" t="inlineStr">
        <is>
          <t>20260820-8186-416292777</t>
        </is>
      </c>
      <c r="B728" t="n">
        <v>1</v>
      </c>
      <c r="C728" s="2" t="inlineStr">
        <is>
          <t>Нина Тарасова</t>
        </is>
      </c>
      <c r="D728" s="3" t="n">
        <v>38261.3</v>
      </c>
      <c r="E728" s="4" t="n">
        <v>4</v>
      </c>
      <c r="F728" t="inlineStr">
        <is>
          <t>TravelLine Booking Engine [Чайковский]</t>
        </is>
      </c>
      <c r="G728" s="3">
        <f>ROUND(D728/(100-E728)*100,2)</f>
        <v/>
      </c>
      <c r="H728" s="5" t="n">
        <v>46254.58333333334</v>
      </c>
      <c r="I728" t="n">
        <v>5</v>
      </c>
      <c r="J728" s="3">
        <f>G728/I728</f>
        <v/>
      </c>
      <c r="K728">
        <f>IF(J728&gt;=5100,"ставка","мин.ставка")</f>
        <v/>
      </c>
      <c r="L728" s="3">
        <f>ROUND(IF(K728="мин.ставка",I728*100,G728/102*2),2)</f>
        <v/>
      </c>
      <c r="M728" s="5" t="n">
        <v>46259.5</v>
      </c>
      <c r="N728" t="inlineStr">
        <is>
          <t>TravelLine сайт</t>
        </is>
      </c>
      <c r="O728" s="2" t="inlineStr">
        <is>
          <t>СТАНДАРТНЫЙ ОДНОМЕСТНЫЙ НОМЕР</t>
        </is>
      </c>
      <c r="P728" s="6" t="n"/>
      <c r="R728" t="inlineStr"/>
      <c r="S728" t="inlineStr">
        <is>
          <t>Тариф с завтраком</t>
        </is>
      </c>
      <c r="T728" t="n">
        <v>0</v>
      </c>
      <c r="U728" t="n">
        <v>38261.3</v>
      </c>
    </row>
    <row r="729">
      <c r="A729" t="inlineStr">
        <is>
          <t>20260730-8186-412433351</t>
        </is>
      </c>
      <c r="B729" t="n">
        <v>1</v>
      </c>
      <c r="C729" s="2" t="inlineStr">
        <is>
          <t>Нина Хохлова</t>
        </is>
      </c>
      <c r="D729" s="3" t="n">
        <v>12320</v>
      </c>
      <c r="E729" s="4" t="n">
        <v>18</v>
      </c>
      <c r="F729" t="inlineStr">
        <is>
          <t>Яндекс.Путешествия [Чайковский]</t>
        </is>
      </c>
      <c r="G729" s="3">
        <f>ROUND(D729/(100-E729)*100,2)</f>
        <v/>
      </c>
      <c r="H729" s="5" t="n">
        <v>46233.58333333334</v>
      </c>
      <c r="I729" t="n">
        <v>2</v>
      </c>
      <c r="J729" s="3">
        <f>G729/I729</f>
        <v/>
      </c>
      <c r="K729">
        <f>IF(J729&gt;=5100,"ставка","мин.ставка")</f>
        <v/>
      </c>
      <c r="L729" s="3">
        <f>ROUND(IF(K729="мин.ставка",I729*100,G729/102*2),2)</f>
        <v/>
      </c>
      <c r="M729" s="5" t="n">
        <v>46235.5</v>
      </c>
      <c r="N729" t="inlineStr">
        <is>
          <t>TravelLine YAX</t>
        </is>
      </c>
      <c r="O729" s="2" t="inlineStr">
        <is>
          <t>СТАНДАРТНЫЙ ОДНОМЕСТНЫЙ НОМЕР</t>
        </is>
      </c>
      <c r="P729" s="6" t="n"/>
      <c r="R729" t="inlineStr"/>
      <c r="S729" t="inlineStr">
        <is>
          <t>Тариф с завтраком</t>
        </is>
      </c>
      <c r="T729" t="n">
        <v>0</v>
      </c>
      <c r="U729" t="n">
        <v>12320</v>
      </c>
    </row>
    <row r="730">
      <c r="A730" t="inlineStr">
        <is>
          <t>20260802-8186-455240119</t>
        </is>
      </c>
      <c r="B730" t="n">
        <v>1</v>
      </c>
      <c r="C730" s="2" t="inlineStr">
        <is>
          <t>Нина Яроцкая, Иван Горбунчиков</t>
        </is>
      </c>
      <c r="D730" s="3" t="n">
        <v>8217</v>
      </c>
      <c r="E730" s="4" t="n">
        <v>18</v>
      </c>
      <c r="F730" t="inlineStr">
        <is>
          <t>Яндекс.Путешествия [Чайковский]</t>
        </is>
      </c>
      <c r="G730" s="3">
        <f>ROUND(D730/(100-E730)*100,2)</f>
        <v/>
      </c>
      <c r="H730" s="5" t="n">
        <v>46236.58333333334</v>
      </c>
      <c r="I730" t="n">
        <v>1</v>
      </c>
      <c r="J730" s="3">
        <f>G730/I730</f>
        <v/>
      </c>
      <c r="K730">
        <f>IF(J730&gt;=5100,"ставка","мин.ставка")</f>
        <v/>
      </c>
      <c r="L730" s="3">
        <f>ROUND(IF(K730="мин.ставка",I730*100,G730/102*2),2)</f>
        <v/>
      </c>
      <c r="M730" s="5" t="n">
        <v>46237.5</v>
      </c>
      <c r="N730" t="inlineStr">
        <is>
          <t>TravelLine YAX</t>
        </is>
      </c>
      <c r="O730" s="2" t="inlineStr">
        <is>
          <t>СТАНДАРТНЫЙ ДВУХМЕСТНЫЙ НОМЕР (МАНСАРДА)</t>
        </is>
      </c>
      <c r="P730" s="6" t="n"/>
      <c r="R730" t="inlineStr"/>
      <c r="S730" t="inlineStr">
        <is>
          <t>Тариф с завтраком</t>
        </is>
      </c>
      <c r="T730" t="n">
        <v>0</v>
      </c>
      <c r="U730" t="n">
        <v>8217</v>
      </c>
    </row>
    <row r="731">
      <c r="A731" t="inlineStr">
        <is>
          <t>20260708-8186-447576976</t>
        </is>
      </c>
      <c r="B731" t="n">
        <v>1</v>
      </c>
      <c r="C731" s="2" t="inlineStr">
        <is>
          <t>Оксана Дяденко</t>
        </is>
      </c>
      <c r="D731" s="3" t="n">
        <v>33879.75</v>
      </c>
      <c r="E731" s="4" t="n">
        <v>4</v>
      </c>
      <c r="F731" t="inlineStr">
        <is>
          <t>TravelLine Booking Engine [Чайковский]</t>
        </is>
      </c>
      <c r="G731" s="3">
        <f>ROUND(D731/(100-E731)*100,2)</f>
        <v/>
      </c>
      <c r="H731" s="5" t="n">
        <v>46211.58333333334</v>
      </c>
      <c r="I731" t="n">
        <v>3</v>
      </c>
      <c r="J731" s="3">
        <f>G731/I731</f>
        <v/>
      </c>
      <c r="K731">
        <f>IF(J731&gt;=5100,"ставка","мин.ставка")</f>
        <v/>
      </c>
      <c r="L731" s="3">
        <f>ROUND(IF(K731="мин.ставка",I731*100,G731/102*2),2)</f>
        <v/>
      </c>
      <c r="M731" s="5" t="n">
        <v>46214.5</v>
      </c>
      <c r="N731" t="inlineStr">
        <is>
          <t>TravelLine сайт</t>
        </is>
      </c>
      <c r="O731" s="2" t="inlineStr">
        <is>
          <t>СТАНДАРТНЫЙ ДВУХМЕСТНЫЙ НОМЕР</t>
        </is>
      </c>
      <c r="P731" s="6" t="n"/>
      <c r="R731" t="inlineStr"/>
      <c r="S731" t="inlineStr">
        <is>
          <t>Тариф с завтраком</t>
        </is>
      </c>
      <c r="T731" t="n">
        <v>0</v>
      </c>
      <c r="U731" t="n">
        <v>33879.75</v>
      </c>
    </row>
    <row r="732">
      <c r="A732" t="inlineStr">
        <is>
          <t>20260814-8186-458393454</t>
        </is>
      </c>
      <c r="B732" t="n">
        <v>1</v>
      </c>
      <c r="C732" s="2" t="inlineStr">
        <is>
          <t>Оксана Мисанец, ЭДУАРД АНТОНЯН</t>
        </is>
      </c>
      <c r="D732" s="3" t="n">
        <v>16252.5</v>
      </c>
      <c r="E732" s="4" t="n">
        <v>4</v>
      </c>
      <c r="F732" t="inlineStr">
        <is>
          <t>TravelLine Booking Engine [Чайковский]</t>
        </is>
      </c>
      <c r="G732" s="3">
        <f>ROUND(D732/(100-E732)*100,2)</f>
        <v/>
      </c>
      <c r="H732" s="5" t="n">
        <v>46248.58333333334</v>
      </c>
      <c r="I732" t="n">
        <v>1</v>
      </c>
      <c r="J732" s="3">
        <f>G732/I732</f>
        <v/>
      </c>
      <c r="K732">
        <f>IF(J732&gt;=5100,"ставка","мин.ставка")</f>
        <v/>
      </c>
      <c r="L732" s="3">
        <f>ROUND(IF(K732="мин.ставка",I732*100,G732/102*2),2)</f>
        <v/>
      </c>
      <c r="M732" s="5" t="n">
        <v>46249.5</v>
      </c>
      <c r="N732" t="inlineStr">
        <is>
          <t>TravelLine сайт</t>
        </is>
      </c>
      <c r="O732" s="2" t="inlineStr">
        <is>
          <t>ПОЛУЛЮКС</t>
        </is>
      </c>
      <c r="P732" s="6" t="n"/>
      <c r="R732" t="inlineStr"/>
      <c r="S732" t="inlineStr">
        <is>
          <t>Тариф с завтраком</t>
        </is>
      </c>
      <c r="T732" t="n">
        <v>0</v>
      </c>
      <c r="U732" t="n">
        <v>16252.5</v>
      </c>
    </row>
    <row r="733">
      <c r="A733" t="inlineStr">
        <is>
          <t>20260818-8186-455916790</t>
        </is>
      </c>
      <c r="B733" t="n">
        <v>1</v>
      </c>
      <c r="C733" s="2" t="inlineStr">
        <is>
          <t>Оксана Степаненко</t>
        </is>
      </c>
      <c r="D733" s="3" t="n">
        <v>28782.5</v>
      </c>
      <c r="E733" s="4" t="n">
        <v>4</v>
      </c>
      <c r="F733" t="inlineStr">
        <is>
          <t>TravelLine Booking Engine [Чайковский]</t>
        </is>
      </c>
      <c r="G733" s="3">
        <f>ROUND(D733/(100-E733)*100,2)</f>
        <v/>
      </c>
      <c r="H733" s="5" t="n">
        <v>46252.58333333334</v>
      </c>
      <c r="I733" t="n">
        <v>2</v>
      </c>
      <c r="J733" s="3">
        <f>G733/I733</f>
        <v/>
      </c>
      <c r="K733">
        <f>IF(J733&gt;=5100,"ставка","мин.ставка")</f>
        <v/>
      </c>
      <c r="L733" s="3">
        <f>ROUND(IF(K733="мин.ставка",I733*100,G733/102*2),2)</f>
        <v/>
      </c>
      <c r="M733" s="5" t="n">
        <v>46254.5</v>
      </c>
      <c r="N733" t="inlineStr">
        <is>
          <t>TravelLine сайт</t>
        </is>
      </c>
      <c r="O733" s="2" t="inlineStr">
        <is>
          <t>ПОЛУЛЮКС</t>
        </is>
      </c>
      <c r="P733" s="6" t="n"/>
      <c r="R733" t="inlineStr"/>
      <c r="S733" t="inlineStr">
        <is>
          <t>Тариф с завтраком</t>
        </is>
      </c>
      <c r="T733" t="n">
        <v>0</v>
      </c>
      <c r="U733" t="n">
        <v>28782.5</v>
      </c>
    </row>
    <row r="734">
      <c r="A734" t="inlineStr">
        <is>
          <t>20260820-8186-455918537</t>
        </is>
      </c>
      <c r="B734" t="n">
        <v>1</v>
      </c>
      <c r="C734" s="2" t="inlineStr">
        <is>
          <t>Оксана Степаненко</t>
        </is>
      </c>
      <c r="D734" s="3" t="n">
        <v>15310.2</v>
      </c>
      <c r="E734" s="4" t="n">
        <v>4</v>
      </c>
      <c r="F734" t="inlineStr">
        <is>
          <t>TravelLine Booking Engine [Чайковский]</t>
        </is>
      </c>
      <c r="G734" s="3">
        <f>ROUND(D734/(100-E734)*100,2)</f>
        <v/>
      </c>
      <c r="H734" s="5" t="n">
        <v>46254.58333333334</v>
      </c>
      <c r="I734" t="n">
        <v>1</v>
      </c>
      <c r="J734" s="3">
        <f>G734/I734</f>
        <v/>
      </c>
      <c r="K734">
        <f>IF(J734&gt;=5100,"ставка","мин.ставка")</f>
        <v/>
      </c>
      <c r="L734" s="3">
        <f>ROUND(IF(K734="мин.ставка",I734*100,G734/102*2),2)</f>
        <v/>
      </c>
      <c r="M734" s="5" t="n">
        <v>46255.5</v>
      </c>
      <c r="N734" t="inlineStr">
        <is>
          <t>TravelLine сайт</t>
        </is>
      </c>
      <c r="O734" s="2" t="inlineStr">
        <is>
          <t>ЛЮКС ВТОРОЙ КОРПУС</t>
        </is>
      </c>
      <c r="P734" s="6" t="n"/>
      <c r="R734" t="inlineStr"/>
      <c r="S734" t="inlineStr">
        <is>
          <t>Тариф с завтраком</t>
        </is>
      </c>
      <c r="T734" t="n">
        <v>0</v>
      </c>
      <c r="U734" t="n">
        <v>15310.2</v>
      </c>
    </row>
    <row r="735">
      <c r="A735" t="inlineStr">
        <is>
          <t>20260916-8186-464600077</t>
        </is>
      </c>
      <c r="B735" t="n">
        <v>1</v>
      </c>
      <c r="C735" s="2" t="inlineStr">
        <is>
          <t>ОКСАНА СЫСУЕВА</t>
        </is>
      </c>
      <c r="D735" s="3" t="n">
        <v>10972.5</v>
      </c>
      <c r="E735" s="4" t="n">
        <v>18</v>
      </c>
      <c r="F735" t="inlineStr">
        <is>
          <t>Яндекс.Путешествия [Чайковский]</t>
        </is>
      </c>
      <c r="G735" s="3">
        <f>ROUND(D735/(100-E735)*100,2)</f>
        <v/>
      </c>
      <c r="H735" s="5" t="n">
        <v>46281.58333333334</v>
      </c>
      <c r="I735" t="n">
        <v>2</v>
      </c>
      <c r="J735" s="3">
        <f>G735/I735</f>
        <v/>
      </c>
      <c r="K735">
        <f>IF(J735&gt;=5100,"ставка","мин.ставка")</f>
        <v/>
      </c>
      <c r="L735" s="3">
        <f>ROUND(IF(K735="мин.ставка",I735*100,G735/102*2),2)</f>
        <v/>
      </c>
      <c r="M735" s="5" t="n">
        <v>46283.5</v>
      </c>
      <c r="N735" t="inlineStr">
        <is>
          <t>TravelLine YAX</t>
        </is>
      </c>
      <c r="O735" s="2" t="inlineStr">
        <is>
          <t>СТАНДАРТНЫЙ ОДНОМЕСТНЫЙ НОМЕР</t>
        </is>
      </c>
      <c r="P735" s="6" t="n"/>
      <c r="R735" t="inlineStr"/>
      <c r="S735" t="inlineStr">
        <is>
          <t>Тариф с завтраком</t>
        </is>
      </c>
      <c r="T735" t="n">
        <v>0</v>
      </c>
      <c r="U735" t="n">
        <v>10972.5</v>
      </c>
    </row>
    <row r="736">
      <c r="A736" t="inlineStr">
        <is>
          <t>20260916-8186-461117504</t>
        </is>
      </c>
      <c r="B736" t="n">
        <v>1</v>
      </c>
      <c r="C736" s="2" t="inlineStr">
        <is>
          <t>ОКТЯБРИНА КАЙСАНОВА</t>
        </is>
      </c>
      <c r="D736" s="3" t="n">
        <v>38590</v>
      </c>
      <c r="E736" s="4" t="n">
        <v>15</v>
      </c>
      <c r="F736" t="inlineStr">
        <is>
          <t>ООО "АКАДЕМ-ОНЛАЙН" [Чайковский]</t>
        </is>
      </c>
      <c r="G736" s="3">
        <f>ROUND(D736/(100-E736)*100,2)</f>
        <v/>
      </c>
      <c r="H736" s="5" t="n">
        <v>46281.58333333334</v>
      </c>
      <c r="I736" t="n">
        <v>4</v>
      </c>
      <c r="J736" s="3">
        <f>G736/I736</f>
        <v/>
      </c>
      <c r="K736">
        <f>IF(J736&gt;=5100,"ставка","мин.ставка")</f>
        <v/>
      </c>
      <c r="L736" s="3">
        <f>ROUND(IF(K736="мин.ставка",I736*100,G736/102*2),2)</f>
        <v/>
      </c>
      <c r="M736" s="5" t="n">
        <v>46285.5</v>
      </c>
      <c r="N736" t="inlineStr">
        <is>
          <t>TravelLine ACS</t>
        </is>
      </c>
      <c r="O736" s="2" t="inlineStr">
        <is>
          <t>СТАНДАРТНЫЙ ДВУХМЕСТНЫЙ НОМЕР</t>
        </is>
      </c>
      <c r="P736" s="6" t="n"/>
      <c r="R736" t="inlineStr"/>
      <c r="S736" t="inlineStr">
        <is>
          <t>Тариф с завтраком</t>
        </is>
      </c>
      <c r="T736" t="n">
        <v>0</v>
      </c>
      <c r="U736" t="n">
        <v>38590</v>
      </c>
    </row>
    <row r="737">
      <c r="A737" t="inlineStr">
        <is>
          <t>20260725-8186-442138766</t>
        </is>
      </c>
      <c r="B737" t="n">
        <v>1</v>
      </c>
      <c r="C737" s="2" t="inlineStr">
        <is>
          <t>Олег Веселов</t>
        </is>
      </c>
      <c r="D737" s="3" t="n">
        <v>17800</v>
      </c>
      <c r="E737" s="4" t="n">
        <v>0</v>
      </c>
      <c r="F737" t="inlineStr">
        <is>
          <t>Прямые бронирования (стойка) [Чайковский]</t>
        </is>
      </c>
      <c r="G737" s="3">
        <f>ROUND(D737/(100-E737)*100,2)</f>
        <v/>
      </c>
      <c r="H737" s="5" t="n">
        <v>46228.58333333334</v>
      </c>
      <c r="I737" t="n">
        <v>1</v>
      </c>
      <c r="J737" s="3">
        <f>G737/I737</f>
        <v/>
      </c>
      <c r="K737">
        <f>IF(J737&gt;=5100,"ставка","мин.ставка")</f>
        <v/>
      </c>
      <c r="L737" s="3">
        <f>ROUND(IF(K737="мин.ставка",I737*100,G737/102*2),2)</f>
        <v/>
      </c>
      <c r="M737" s="5" t="n">
        <v>46229.5</v>
      </c>
      <c r="N737" t="inlineStr">
        <is>
          <t>TravelLine ресепшн</t>
        </is>
      </c>
      <c r="O737" s="2" t="inlineStr">
        <is>
          <t>ЛЮКС ВТОРОЙ КОРПУС</t>
        </is>
      </c>
      <c r="P737" s="6" t="n"/>
      <c r="R737" t="inlineStr"/>
      <c r="S737" t="inlineStr">
        <is>
          <t>Тариф с завтраком</t>
        </is>
      </c>
      <c r="T737" t="n">
        <v>0</v>
      </c>
      <c r="U737" t="n">
        <v>17800</v>
      </c>
    </row>
    <row r="738">
      <c r="A738" t="inlineStr">
        <is>
          <t>20260830-8186-462334439</t>
        </is>
      </c>
      <c r="B738" t="n">
        <v>1</v>
      </c>
      <c r="C738" s="2" t="inlineStr">
        <is>
          <t>Олег Лисовский</t>
        </is>
      </c>
      <c r="D738" s="3" t="n">
        <v>6478</v>
      </c>
      <c r="E738" s="4" t="n">
        <v>18</v>
      </c>
      <c r="F738" t="inlineStr">
        <is>
          <t>ООО "Эй энд Эй" [Чайковский]</t>
        </is>
      </c>
      <c r="G738" s="3">
        <f>ROUND(D738/(100-E738)*100,2)</f>
        <v/>
      </c>
      <c r="H738" s="5" t="n">
        <v>46264.58333333334</v>
      </c>
      <c r="I738" t="n">
        <v>1</v>
      </c>
      <c r="J738" s="3">
        <f>G738/I738</f>
        <v/>
      </c>
      <c r="K738">
        <f>IF(J738&gt;=5100,"ставка","мин.ставка")</f>
        <v/>
      </c>
      <c r="L738" s="3">
        <f>ROUND(IF(K738="мин.ставка",I738*100,G738/102*2),2)</f>
        <v/>
      </c>
      <c r="M738" s="5" t="n">
        <v>46265.5</v>
      </c>
      <c r="N738" t="inlineStr">
        <is>
          <t>TravelLine ANA</t>
        </is>
      </c>
      <c r="O738" s="2" t="inlineStr">
        <is>
          <t>СТАНДАРТНЫЙ ДВУХМЕСТНЫЙ НОМЕР</t>
        </is>
      </c>
      <c r="P738" s="6" t="n"/>
      <c r="R738" t="inlineStr"/>
      <c r="S738" t="inlineStr">
        <is>
          <t>Тариф с завтраком</t>
        </is>
      </c>
      <c r="T738" t="n">
        <v>0</v>
      </c>
      <c r="U738" t="n">
        <v>6478</v>
      </c>
    </row>
    <row r="739">
      <c r="A739" t="inlineStr">
        <is>
          <t>20260831-8186-462645979</t>
        </is>
      </c>
      <c r="B739" t="n">
        <v>1</v>
      </c>
      <c r="C739" s="2" t="inlineStr">
        <is>
          <t>Олег Пашкин, ЮЛИЯ ПАШКИНА</t>
        </is>
      </c>
      <c r="D739" s="3" t="n">
        <v>9900</v>
      </c>
      <c r="E739" s="4" t="n">
        <v>0</v>
      </c>
      <c r="F739" t="inlineStr">
        <is>
          <t>Прямые бронирования (стойка) [Чайковский]</t>
        </is>
      </c>
      <c r="G739" s="3">
        <f>ROUND(D739/(100-E739)*100,2)</f>
        <v/>
      </c>
      <c r="H739" s="5" t="n">
        <v>46265.58333333334</v>
      </c>
      <c r="I739" t="n">
        <v>1</v>
      </c>
      <c r="J739" s="3">
        <f>G739/I739</f>
        <v/>
      </c>
      <c r="K739">
        <f>IF(J739&gt;=5100,"ставка","мин.ставка")</f>
        <v/>
      </c>
      <c r="L739" s="3">
        <f>ROUND(IF(K739="мин.ставка",I739*100,G739/102*2),2)</f>
        <v/>
      </c>
      <c r="M739" s="5" t="n">
        <v>46266.5</v>
      </c>
      <c r="N739" t="inlineStr">
        <is>
          <t>TravelLine ресепшн</t>
        </is>
      </c>
      <c r="O739" s="2" t="inlineStr">
        <is>
          <t>СТАНДАРТНЫЙ ДВУХМЕСТНЫЙ НОМЕР</t>
        </is>
      </c>
      <c r="P739" s="6" t="n"/>
      <c r="R739" t="inlineStr"/>
      <c r="S739" t="inlineStr">
        <is>
          <t>Тариф с завтраком</t>
        </is>
      </c>
      <c r="T739" t="n">
        <v>0</v>
      </c>
      <c r="U739" t="n">
        <v>9900</v>
      </c>
    </row>
    <row r="740">
      <c r="A740" t="inlineStr">
        <is>
          <t>20260830-8186-461980619</t>
        </is>
      </c>
      <c r="B740" t="n">
        <v>1</v>
      </c>
      <c r="C740" s="2" t="inlineStr">
        <is>
          <t>Олег Пашкин, ЮЛИЯ ПАШКИНА</t>
        </is>
      </c>
      <c r="D740" s="3" t="n">
        <v>7920</v>
      </c>
      <c r="E740" s="4" t="n">
        <v>20</v>
      </c>
      <c r="F740" t="inlineStr">
        <is>
          <t>ООО "КОМПАНИЯ БРОНЕВИК" [Чайковский]</t>
        </is>
      </c>
      <c r="G740" s="3">
        <f>ROUND(D740/(100-E740)*100,2)</f>
        <v/>
      </c>
      <c r="H740" s="5" t="n">
        <v>46264.58333333334</v>
      </c>
      <c r="I740" t="n">
        <v>1</v>
      </c>
      <c r="J740" s="3">
        <f>G740/I740</f>
        <v/>
      </c>
      <c r="K740">
        <f>IF(J740&gt;=5100,"ставка","мин.ставка")</f>
        <v/>
      </c>
      <c r="L740" s="3">
        <f>ROUND(IF(K740="мин.ставка",I740*100,G740/102*2),2)</f>
        <v/>
      </c>
      <c r="M740" s="5" t="n">
        <v>46265.5</v>
      </c>
      <c r="N740" t="inlineStr">
        <is>
          <t>TravelLine BR2</t>
        </is>
      </c>
      <c r="O740" s="2" t="inlineStr">
        <is>
          <t>СТАНДАРТНЫЙ ДВУХМЕСТНЫЙ НОМЕР</t>
        </is>
      </c>
      <c r="P740" s="6" t="n"/>
      <c r="R740" t="inlineStr"/>
      <c r="S740" t="inlineStr">
        <is>
          <t>Тариф с завтраком</t>
        </is>
      </c>
      <c r="T740" t="n">
        <v>0</v>
      </c>
      <c r="U740" t="n">
        <v>7920</v>
      </c>
    </row>
    <row r="741">
      <c r="A741" t="inlineStr">
        <is>
          <t>20260904-8186-419608255</t>
        </is>
      </c>
      <c r="B741" t="n">
        <v>1</v>
      </c>
      <c r="C741" s="2" t="inlineStr">
        <is>
          <t>Олег Рассказов, Дмитрий Рассказов</t>
        </is>
      </c>
      <c r="D741" s="3" t="n">
        <v>19493.1</v>
      </c>
      <c r="E741" s="4" t="n">
        <v>4</v>
      </c>
      <c r="F741" t="inlineStr">
        <is>
          <t>TravelLine Booking Engine [Чайковский]</t>
        </is>
      </c>
      <c r="G741" s="3">
        <f>ROUND(D741/(100-E741)*100,2)</f>
        <v/>
      </c>
      <c r="H741" s="5" t="n">
        <v>46269.58333333334</v>
      </c>
      <c r="I741" t="n">
        <v>2</v>
      </c>
      <c r="J741" s="3">
        <f>G741/I741</f>
        <v/>
      </c>
      <c r="K741">
        <f>IF(J741&gt;=5100,"ставка","мин.ставка")</f>
        <v/>
      </c>
      <c r="L741" s="3">
        <f>ROUND(IF(K741="мин.ставка",I741*100,G741/102*2),2)</f>
        <v/>
      </c>
      <c r="M741" s="5" t="n">
        <v>46271.5</v>
      </c>
      <c r="N741" t="inlineStr">
        <is>
          <t>TravelLine сайт</t>
        </is>
      </c>
      <c r="O741" s="2" t="inlineStr">
        <is>
          <t>УЛУЧШЕННЫЙ ДВУХМЕСТНЫЙ НОМЕР</t>
        </is>
      </c>
      <c r="P741" s="6" t="n"/>
      <c r="R741" t="inlineStr"/>
      <c r="S741" t="inlineStr">
        <is>
          <t>Тариф с завтраком</t>
        </is>
      </c>
      <c r="T741" t="n">
        <v>0</v>
      </c>
      <c r="U741" t="n">
        <v>45779.25</v>
      </c>
    </row>
    <row r="742">
      <c r="A742" t="inlineStr">
        <is>
          <t>20260824-8186-435973741</t>
        </is>
      </c>
      <c r="B742" t="n">
        <v>1</v>
      </c>
      <c r="C742" s="2" t="inlineStr">
        <is>
          <t>ОЛЕГ СОКОЛОВ, АННА ШИШКОВА</t>
        </is>
      </c>
      <c r="D742" s="3" t="n">
        <v>93450</v>
      </c>
      <c r="E742" s="4" t="n">
        <v>15</v>
      </c>
      <c r="F742" t="inlineStr">
        <is>
          <t>ООО «12Т» (ранее ONE TWO TRIP) [Чайковский]</t>
        </is>
      </c>
      <c r="G742" s="3">
        <f>ROUND(D742/(100-E742)*100,2)</f>
        <v/>
      </c>
      <c r="H742" s="5" t="n">
        <v>46260.58333333334</v>
      </c>
      <c r="I742" t="n">
        <v>7</v>
      </c>
      <c r="J742" s="3">
        <f>G742/I742</f>
        <v/>
      </c>
      <c r="K742">
        <f>IF(J742&gt;=5100,"ставка","мин.ставка")</f>
        <v/>
      </c>
      <c r="L742" s="3">
        <f>ROUND(IF(K742="мин.ставка",I742*100,G742/102*2),2)</f>
        <v/>
      </c>
      <c r="M742" s="5" t="n">
        <v>46267.5</v>
      </c>
      <c r="N742" t="inlineStr">
        <is>
          <t>TravelLine OTT</t>
        </is>
      </c>
      <c r="O742" s="2" t="inlineStr">
        <is>
          <t>СТАНДАРТНЫЙ ДВУХМЕСТНЫЙ НОМЕР</t>
        </is>
      </c>
      <c r="P742" s="6" t="n"/>
      <c r="R742" t="inlineStr"/>
      <c r="S742" t="inlineStr">
        <is>
          <t>Тариф с завтраком</t>
        </is>
      </c>
      <c r="T742" t="n">
        <v>0</v>
      </c>
      <c r="U742" t="n">
        <v>93450</v>
      </c>
    </row>
    <row r="743">
      <c r="A743" t="inlineStr">
        <is>
          <t>20260831-8186-462574200</t>
        </is>
      </c>
      <c r="B743" t="n">
        <v>1</v>
      </c>
      <c r="C743" s="2" t="inlineStr">
        <is>
          <t>Олег Худзиев</t>
        </is>
      </c>
      <c r="D743" s="3" t="n">
        <v>7781.5</v>
      </c>
      <c r="E743" s="4" t="n">
        <v>4</v>
      </c>
      <c r="F743" t="inlineStr">
        <is>
          <t>TravelLine Booking Engine [Чайковский]</t>
        </is>
      </c>
      <c r="G743" s="3">
        <f>ROUND(D743/(100-E743)*100,2)</f>
        <v/>
      </c>
      <c r="H743" s="5" t="n">
        <v>46265.58333333334</v>
      </c>
      <c r="I743" t="n">
        <v>1</v>
      </c>
      <c r="J743" s="3">
        <f>G743/I743</f>
        <v/>
      </c>
      <c r="K743">
        <f>IF(J743&gt;=5100,"ставка","мин.ставка")</f>
        <v/>
      </c>
      <c r="L743" s="3">
        <f>ROUND(IF(K743="мин.ставка",I743*100,G743/102*2),2)</f>
        <v/>
      </c>
      <c r="M743" s="5" t="n">
        <v>46266.5</v>
      </c>
      <c r="N743" t="inlineStr">
        <is>
          <t>TravelLine сайт</t>
        </is>
      </c>
      <c r="O743" s="2" t="inlineStr">
        <is>
          <t>СТАНДАРТНЫЙ ДВУХМЕСТНЫЙ НОМЕР</t>
        </is>
      </c>
      <c r="P743" s="6" t="n"/>
      <c r="R743" t="inlineStr"/>
      <c r="S743" t="inlineStr">
        <is>
          <t>Тариф с завтраком</t>
        </is>
      </c>
      <c r="T743" t="n">
        <v>0</v>
      </c>
      <c r="U743" t="n">
        <v>7781.5</v>
      </c>
    </row>
    <row r="744">
      <c r="A744" t="inlineStr">
        <is>
          <t>20260930-8186-468529147</t>
        </is>
      </c>
      <c r="B744" t="n">
        <v>1</v>
      </c>
      <c r="C744" s="2" t="inlineStr">
        <is>
          <t>ОЛЕСЯ ВЛАСЕНКО</t>
        </is>
      </c>
      <c r="D744" s="3" t="n">
        <v>9307</v>
      </c>
      <c r="E744" s="4" t="n">
        <v>18</v>
      </c>
      <c r="F744" t="inlineStr">
        <is>
          <t>ООО "ТРИВИО СЕРВИС" [Чайковский]</t>
        </is>
      </c>
      <c r="G744" s="3">
        <f>ROUND(D744/(100-E744)*100,2)</f>
        <v/>
      </c>
      <c r="H744" s="5" t="n">
        <v>46295.58333333334</v>
      </c>
      <c r="I744" t="n">
        <v>1</v>
      </c>
      <c r="J744" s="3">
        <f>G744/I744</f>
        <v/>
      </c>
      <c r="K744">
        <f>IF(J744&gt;=5100,"ставка","мин.ставка")</f>
        <v/>
      </c>
      <c r="L744" s="3">
        <f>ROUND(IF(K744="мин.ставка",I744*100,G744/102*2),2)</f>
        <v/>
      </c>
      <c r="M744" s="5" t="n">
        <v>46296.5</v>
      </c>
      <c r="N744" t="inlineStr">
        <is>
          <t>TravelLine TIO</t>
        </is>
      </c>
      <c r="O744" s="2" t="inlineStr">
        <is>
          <t>СТАНДАРТНЫЙ ДВУХМЕСТНЫЙ НОМЕР</t>
        </is>
      </c>
      <c r="P744" s="6" t="n"/>
      <c r="R744" t="inlineStr"/>
      <c r="S744" t="inlineStr">
        <is>
          <t>Тариф с завтраком</t>
        </is>
      </c>
      <c r="T744" t="n">
        <v>0</v>
      </c>
      <c r="U744" t="n">
        <v>9307</v>
      </c>
    </row>
    <row r="745">
      <c r="A745" t="inlineStr">
        <is>
          <t>20260905-8186-441680792</t>
        </is>
      </c>
      <c r="B745" t="n">
        <v>1</v>
      </c>
      <c r="C745" s="2" t="inlineStr">
        <is>
          <t>Олеся Долгополик</t>
        </is>
      </c>
      <c r="D745" s="3" t="n">
        <v>36320</v>
      </c>
      <c r="E745" s="4" t="n">
        <v>20</v>
      </c>
      <c r="F745" t="inlineStr">
        <is>
          <t>ООО "КОМПАНИЯ БРОНЕВИК" [Чайковский]</t>
        </is>
      </c>
      <c r="G745" s="3">
        <f>ROUND(D745/(100-E745)*100,2)</f>
        <v/>
      </c>
      <c r="H745" s="5" t="n">
        <v>46270.58333333334</v>
      </c>
      <c r="I745" t="n">
        <v>4</v>
      </c>
      <c r="J745" s="3">
        <f>G745/I745</f>
        <v/>
      </c>
      <c r="K745">
        <f>IF(J745&gt;=5100,"ставка","мин.ставка")</f>
        <v/>
      </c>
      <c r="L745" s="3">
        <f>ROUND(IF(K745="мин.ставка",I745*100,G745/102*2),2)</f>
        <v/>
      </c>
      <c r="M745" s="5" t="n">
        <v>46274.5</v>
      </c>
      <c r="N745" t="inlineStr">
        <is>
          <t>TravelLine BR2</t>
        </is>
      </c>
      <c r="O745" s="2" t="inlineStr">
        <is>
          <t>СТАНДАРТНЫЙ ДВУХМЕСТНЫЙ НОМЕР</t>
        </is>
      </c>
      <c r="P745" s="6" t="n"/>
      <c r="R745" t="inlineStr"/>
      <c r="S745" t="inlineStr">
        <is>
          <t>Тариф с завтраком</t>
        </is>
      </c>
      <c r="T745" t="n">
        <v>0</v>
      </c>
      <c r="U745" t="n">
        <v>36320</v>
      </c>
    </row>
    <row r="746">
      <c r="A746" t="inlineStr">
        <is>
          <t>20260728-8186-453872864</t>
        </is>
      </c>
      <c r="B746" t="n">
        <v>1</v>
      </c>
      <c r="C746" s="2" t="inlineStr">
        <is>
          <t>Олеся Крохина</t>
        </is>
      </c>
      <c r="D746" s="3" t="n">
        <v>7298</v>
      </c>
      <c r="E746" s="4" t="n">
        <v>18</v>
      </c>
      <c r="F746" t="inlineStr">
        <is>
          <t>ООО "Эй энд Эй" [Чайковский]</t>
        </is>
      </c>
      <c r="G746" s="3">
        <f>ROUND(D746/(100-E746)*100,2)</f>
        <v/>
      </c>
      <c r="H746" s="5" t="n">
        <v>46231.58333333334</v>
      </c>
      <c r="I746" t="n">
        <v>1</v>
      </c>
      <c r="J746" s="3">
        <f>G746/I746</f>
        <v/>
      </c>
      <c r="K746">
        <f>IF(J746&gt;=5100,"ставка","мин.ставка")</f>
        <v/>
      </c>
      <c r="L746" s="3">
        <f>ROUND(IF(K746="мин.ставка",I746*100,G746/102*2),2)</f>
        <v/>
      </c>
      <c r="M746" s="5" t="n">
        <v>46232.5</v>
      </c>
      <c r="N746" t="inlineStr">
        <is>
          <t>TravelLine ANA</t>
        </is>
      </c>
      <c r="O746" s="2" t="inlineStr">
        <is>
          <t>СТАНДАРТНЫЙ ДВУХМЕСТНЫЙ НОМЕР</t>
        </is>
      </c>
      <c r="P746" s="6" t="n"/>
      <c r="R746" t="inlineStr"/>
      <c r="S746" t="inlineStr">
        <is>
          <t>Тариф с завтраком</t>
        </is>
      </c>
      <c r="T746" t="n">
        <v>0</v>
      </c>
      <c r="U746" t="n">
        <v>7298</v>
      </c>
    </row>
    <row r="747">
      <c r="A747" t="inlineStr">
        <is>
          <t>20260630-8186-440656915</t>
        </is>
      </c>
      <c r="B747" t="n">
        <v>1</v>
      </c>
      <c r="C747" s="2" t="inlineStr">
        <is>
          <t>Олеся Порхало</t>
        </is>
      </c>
      <c r="D747" s="3" t="n">
        <v>18160</v>
      </c>
      <c r="E747" s="4" t="n">
        <v>20</v>
      </c>
      <c r="F747" t="inlineStr">
        <is>
          <t>ООО "УК ГЦБ и Т" [Чайковский]</t>
        </is>
      </c>
      <c r="G747" s="3">
        <f>ROUND(D747/(100-E747)*100,2)</f>
        <v/>
      </c>
      <c r="H747" s="5" t="n">
        <v>46203.58333333334</v>
      </c>
      <c r="I747" t="n">
        <v>2</v>
      </c>
      <c r="J747" s="3">
        <f>G747/I747</f>
        <v/>
      </c>
      <c r="K747">
        <f>IF(J747&gt;=5100,"ставка","мин.ставка")</f>
        <v/>
      </c>
      <c r="L747" s="3">
        <f>ROUND(IF(K747="мин.ставка",I747*100,G747/102*2),2)</f>
        <v/>
      </c>
      <c r="M747" s="5" t="n">
        <v>46205.5</v>
      </c>
      <c r="N747" t="inlineStr">
        <is>
          <t>TravelLine CBC</t>
        </is>
      </c>
      <c r="O747" s="2" t="inlineStr">
        <is>
          <t>СТАНДАРТНЫЙ ДВУХМЕСТНЫЙ НОМЕР</t>
        </is>
      </c>
      <c r="P747" s="6" t="n"/>
      <c r="R747" t="inlineStr"/>
      <c r="S747" t="inlineStr">
        <is>
          <t>Тариф с завтраком</t>
        </is>
      </c>
      <c r="T747" t="n">
        <v>0</v>
      </c>
      <c r="U747" t="n">
        <v>18160</v>
      </c>
    </row>
    <row r="748">
      <c r="A748" t="inlineStr">
        <is>
          <t>20260825-8186-459972581</t>
        </is>
      </c>
      <c r="B748" t="n">
        <v>1</v>
      </c>
      <c r="C748" s="2" t="inlineStr">
        <is>
          <t>Ольга Александрова, ИЛЬЯ ИВАНОВ</t>
        </is>
      </c>
      <c r="D748" s="3" t="n">
        <v>29904</v>
      </c>
      <c r="E748" s="4" t="n">
        <v>16</v>
      </c>
      <c r="F748" t="inlineStr">
        <is>
          <t>ООО "БРОНИРОВАНИЕ ГОСТИНИЦ" (OSTROVOK) [Чайковский]</t>
        </is>
      </c>
      <c r="G748" s="3">
        <f>ROUND(D748/(100-E748)*100,2)</f>
        <v/>
      </c>
      <c r="H748" s="5" t="n">
        <v>46259.58333333334</v>
      </c>
      <c r="I748" t="n">
        <v>2</v>
      </c>
      <c r="J748" s="3">
        <f>G748/I748</f>
        <v/>
      </c>
      <c r="K748">
        <f>IF(J748&gt;=5100,"ставка","мин.ставка")</f>
        <v/>
      </c>
      <c r="L748" s="3">
        <f>ROUND(IF(K748="мин.ставка",I748*100,G748/102*2),2)</f>
        <v/>
      </c>
      <c r="M748" s="5" t="n">
        <v>46261.5</v>
      </c>
      <c r="N748" t="inlineStr">
        <is>
          <t>TravelLine OTK</t>
        </is>
      </c>
      <c r="O748" s="2" t="inlineStr">
        <is>
          <t>ЛЮКС ВТОРОЙ КОРПУС</t>
        </is>
      </c>
      <c r="P748" s="6" t="n"/>
      <c r="R748" t="inlineStr"/>
      <c r="S748" t="inlineStr">
        <is>
          <t>Тариф с завтраком</t>
        </is>
      </c>
      <c r="T748" t="n">
        <v>0</v>
      </c>
      <c r="U748" t="n">
        <v>29904</v>
      </c>
    </row>
    <row r="749">
      <c r="A749" t="inlineStr">
        <is>
          <t>20260702-8186-441025472</t>
        </is>
      </c>
      <c r="B749" t="n">
        <v>1</v>
      </c>
      <c r="C749" s="2" t="inlineStr">
        <is>
          <t>Ольга Алимова</t>
        </is>
      </c>
      <c r="D749" s="3" t="n">
        <v>40200</v>
      </c>
      <c r="E749" s="4" t="n">
        <v>0</v>
      </c>
      <c r="F749" t="inlineStr">
        <is>
          <t>Прямые бронирования (стойка) [Чайковский]</t>
        </is>
      </c>
      <c r="G749" s="3">
        <f>ROUND(D749/(100-E749)*100,2)</f>
        <v/>
      </c>
      <c r="H749" s="5" t="n">
        <v>46205.58333333334</v>
      </c>
      <c r="I749" t="n">
        <v>3</v>
      </c>
      <c r="J749" s="3">
        <f>G749/I749</f>
        <v/>
      </c>
      <c r="K749">
        <f>IF(J749&gt;=5100,"ставка","мин.ставка")</f>
        <v/>
      </c>
      <c r="L749" s="3">
        <f>ROUND(IF(K749="мин.ставка",I749*100,G749/102*2),2)</f>
        <v/>
      </c>
      <c r="M749" s="5" t="n">
        <v>46208.5</v>
      </c>
      <c r="N749" t="inlineStr">
        <is>
          <t>TravelLine ресепшн</t>
        </is>
      </c>
      <c r="O749" s="2" t="inlineStr">
        <is>
          <t>УЛУЧШЕННЫЙ ДВУХМЕСТНЫЙ НОМЕР</t>
        </is>
      </c>
      <c r="P749" s="6" t="n"/>
      <c r="R749" t="inlineStr"/>
      <c r="S749" t="inlineStr">
        <is>
          <t>Тариф с завтраком</t>
        </is>
      </c>
      <c r="T749" t="n">
        <v>0</v>
      </c>
      <c r="U749" t="n">
        <v>40200</v>
      </c>
    </row>
    <row r="750">
      <c r="A750" t="inlineStr">
        <is>
          <t>20260921-8186-458690011</t>
        </is>
      </c>
      <c r="B750" t="n">
        <v>1</v>
      </c>
      <c r="C750" s="2" t="inlineStr">
        <is>
          <t>Ольга Ахапкина, Дмитрий Ахапкин</t>
        </is>
      </c>
      <c r="D750" s="3" t="n">
        <v>64080</v>
      </c>
      <c r="E750" s="4" t="n">
        <v>20</v>
      </c>
      <c r="F750" t="inlineStr">
        <is>
          <t>ООО "КОМПАНИЯ БРОНЕВИК" [Чайковский]</t>
        </is>
      </c>
      <c r="G750" s="3">
        <f>ROUND(D750/(100-E750)*100,2)</f>
        <v/>
      </c>
      <c r="H750" s="5" t="n">
        <v>46286.58333333334</v>
      </c>
      <c r="I750" t="n">
        <v>6</v>
      </c>
      <c r="J750" s="3">
        <f>G750/I750</f>
        <v/>
      </c>
      <c r="K750">
        <f>IF(J750&gt;=5100,"ставка","мин.ставка")</f>
        <v/>
      </c>
      <c r="L750" s="3">
        <f>ROUND(IF(K750="мин.ставка",I750*100,G750/102*2),2)</f>
        <v/>
      </c>
      <c r="M750" s="5" t="n">
        <v>46292.5</v>
      </c>
      <c r="N750" t="inlineStr">
        <is>
          <t>TravelLine BR2</t>
        </is>
      </c>
      <c r="O750" s="2" t="inlineStr">
        <is>
          <t>УЛУЧШЕННЫЙ ДВУХМЕСТНЫЙ НОМЕР</t>
        </is>
      </c>
      <c r="P750" s="6" t="n"/>
      <c r="R750" t="inlineStr"/>
      <c r="S750" t="inlineStr">
        <is>
          <t>Тариф с завтраком</t>
        </is>
      </c>
      <c r="T750" t="n">
        <v>0</v>
      </c>
      <c r="U750" t="n">
        <v>64080</v>
      </c>
    </row>
    <row r="751">
      <c r="A751" t="inlineStr">
        <is>
          <t>20260715-8186-450507435</t>
        </is>
      </c>
      <c r="B751" t="n">
        <v>1</v>
      </c>
      <c r="C751" s="2" t="inlineStr">
        <is>
          <t>Ольга Беловол</t>
        </is>
      </c>
      <c r="D751" s="3" t="n">
        <v>10998.15</v>
      </c>
      <c r="E751" s="4" t="n">
        <v>4</v>
      </c>
      <c r="F751" t="inlineStr">
        <is>
          <t>TravelLine Booking Engine [Чайковский]</t>
        </is>
      </c>
      <c r="G751" s="3">
        <f>ROUND(D751/(100-E751)*100,2)</f>
        <v/>
      </c>
      <c r="H751" s="5" t="n">
        <v>46218.72916666666</v>
      </c>
      <c r="I751" t="n">
        <v>1</v>
      </c>
      <c r="J751" s="3">
        <f>G751/I751</f>
        <v/>
      </c>
      <c r="K751">
        <f>IF(J751&gt;=5100,"ставка","мин.ставка")</f>
        <v/>
      </c>
      <c r="L751" s="3">
        <f>ROUND(IF(K751="мин.ставка",I751*100,G751/102*2),2)</f>
        <v/>
      </c>
      <c r="M751" s="5" t="n">
        <v>46219.5</v>
      </c>
      <c r="N751" t="inlineStr">
        <is>
          <t>TravelLine сайт</t>
        </is>
      </c>
      <c r="O751" s="2" t="inlineStr">
        <is>
          <t>СТАНДАРТНЫЙ ДВУХМЕСТНЫЙ НОМЕР</t>
        </is>
      </c>
      <c r="P751" s="6" t="n"/>
      <c r="R751" t="inlineStr"/>
      <c r="S751" t="inlineStr">
        <is>
          <t>Тариф с завтраком</t>
        </is>
      </c>
      <c r="T751" t="n">
        <v>0</v>
      </c>
      <c r="U751" t="n">
        <v>10998.15</v>
      </c>
    </row>
    <row r="752">
      <c r="A752" t="inlineStr">
        <is>
          <t>20260930-8186-469639188</t>
        </is>
      </c>
      <c r="B752" t="n">
        <v>1</v>
      </c>
      <c r="C752" s="2" t="inlineStr">
        <is>
          <t>Ольга Беловол</t>
        </is>
      </c>
      <c r="D752" s="3" t="n">
        <v>10050</v>
      </c>
      <c r="E752" s="4" t="n">
        <v>18</v>
      </c>
      <c r="F752" t="inlineStr">
        <is>
          <t>Яндекс.Путешествия [Чайковский]</t>
        </is>
      </c>
      <c r="G752" s="3">
        <f>ROUND(D752/(100-E752)*100,2)</f>
        <v/>
      </c>
      <c r="H752" s="5" t="n">
        <v>46295.58333333334</v>
      </c>
      <c r="I752" t="n">
        <v>1</v>
      </c>
      <c r="J752" s="3">
        <f>G752/I752</f>
        <v/>
      </c>
      <c r="K752">
        <f>IF(J752&gt;=5100,"ставка","мин.ставка")</f>
        <v/>
      </c>
      <c r="L752" s="3">
        <f>ROUND(IF(K752="мин.ставка",I752*100,G752/102*2),2)</f>
        <v/>
      </c>
      <c r="M752" s="5" t="n">
        <v>46296.5</v>
      </c>
      <c r="N752" t="inlineStr">
        <is>
          <t>TravelLine YAX</t>
        </is>
      </c>
      <c r="O752" s="2" t="inlineStr">
        <is>
          <t>УЛУЧШЕННЫЙ ДВУХМЕСТНЫЙ НОМЕР</t>
        </is>
      </c>
      <c r="P752" s="6" t="n"/>
      <c r="R752" t="inlineStr"/>
      <c r="S752" t="inlineStr">
        <is>
          <t>Тариф с завтраком</t>
        </is>
      </c>
      <c r="T752" t="n">
        <v>0</v>
      </c>
      <c r="U752" t="n">
        <v>10050</v>
      </c>
    </row>
    <row r="753">
      <c r="A753" t="inlineStr">
        <is>
          <t>20260918-8186-452110660</t>
        </is>
      </c>
      <c r="B753" t="n">
        <v>1</v>
      </c>
      <c r="C753" s="2" t="inlineStr">
        <is>
          <t>Ольга Беспалова</t>
        </is>
      </c>
      <c r="D753" s="3" t="n">
        <v>15161.3</v>
      </c>
      <c r="E753" s="4" t="n">
        <v>4</v>
      </c>
      <c r="F753" t="inlineStr">
        <is>
          <t>TravelLine Booking Engine [Чайковский]</t>
        </is>
      </c>
      <c r="G753" s="3">
        <f>ROUND(D753/(100-E753)*100,2)</f>
        <v/>
      </c>
      <c r="H753" s="5" t="n">
        <v>46283.58333333334</v>
      </c>
      <c r="I753" t="n">
        <v>2</v>
      </c>
      <c r="J753" s="3">
        <f>G753/I753</f>
        <v/>
      </c>
      <c r="K753">
        <f>IF(J753&gt;=5100,"ставка","мин.ставка")</f>
        <v/>
      </c>
      <c r="L753" s="3">
        <f>ROUND(IF(K753="мин.ставка",I753*100,G753/102*2),2)</f>
        <v/>
      </c>
      <c r="M753" s="5" t="n">
        <v>46285.5</v>
      </c>
      <c r="N753" t="inlineStr">
        <is>
          <t>TravelLine сайт</t>
        </is>
      </c>
      <c r="O753" s="2" t="inlineStr">
        <is>
          <t>СТАНДАРТНЫЙ ОДНОМЕСТНЫЙ НОМЕР</t>
        </is>
      </c>
      <c r="P753" s="6" t="n"/>
      <c r="R753" t="inlineStr"/>
      <c r="S753" t="inlineStr">
        <is>
          <t>Тариф с завтраком</t>
        </is>
      </c>
      <c r="T753" t="n">
        <v>0</v>
      </c>
      <c r="U753" t="n">
        <v>15161.3</v>
      </c>
    </row>
    <row r="754">
      <c r="A754" t="inlineStr">
        <is>
          <t>20260908-8186-455933749</t>
        </is>
      </c>
      <c r="B754" t="n">
        <v>1</v>
      </c>
      <c r="C754" s="2" t="inlineStr">
        <is>
          <t>Ольга Бобылева, Сергей Гайдук</t>
        </is>
      </c>
      <c r="D754" s="3" t="n">
        <v>33642</v>
      </c>
      <c r="E754" s="4" t="n">
        <v>16</v>
      </c>
      <c r="F754" t="inlineStr">
        <is>
          <t>ООО "БРОНИРОВАНИЕ ГОСТИНИЦ" (OSTROVOK) [Чайковский]</t>
        </is>
      </c>
      <c r="G754" s="3">
        <f>ROUND(D754/(100-E754)*100,2)</f>
        <v/>
      </c>
      <c r="H754" s="5" t="n">
        <v>46273.58333333334</v>
      </c>
      <c r="I754" t="n">
        <v>3</v>
      </c>
      <c r="J754" s="3">
        <f>G754/I754</f>
        <v/>
      </c>
      <c r="K754">
        <f>IF(J754&gt;=5100,"ставка","мин.ставка")</f>
        <v/>
      </c>
      <c r="L754" s="3">
        <f>ROUND(IF(K754="мин.ставка",I754*100,G754/102*2),2)</f>
        <v/>
      </c>
      <c r="M754" s="5" t="n">
        <v>46276.5</v>
      </c>
      <c r="N754" t="inlineStr">
        <is>
          <t>TravelLine OTK</t>
        </is>
      </c>
      <c r="O754" s="2" t="inlineStr">
        <is>
          <t>УЛУЧШЕННЫЙ ДВУХМЕСТНЫЙ НОМЕР</t>
        </is>
      </c>
      <c r="P754" s="6" t="n"/>
      <c r="R754" t="inlineStr"/>
      <c r="S754" t="inlineStr">
        <is>
          <t>Тариф с завтраком</t>
        </is>
      </c>
      <c r="T754" t="n">
        <v>0</v>
      </c>
      <c r="U754" t="n">
        <v>33642</v>
      </c>
    </row>
    <row r="755">
      <c r="A755" t="inlineStr">
        <is>
          <t>20260720-8186-421910187</t>
        </is>
      </c>
      <c r="B755" t="n">
        <v>1</v>
      </c>
      <c r="C755" s="2" t="inlineStr">
        <is>
          <t>ОЛЬГА ВАХНЕНКО</t>
        </is>
      </c>
      <c r="D755" s="3" t="n">
        <v>45815</v>
      </c>
      <c r="E755" s="4" t="n">
        <v>15</v>
      </c>
      <c r="F755" t="inlineStr">
        <is>
          <t>ООО "БРОНИРОВАНИЕ ГОСТИНИЦ" (OSTROVOK) [Чайковский]</t>
        </is>
      </c>
      <c r="G755" s="3">
        <f>ROUND(D755/(100-E755)*100,2)</f>
        <v/>
      </c>
      <c r="H755" s="5" t="n">
        <v>46223.58333333334</v>
      </c>
      <c r="I755" t="n">
        <v>7</v>
      </c>
      <c r="J755" s="3">
        <f>G755/I755</f>
        <v/>
      </c>
      <c r="K755">
        <f>IF(J755&gt;=5100,"ставка","мин.ставка")</f>
        <v/>
      </c>
      <c r="L755" s="3">
        <f>ROUND(IF(K755="мин.ставка",I755*100,G755/102*2),2)</f>
        <v/>
      </c>
      <c r="M755" s="5" t="n">
        <v>46230.5</v>
      </c>
      <c r="N755" t="inlineStr">
        <is>
          <t>TravelLine OTK</t>
        </is>
      </c>
      <c r="O755" s="2" t="inlineStr">
        <is>
          <t>СТАНДАРТНЫЙ ОДНОМЕСТНЫЙ НОМЕР</t>
        </is>
      </c>
      <c r="P755" s="6" t="n"/>
      <c r="R755" t="inlineStr"/>
      <c r="S755" t="inlineStr">
        <is>
          <t>Тариф с завтраком</t>
        </is>
      </c>
      <c r="T755" t="n">
        <v>0</v>
      </c>
      <c r="U755" t="n">
        <v>45815</v>
      </c>
    </row>
    <row r="756">
      <c r="A756" t="inlineStr">
        <is>
          <t>20260919-8186-464149509</t>
        </is>
      </c>
      <c r="B756" t="n">
        <v>1</v>
      </c>
      <c r="C756" s="2" t="inlineStr">
        <is>
          <t>Ольга Верховцева</t>
        </is>
      </c>
      <c r="D756" s="3" t="n">
        <v>6557</v>
      </c>
      <c r="E756" s="4" t="n">
        <v>17</v>
      </c>
      <c r="F756" t="inlineStr">
        <is>
          <t>ООО «Интернет Трэвел» (OZON) [Чайковский]</t>
        </is>
      </c>
      <c r="G756" s="3">
        <f>ROUND(D756/(100-E756)*100,2)</f>
        <v/>
      </c>
      <c r="H756" s="5" t="n">
        <v>46284.58333333334</v>
      </c>
      <c r="I756" t="n">
        <v>1</v>
      </c>
      <c r="J756" s="3">
        <f>G756/I756</f>
        <v/>
      </c>
      <c r="K756">
        <f>IF(J756&gt;=5100,"ставка","мин.ставка")</f>
        <v/>
      </c>
      <c r="L756" s="3">
        <f>ROUND(IF(K756="мин.ставка",I756*100,G756/102*2),2)</f>
        <v/>
      </c>
      <c r="M756" s="5" t="n">
        <v>46285.5</v>
      </c>
      <c r="N756" t="inlineStr">
        <is>
          <t>TravelLine OZ2</t>
        </is>
      </c>
      <c r="O756" s="2" t="inlineStr">
        <is>
          <t>СТАНДАРТНЫЙ ДВУХМЕСТНЫЙ НОМЕР (МАНСАРДА)</t>
        </is>
      </c>
      <c r="P756" s="6" t="n"/>
      <c r="R756" t="inlineStr"/>
      <c r="S756" t="inlineStr">
        <is>
          <t>Тариф с завтраком</t>
        </is>
      </c>
      <c r="T756" t="n">
        <v>0</v>
      </c>
      <c r="U756" t="n">
        <v>6557</v>
      </c>
    </row>
    <row r="757">
      <c r="A757" t="inlineStr">
        <is>
          <t>20260901-8186-462400147</t>
        </is>
      </c>
      <c r="B757" t="n">
        <v>1</v>
      </c>
      <c r="C757" s="2" t="inlineStr">
        <is>
          <t>Ольга Галатенко, Павел Ворник</t>
        </is>
      </c>
      <c r="D757" s="3" t="n">
        <v>38346</v>
      </c>
      <c r="E757" s="4" t="n">
        <v>17</v>
      </c>
      <c r="F757" t="inlineStr">
        <is>
          <t>ООО «Интернет Трэвел» (OZON) [Чайковский]</t>
        </is>
      </c>
      <c r="G757" s="3">
        <f>ROUND(D757/(100-E757)*100,2)</f>
        <v/>
      </c>
      <c r="H757" s="5" t="n">
        <v>46266.58333333334</v>
      </c>
      <c r="I757" t="n">
        <v>3</v>
      </c>
      <c r="J757" s="3">
        <f>G757/I757</f>
        <v/>
      </c>
      <c r="K757">
        <f>IF(J757&gt;=5100,"ставка","мин.ставка")</f>
        <v/>
      </c>
      <c r="L757" s="3">
        <f>ROUND(IF(K757="мин.ставка",I757*100,G757/102*2),2)</f>
        <v/>
      </c>
      <c r="M757" s="5" t="n">
        <v>46269.5</v>
      </c>
      <c r="N757" t="inlineStr">
        <is>
          <t>TravelLine OZ2</t>
        </is>
      </c>
      <c r="O757" s="2" t="inlineStr">
        <is>
          <t>УЛУЧШЕННЫЙ ДВУХМЕСТНЫЙ НОМЕР</t>
        </is>
      </c>
      <c r="P757" s="6" t="n"/>
      <c r="R757" t="inlineStr"/>
      <c r="S757" t="inlineStr">
        <is>
          <t>Тариф с завтраком</t>
        </is>
      </c>
      <c r="T757" t="n">
        <v>0</v>
      </c>
      <c r="U757" t="n">
        <v>38346</v>
      </c>
    </row>
    <row r="758">
      <c r="A758" t="inlineStr">
        <is>
          <t>20260729-8186-414621062</t>
        </is>
      </c>
      <c r="B758" t="n">
        <v>1</v>
      </c>
      <c r="C758" s="2" t="inlineStr">
        <is>
          <t>Ольга Егоренкова</t>
        </is>
      </c>
      <c r="D758" s="3" t="n">
        <v>11600</v>
      </c>
      <c r="E758" s="4" t="n">
        <v>0</v>
      </c>
      <c r="F758" t="inlineStr">
        <is>
          <t>Прямые бронирования (стойка) [Чайковский]</t>
        </is>
      </c>
      <c r="G758" s="3">
        <f>ROUND(D758/(100-E758)*100,2)</f>
        <v/>
      </c>
      <c r="H758" s="5" t="n">
        <v>46232.58333333334</v>
      </c>
      <c r="I758" t="n">
        <v>1</v>
      </c>
      <c r="J758" s="3">
        <f>G758/I758</f>
        <v/>
      </c>
      <c r="K758">
        <f>IF(J758&gt;=5100,"ставка","мин.ставка")</f>
        <v/>
      </c>
      <c r="L758" s="3">
        <f>ROUND(IF(K758="мин.ставка",I758*100,G758/102*2),2)</f>
        <v/>
      </c>
      <c r="M758" s="5" t="n">
        <v>46233.5</v>
      </c>
      <c r="N758" t="inlineStr">
        <is>
          <t>TravelLine ресепшн</t>
        </is>
      </c>
      <c r="O758" s="2" t="inlineStr">
        <is>
          <t>ПОЛУЛЮКС</t>
        </is>
      </c>
      <c r="P758" s="6" t="n"/>
      <c r="R758" t="inlineStr"/>
      <c r="S758" t="inlineStr">
        <is>
          <t>Тариф с завтраком</t>
        </is>
      </c>
      <c r="T758" t="n">
        <v>0</v>
      </c>
      <c r="U758" t="n">
        <v>11600</v>
      </c>
    </row>
    <row r="759">
      <c r="A759" t="inlineStr">
        <is>
          <t>20260915-8186-459062307</t>
        </is>
      </c>
      <c r="B759" t="n">
        <v>1</v>
      </c>
      <c r="C759" s="2" t="inlineStr">
        <is>
          <t>ОЛЬГА Запара, ВИКТОР ЗАПАРА</t>
        </is>
      </c>
      <c r="D759" s="3" t="n">
        <v>59400</v>
      </c>
      <c r="E759" s="4" t="n">
        <v>0</v>
      </c>
      <c r="F759" t="inlineStr">
        <is>
          <t>Прямые бронирования (стойка) [Чайковский]</t>
        </is>
      </c>
      <c r="G759" s="3">
        <f>ROUND(D759/(100-E759)*100,2)</f>
        <v/>
      </c>
      <c r="H759" s="5" t="n">
        <v>46280.58333333334</v>
      </c>
      <c r="I759" t="n">
        <v>4</v>
      </c>
      <c r="J759" s="3">
        <f>G759/I759</f>
        <v/>
      </c>
      <c r="K759">
        <f>IF(J759&gt;=5100,"ставка","мин.ставка")</f>
        <v/>
      </c>
      <c r="L759" s="3">
        <f>ROUND(IF(K759="мин.ставка",I759*100,G759/102*2),2)</f>
        <v/>
      </c>
      <c r="M759" s="5" t="n">
        <v>46284.5</v>
      </c>
      <c r="N759" t="inlineStr">
        <is>
          <t>TravelLine ресепшн</t>
        </is>
      </c>
      <c r="O759" s="2" t="inlineStr">
        <is>
          <t>ПОЛУЛЮКС</t>
        </is>
      </c>
      <c r="P759" s="6" t="n"/>
      <c r="R759" t="inlineStr"/>
      <c r="S759" t="inlineStr">
        <is>
          <t>Тариф с завтраком</t>
        </is>
      </c>
      <c r="T759" t="n">
        <v>0</v>
      </c>
      <c r="U759" t="n">
        <v>59400</v>
      </c>
    </row>
    <row r="760">
      <c r="A760" t="inlineStr">
        <is>
          <t>20260809-8186-455980804</t>
        </is>
      </c>
      <c r="B760" t="n">
        <v>1</v>
      </c>
      <c r="C760" s="2" t="inlineStr">
        <is>
          <t>ОЛЬГА ЗДОРИКОВА</t>
        </is>
      </c>
      <c r="D760" s="3" t="n">
        <v>22512</v>
      </c>
      <c r="E760" s="4" t="n">
        <v>16</v>
      </c>
      <c r="F760" t="inlineStr">
        <is>
          <t>ООО "БРОНИРОВАНИЕ ГОСТИНИЦ" (OSTROVOK) [Чайковский]</t>
        </is>
      </c>
      <c r="G760" s="3">
        <f>ROUND(D760/(100-E760)*100,2)</f>
        <v/>
      </c>
      <c r="H760" s="5" t="n">
        <v>46243.58333333334</v>
      </c>
      <c r="I760" t="n">
        <v>2</v>
      </c>
      <c r="J760" s="3">
        <f>G760/I760</f>
        <v/>
      </c>
      <c r="K760">
        <f>IF(J760&gt;=5100,"ставка","мин.ставка")</f>
        <v/>
      </c>
      <c r="L760" s="3">
        <f>ROUND(IF(K760="мин.ставка",I760*100,G760/102*2),2)</f>
        <v/>
      </c>
      <c r="M760" s="5" t="n">
        <v>46245.5</v>
      </c>
      <c r="N760" t="inlineStr">
        <is>
          <t>TravelLine OTK</t>
        </is>
      </c>
      <c r="O760" s="2" t="inlineStr">
        <is>
          <t>УЛУЧШЕННЫЙ ДВУХМЕСТНЫЙ НОМЕР</t>
        </is>
      </c>
      <c r="P760" s="6" t="n"/>
      <c r="R760" t="inlineStr"/>
      <c r="S760" t="inlineStr">
        <is>
          <t>Тариф с завтраком</t>
        </is>
      </c>
      <c r="T760" t="n">
        <v>0</v>
      </c>
      <c r="U760" t="n">
        <v>22512</v>
      </c>
    </row>
    <row r="761">
      <c r="A761" t="inlineStr">
        <is>
          <t>20260821-8186-458141920</t>
        </is>
      </c>
      <c r="B761" t="n">
        <v>1</v>
      </c>
      <c r="C761" s="2" t="inlineStr">
        <is>
          <t>Ольга Каширина, Михаил Китаев</t>
        </is>
      </c>
      <c r="D761" s="3" t="n">
        <v>41085</v>
      </c>
      <c r="E761" s="4" t="n">
        <v>18</v>
      </c>
      <c r="F761" t="inlineStr">
        <is>
          <t>Яндекс.Путешествия [Чайковский]</t>
        </is>
      </c>
      <c r="G761" s="3">
        <f>ROUND(D761/(100-E761)*100,2)</f>
        <v/>
      </c>
      <c r="H761" s="5" t="n">
        <v>46255.58333333334</v>
      </c>
      <c r="I761" t="n">
        <v>3</v>
      </c>
      <c r="J761" s="3">
        <f>G761/I761</f>
        <v/>
      </c>
      <c r="K761">
        <f>IF(J761&gt;=5100,"ставка","мин.ставка")</f>
        <v/>
      </c>
      <c r="L761" s="3">
        <f>ROUND(IF(K761="мин.ставка",I761*100,G761/102*2),2)</f>
        <v/>
      </c>
      <c r="M761" s="5" t="n">
        <v>46258.5</v>
      </c>
      <c r="N761" t="inlineStr">
        <is>
          <t>TravelLine YAX</t>
        </is>
      </c>
      <c r="O761" s="2" t="inlineStr">
        <is>
          <t>ПОЛУЛЮКС</t>
        </is>
      </c>
      <c r="P761" s="6" t="n"/>
      <c r="R761" t="inlineStr"/>
      <c r="S761" t="inlineStr">
        <is>
          <t>Тариф с завтраком</t>
        </is>
      </c>
      <c r="T761" t="n">
        <v>0</v>
      </c>
      <c r="U761" t="n">
        <v>41085</v>
      </c>
    </row>
    <row r="762">
      <c r="A762" t="inlineStr">
        <is>
          <t>20260819-8186-406343443</t>
        </is>
      </c>
      <c r="B762" t="n">
        <v>1</v>
      </c>
      <c r="C762" s="2" t="inlineStr">
        <is>
          <t>Ольга Коростелева, Андрей Коростелев</t>
        </is>
      </c>
      <c r="D762" s="3" t="n">
        <v>13016.25</v>
      </c>
      <c r="E762" s="4" t="n">
        <v>4</v>
      </c>
      <c r="F762" t="inlineStr">
        <is>
          <t>TravelLine Booking Engine [Чайковский]</t>
        </is>
      </c>
      <c r="G762" s="3">
        <f>ROUND(D762/(100-E762)*100,2)</f>
        <v/>
      </c>
      <c r="H762" s="5" t="n">
        <v>46253.58333333334</v>
      </c>
      <c r="I762" t="n">
        <v>1</v>
      </c>
      <c r="J762" s="3">
        <f>G762/I762</f>
        <v/>
      </c>
      <c r="K762">
        <f>IF(J762&gt;=5100,"ставка","мин.ставка")</f>
        <v/>
      </c>
      <c r="L762" s="3">
        <f>ROUND(IF(K762="мин.ставка",I762*100,G762/102*2),2)</f>
        <v/>
      </c>
      <c r="M762" s="5" t="n">
        <v>46254.5</v>
      </c>
      <c r="N762" t="inlineStr">
        <is>
          <t>TravelLine сайт</t>
        </is>
      </c>
      <c r="O762" s="2" t="inlineStr">
        <is>
          <t>СТАНДАРТНЫЙ ДВУХМЕСТНЫЙ НОМЕР</t>
        </is>
      </c>
      <c r="P762" s="6" t="n"/>
      <c r="R762" t="inlineStr"/>
      <c r="S762" t="inlineStr">
        <is>
          <t>Тариф с завтраком</t>
        </is>
      </c>
      <c r="T762" t="n">
        <v>0</v>
      </c>
      <c r="U762" t="n">
        <v>13016.25</v>
      </c>
    </row>
    <row r="763">
      <c r="A763" t="inlineStr">
        <is>
          <t>20260716-8186-448718425</t>
        </is>
      </c>
      <c r="B763" t="n">
        <v>1</v>
      </c>
      <c r="C763" s="2" t="inlineStr">
        <is>
          <t>ОЛЬГА КОРШУНОВА</t>
        </is>
      </c>
      <c r="D763" s="3" t="n">
        <v>30260</v>
      </c>
      <c r="E763" s="4" t="n">
        <v>15</v>
      </c>
      <c r="F763" t="inlineStr">
        <is>
          <t>ООО "Библио-Глобус Туроператор" [Чайковский]</t>
        </is>
      </c>
      <c r="G763" s="3">
        <f>ROUND(D763/(100-E763)*100,2)</f>
        <v/>
      </c>
      <c r="H763" s="5" t="n">
        <v>46219.58333333334</v>
      </c>
      <c r="I763" t="n">
        <v>4</v>
      </c>
      <c r="J763" s="3">
        <f>G763/I763</f>
        <v/>
      </c>
      <c r="K763">
        <f>IF(J763&gt;=5100,"ставка","мин.ставка")</f>
        <v/>
      </c>
      <c r="L763" s="3">
        <f>ROUND(IF(K763="мин.ставка",I763*100,G763/102*2),2)</f>
        <v/>
      </c>
      <c r="M763" s="5" t="n">
        <v>46223.5</v>
      </c>
      <c r="N763" t="inlineStr">
        <is>
          <t>TravelLine BGL</t>
        </is>
      </c>
      <c r="O763" s="2" t="inlineStr">
        <is>
          <t>СТАНДАРТНЫЙ ДВУХМЕСТНЫЙ НОМЕР</t>
        </is>
      </c>
      <c r="P763" s="6" t="n"/>
      <c r="R763" t="inlineStr"/>
      <c r="S763" t="inlineStr">
        <is>
          <t>Тариф с завтраком</t>
        </is>
      </c>
      <c r="T763" t="n">
        <v>0</v>
      </c>
      <c r="U763" t="n">
        <v>30260</v>
      </c>
    </row>
    <row r="764">
      <c r="A764" t="inlineStr">
        <is>
          <t>20260713-8186-449799013</t>
        </is>
      </c>
      <c r="B764" t="n">
        <v>1</v>
      </c>
      <c r="C764" s="2" t="inlineStr">
        <is>
          <t>Ольга Красоцкая, Ольга Красоцкая</t>
        </is>
      </c>
      <c r="D764" s="3" t="n">
        <v>9265</v>
      </c>
      <c r="E764" s="4" t="n">
        <v>15</v>
      </c>
      <c r="F764" t="inlineStr">
        <is>
          <t>ООО Тинькофф Путешествия [Чайковский]</t>
        </is>
      </c>
      <c r="G764" s="3">
        <f>ROUND(D764/(100-E764)*100,2)</f>
        <v/>
      </c>
      <c r="H764" s="5" t="n">
        <v>46216.58333333334</v>
      </c>
      <c r="I764" t="n">
        <v>1</v>
      </c>
      <c r="J764" s="3">
        <f>G764/I764</f>
        <v/>
      </c>
      <c r="K764">
        <f>IF(J764&gt;=5100,"ставка","мин.ставка")</f>
        <v/>
      </c>
      <c r="L764" s="3">
        <f>ROUND(IF(K764="мин.ставка",I764*100,G764/102*2),2)</f>
        <v/>
      </c>
      <c r="M764" s="5" t="n">
        <v>46217.5</v>
      </c>
      <c r="N764" t="inlineStr">
        <is>
          <t>TravelLine TNK</t>
        </is>
      </c>
      <c r="O764" s="2" t="inlineStr">
        <is>
          <t>СЕМЕЙНЫЙ НОМЕР КАТЕГОРИИ "СТАНДАРТ" ВТОРОЙ КОРПУС</t>
        </is>
      </c>
      <c r="P764" s="6" t="n"/>
      <c r="R764" t="inlineStr"/>
      <c r="S764" t="inlineStr">
        <is>
          <t>Тариф с завтраком</t>
        </is>
      </c>
      <c r="T764" t="n">
        <v>0</v>
      </c>
      <c r="U764" t="n">
        <v>9265</v>
      </c>
    </row>
    <row r="765">
      <c r="A765" t="inlineStr">
        <is>
          <t>20260821-8186-460289458</t>
        </is>
      </c>
      <c r="B765" t="n">
        <v>1</v>
      </c>
      <c r="C765" s="2" t="inlineStr">
        <is>
          <t>Ольга Ляшенко</t>
        </is>
      </c>
      <c r="D765" s="3" t="n">
        <v>10998.15</v>
      </c>
      <c r="E765" s="4" t="n">
        <v>4</v>
      </c>
      <c r="F765" t="inlineStr">
        <is>
          <t>TravelLine Booking Engine [Чайковский]</t>
        </is>
      </c>
      <c r="G765" s="3">
        <f>ROUND(D765/(100-E765)*100,2)</f>
        <v/>
      </c>
      <c r="H765" s="5" t="n">
        <v>46255.58333333334</v>
      </c>
      <c r="I765" t="n">
        <v>1</v>
      </c>
      <c r="J765" s="3">
        <f>G765/I765</f>
        <v/>
      </c>
      <c r="K765">
        <f>IF(J765&gt;=5100,"ставка","мин.ставка")</f>
        <v/>
      </c>
      <c r="L765" s="3">
        <f>ROUND(IF(K765="мин.ставка",I765*100,G765/102*2),2)</f>
        <v/>
      </c>
      <c r="M765" s="5" t="n">
        <v>46256.5</v>
      </c>
      <c r="N765" t="inlineStr">
        <is>
          <t>TravelLine сайт</t>
        </is>
      </c>
      <c r="O765" s="2" t="inlineStr">
        <is>
          <t>СТАНДАРТНЫЙ ДВУХМЕСТНЫЙ НОМЕР</t>
        </is>
      </c>
      <c r="P765" s="6" t="n"/>
      <c r="R765" t="inlineStr"/>
      <c r="S765" t="inlineStr">
        <is>
          <t>Тариф с завтраком</t>
        </is>
      </c>
      <c r="T765" t="n">
        <v>0</v>
      </c>
      <c r="U765" t="n">
        <v>10998.15</v>
      </c>
    </row>
    <row r="766">
      <c r="A766" t="inlineStr">
        <is>
          <t>20260822-8186-435212432</t>
        </is>
      </c>
      <c r="B766" t="n">
        <v>1</v>
      </c>
      <c r="C766" s="2" t="inlineStr">
        <is>
          <t>ОЛЬГА МАКСИМОВИЧ, ПАВЕЛ ГУРБИЧ</t>
        </is>
      </c>
      <c r="D766" s="3" t="n">
        <v>25245</v>
      </c>
      <c r="E766" s="4" t="n">
        <v>16</v>
      </c>
      <c r="F766" t="inlineStr">
        <is>
          <t>ООО "БРОНИРОВАНИЕ ГОСТИНИЦ" (OSTROVOK) [Чайковский]</t>
        </is>
      </c>
      <c r="G766" s="3">
        <f>ROUND(D766/(100-E766)*100,2)</f>
        <v/>
      </c>
      <c r="H766" s="5" t="n">
        <v>46256.58333333334</v>
      </c>
      <c r="I766" t="n">
        <v>3</v>
      </c>
      <c r="J766" s="3">
        <f>G766/I766</f>
        <v/>
      </c>
      <c r="K766">
        <f>IF(J766&gt;=5100,"ставка","мин.ставка")</f>
        <v/>
      </c>
      <c r="L766" s="3">
        <f>ROUND(IF(K766="мин.ставка",I766*100,G766/102*2),2)</f>
        <v/>
      </c>
      <c r="M766" s="5" t="n">
        <v>46259.5</v>
      </c>
      <c r="N766" t="inlineStr">
        <is>
          <t>TravelLine OTK</t>
        </is>
      </c>
      <c r="O766" s="2" t="inlineStr">
        <is>
          <t>СТАНДАРТНЫЙ ДВУХМЕСТНЫЙ НОМЕР (МАНСАРДА)</t>
        </is>
      </c>
      <c r="P766" s="6" t="n"/>
      <c r="R766" t="inlineStr"/>
      <c r="S766" t="inlineStr">
        <is>
          <t>Тариф с завтраком</t>
        </is>
      </c>
      <c r="T766" t="n">
        <v>0</v>
      </c>
      <c r="U766" t="n">
        <v>25245</v>
      </c>
    </row>
    <row r="767">
      <c r="A767" t="inlineStr">
        <is>
          <t>20260929-8186-465328503</t>
        </is>
      </c>
      <c r="B767" t="n">
        <v>1</v>
      </c>
      <c r="C767" s="2" t="inlineStr">
        <is>
          <t>Ольга Маурина</t>
        </is>
      </c>
      <c r="D767" s="3" t="n">
        <v>5775</v>
      </c>
      <c r="E767" s="4" t="n">
        <v>18</v>
      </c>
      <c r="F767" t="inlineStr">
        <is>
          <t>Яндекс.Путешествия [Чайковский]</t>
        </is>
      </c>
      <c r="G767" s="3">
        <f>ROUND(D767/(100-E767)*100,2)</f>
        <v/>
      </c>
      <c r="H767" s="5" t="n">
        <v>46294.58333333334</v>
      </c>
      <c r="I767" t="n">
        <v>1</v>
      </c>
      <c r="J767" s="3">
        <f>G767/I767</f>
        <v/>
      </c>
      <c r="K767">
        <f>IF(J767&gt;=5100,"ставка","мин.ставка")</f>
        <v/>
      </c>
      <c r="L767" s="3">
        <f>ROUND(IF(K767="мин.ставка",I767*100,G767/102*2),2)</f>
        <v/>
      </c>
      <c r="M767" s="5" t="n">
        <v>46295.5</v>
      </c>
      <c r="N767" t="inlineStr">
        <is>
          <t>TravelLine YAX</t>
        </is>
      </c>
      <c r="O767" s="2" t="inlineStr">
        <is>
          <t>СТАНДАРТНЫЙ ОДНОМЕСТНЫЙ НОМЕР</t>
        </is>
      </c>
      <c r="P767" s="6" t="n"/>
      <c r="R767" t="inlineStr"/>
      <c r="S767" t="inlineStr">
        <is>
          <t>Тариф с завтраком</t>
        </is>
      </c>
      <c r="T767" t="n">
        <v>0</v>
      </c>
      <c r="U767" t="n">
        <v>5775</v>
      </c>
    </row>
    <row r="768">
      <c r="A768" t="inlineStr">
        <is>
          <t>20260707-8186-408949108</t>
        </is>
      </c>
      <c r="B768" t="n">
        <v>1</v>
      </c>
      <c r="C768" s="2" t="inlineStr">
        <is>
          <t>Ольга Минченко, Станислав Сушков</t>
        </is>
      </c>
      <c r="D768" s="3" t="n">
        <v>69151.5</v>
      </c>
      <c r="E768" s="4" t="n">
        <v>4</v>
      </c>
      <c r="F768" t="inlineStr">
        <is>
          <t>TravelLine Booking Engine [Чайковский]</t>
        </is>
      </c>
      <c r="G768" s="3">
        <f>ROUND(D768/(100-E768)*100,2)</f>
        <v/>
      </c>
      <c r="H768" s="5" t="n">
        <v>46210.58333333334</v>
      </c>
      <c r="I768" t="n">
        <v>7</v>
      </c>
      <c r="J768" s="3">
        <f>G768/I768</f>
        <v/>
      </c>
      <c r="K768">
        <f>IF(J768&gt;=5100,"ставка","мин.ставка")</f>
        <v/>
      </c>
      <c r="L768" s="3">
        <f>ROUND(IF(K768="мин.ставка",I768*100,G768/102*2),2)</f>
        <v/>
      </c>
      <c r="M768" s="5" t="n">
        <v>46217.5</v>
      </c>
      <c r="N768" t="inlineStr">
        <is>
          <t>TravelLine сайт</t>
        </is>
      </c>
      <c r="O768" s="2" t="inlineStr">
        <is>
          <t>СТАНДАРТНЫЙ ДВУХМЕСТНЫЙ НОМЕР (МАНСАРДА)</t>
        </is>
      </c>
      <c r="P768" s="6" t="n"/>
      <c r="R768" t="inlineStr"/>
      <c r="S768" t="inlineStr">
        <is>
          <t>Тариф с завтраком</t>
        </is>
      </c>
      <c r="T768" t="n">
        <v>0</v>
      </c>
      <c r="U768" t="n">
        <v>69151.5</v>
      </c>
    </row>
    <row r="769">
      <c r="A769" t="inlineStr">
        <is>
          <t>20260709-8186-448353253</t>
        </is>
      </c>
      <c r="B769" t="n">
        <v>1</v>
      </c>
      <c r="C769" s="2" t="inlineStr">
        <is>
          <t>ОЛЬГА Мотовилова</t>
        </is>
      </c>
      <c r="D769" s="3" t="n">
        <v>11850</v>
      </c>
      <c r="E769" s="4" t="n">
        <v>0</v>
      </c>
      <c r="F769" t="inlineStr">
        <is>
          <t>Прямые бронирования (стойка) [Чайковский]</t>
        </is>
      </c>
      <c r="G769" s="3">
        <f>ROUND(D769/(100-E769)*100,2)</f>
        <v/>
      </c>
      <c r="H769" s="5" t="n">
        <v>46212.58333333334</v>
      </c>
      <c r="I769" t="n">
        <v>1</v>
      </c>
      <c r="J769" s="3">
        <f>G769/I769</f>
        <v/>
      </c>
      <c r="K769">
        <f>IF(J769&gt;=5100,"ставка","мин.ставка")</f>
        <v/>
      </c>
      <c r="L769" s="3">
        <f>ROUND(IF(K769="мин.ставка",I769*100,G769/102*2),2)</f>
        <v/>
      </c>
      <c r="M769" s="5" t="n">
        <v>46213.5</v>
      </c>
      <c r="N769" t="inlineStr">
        <is>
          <t>TravelLine ресепшн</t>
        </is>
      </c>
      <c r="O769" s="2" t="inlineStr">
        <is>
          <t>ПОЛУЛЮКС</t>
        </is>
      </c>
      <c r="P769" s="6" t="n"/>
      <c r="R769" t="inlineStr"/>
      <c r="S769" t="inlineStr">
        <is>
          <t>Тариф с завтраком</t>
        </is>
      </c>
      <c r="T769" t="n">
        <v>0</v>
      </c>
      <c r="U769" t="n">
        <v>11850</v>
      </c>
    </row>
    <row r="770">
      <c r="A770" t="inlineStr">
        <is>
          <t>20260917-8186-466217197</t>
        </is>
      </c>
      <c r="B770" t="n">
        <v>1</v>
      </c>
      <c r="C770" s="2" t="inlineStr">
        <is>
          <t>Ольга Пономарева</t>
        </is>
      </c>
      <c r="D770" s="3" t="n">
        <v>22348.15</v>
      </c>
      <c r="E770" s="4" t="n">
        <v>4</v>
      </c>
      <c r="F770" t="inlineStr">
        <is>
          <t>TravelLine Booking Engine [Чайковский]</t>
        </is>
      </c>
      <c r="G770" s="3">
        <f>ROUND(D770/(100-E770)*100,2)</f>
        <v/>
      </c>
      <c r="H770" s="5" t="n">
        <v>46282.58333333334</v>
      </c>
      <c r="I770" t="n">
        <v>2</v>
      </c>
      <c r="J770" s="3">
        <f>G770/I770</f>
        <v/>
      </c>
      <c r="K770">
        <f>IF(J770&gt;=5100,"ставка","мин.ставка")</f>
        <v/>
      </c>
      <c r="L770" s="3">
        <f>ROUND(IF(K770="мин.ставка",I770*100,G770/102*2),2)</f>
        <v/>
      </c>
      <c r="M770" s="5" t="n">
        <v>46284.5</v>
      </c>
      <c r="N770" t="inlineStr">
        <is>
          <t>TravelLine сайт</t>
        </is>
      </c>
      <c r="O770" s="2" t="inlineStr">
        <is>
          <t>СТАНДАРТНЫЙ ДВУХМЕСТНЫЙ НОМЕР</t>
        </is>
      </c>
      <c r="P770" s="6" t="n"/>
      <c r="R770" t="inlineStr"/>
      <c r="S770" t="inlineStr">
        <is>
          <t>Тариф с завтраком</t>
        </is>
      </c>
      <c r="T770" t="n">
        <v>0</v>
      </c>
      <c r="U770" t="n">
        <v>22348.15</v>
      </c>
    </row>
    <row r="771">
      <c r="A771" t="inlineStr">
        <is>
          <t>20260802-8186-438830441</t>
        </is>
      </c>
      <c r="B771" t="n">
        <v>1</v>
      </c>
      <c r="C771" s="2" t="inlineStr">
        <is>
          <t>ОЛЬГА ПРОСКУРНИНА, АЛЕНА ПРОСКУРНИНА</t>
        </is>
      </c>
      <c r="D771" s="3" t="n">
        <v>68085</v>
      </c>
      <c r="E771" s="4" t="n">
        <v>0</v>
      </c>
      <c r="F771" t="inlineStr">
        <is>
          <t>ООО "АЛЕАН ОТДЫХ" [Чайковский]</t>
        </is>
      </c>
      <c r="G771" s="3">
        <f>ROUND(D771/(100-E771)*100,2)</f>
        <v/>
      </c>
      <c r="H771" s="5" t="n">
        <v>46236.58333333334</v>
      </c>
      <c r="I771" t="n">
        <v>6</v>
      </c>
      <c r="J771" s="3">
        <f>G771/I771</f>
        <v/>
      </c>
      <c r="K771">
        <f>IF(J771&gt;=5100,"ставка","мин.ставка")</f>
        <v/>
      </c>
      <c r="L771" s="3">
        <f>ROUND(IF(K771="мин.ставка",I771*100,G771/102*2),2)</f>
        <v/>
      </c>
      <c r="M771" s="5" t="n">
        <v>46242.5</v>
      </c>
      <c r="N771" t="inlineStr">
        <is>
          <t>TravelLine ALN</t>
        </is>
      </c>
      <c r="O771" s="2" t="inlineStr">
        <is>
          <t>СТАНДАРТНЫЙ ДВУХМЕСТНЫЙ НОМЕР</t>
        </is>
      </c>
      <c r="P771" s="6" t="n"/>
      <c r="R771" t="inlineStr"/>
      <c r="S771" t="inlineStr">
        <is>
          <t>Тариф с завтраком</t>
        </is>
      </c>
      <c r="T771" t="n">
        <v>0</v>
      </c>
      <c r="U771" t="n">
        <v>68085</v>
      </c>
    </row>
    <row r="772">
      <c r="A772" t="inlineStr">
        <is>
          <t>20260923-8186-461586020</t>
        </is>
      </c>
      <c r="B772" t="n">
        <v>1</v>
      </c>
      <c r="C772" s="2" t="inlineStr">
        <is>
          <t>Ольга Протопопова</t>
        </is>
      </c>
      <c r="D772" s="3" t="n">
        <v>18160</v>
      </c>
      <c r="E772" s="4" t="n">
        <v>20</v>
      </c>
      <c r="F772" t="inlineStr">
        <is>
          <t>ООО "КОМПАНИЯ БРОНЕВИК" [Чайковский]</t>
        </is>
      </c>
      <c r="G772" s="3">
        <f>ROUND(D772/(100-E772)*100,2)</f>
        <v/>
      </c>
      <c r="H772" s="5" t="n">
        <v>46288.58333333334</v>
      </c>
      <c r="I772" t="n">
        <v>2</v>
      </c>
      <c r="J772" s="3">
        <f>G772/I772</f>
        <v/>
      </c>
      <c r="K772">
        <f>IF(J772&gt;=5100,"ставка","мин.ставка")</f>
        <v/>
      </c>
      <c r="L772" s="3">
        <f>ROUND(IF(K772="мин.ставка",I772*100,G772/102*2),2)</f>
        <v/>
      </c>
      <c r="M772" s="5" t="n">
        <v>46290.5</v>
      </c>
      <c r="N772" t="inlineStr">
        <is>
          <t>TravelLine BR2</t>
        </is>
      </c>
      <c r="O772" s="2" t="inlineStr">
        <is>
          <t>СТАНДАРТНЫЙ ДВУХМЕСТНЫЙ НОМЕР</t>
        </is>
      </c>
      <c r="P772" s="6" t="n"/>
      <c r="R772" t="inlineStr"/>
      <c r="S772" t="inlineStr">
        <is>
          <t>Тариф с завтраком</t>
        </is>
      </c>
      <c r="T772" t="n">
        <v>0</v>
      </c>
      <c r="U772" t="n">
        <v>18160</v>
      </c>
    </row>
    <row r="773">
      <c r="A773" t="inlineStr">
        <is>
          <t>20260913-8186-465502302</t>
        </is>
      </c>
      <c r="B773" t="n">
        <v>1</v>
      </c>
      <c r="C773" s="2" t="inlineStr">
        <is>
          <t>Ольга Савостьянова</t>
        </is>
      </c>
      <c r="D773" s="3" t="n">
        <v>12936</v>
      </c>
      <c r="E773" s="4" t="n">
        <v>16</v>
      </c>
      <c r="F773" t="inlineStr">
        <is>
          <t>ООО "БРОНИРОВАНИЕ ГОСТИНИЦ" (OSTROVOK) [Чайковский]</t>
        </is>
      </c>
      <c r="G773" s="3">
        <f>ROUND(D773/(100-E773)*100,2)</f>
        <v/>
      </c>
      <c r="H773" s="5" t="n">
        <v>46278.58333333334</v>
      </c>
      <c r="I773" t="n">
        <v>2</v>
      </c>
      <c r="J773" s="3">
        <f>G773/I773</f>
        <v/>
      </c>
      <c r="K773">
        <f>IF(J773&gt;=5100,"ставка","мин.ставка")</f>
        <v/>
      </c>
      <c r="L773" s="3">
        <f>ROUND(IF(K773="мин.ставка",I773*100,G773/102*2),2)</f>
        <v/>
      </c>
      <c r="M773" s="5" t="n">
        <v>46280.5</v>
      </c>
      <c r="N773" t="inlineStr">
        <is>
          <t>TravelLine OTK</t>
        </is>
      </c>
      <c r="O773" s="2" t="inlineStr">
        <is>
          <t>СТАНДАРТНЫЙ ОДНОМЕСТНЫЙ НОМЕР</t>
        </is>
      </c>
      <c r="P773" s="6" t="n"/>
      <c r="R773" t="inlineStr"/>
      <c r="S773" t="inlineStr">
        <is>
          <t>Тариф с завтраком</t>
        </is>
      </c>
      <c r="T773" t="n">
        <v>0</v>
      </c>
      <c r="U773" t="n">
        <v>12936</v>
      </c>
    </row>
    <row r="774">
      <c r="A774" t="inlineStr">
        <is>
          <t>20260714-8186-448937681</t>
        </is>
      </c>
      <c r="B774" t="n">
        <v>1</v>
      </c>
      <c r="C774" s="2" t="inlineStr">
        <is>
          <t>Ольга Самыгина</t>
        </is>
      </c>
      <c r="D774" s="3" t="n">
        <v>21440</v>
      </c>
      <c r="E774" s="4" t="n">
        <v>18</v>
      </c>
      <c r="F774" t="inlineStr">
        <is>
          <t>Яндекс.Путешествия [Чайковский]</t>
        </is>
      </c>
      <c r="G774" s="3">
        <f>ROUND(D774/(100-E774)*100,2)</f>
        <v/>
      </c>
      <c r="H774" s="5" t="n">
        <v>46217.58333333334</v>
      </c>
      <c r="I774" t="n">
        <v>2</v>
      </c>
      <c r="J774" s="3">
        <f>G774/I774</f>
        <v/>
      </c>
      <c r="K774">
        <f>IF(J774&gt;=5100,"ставка","мин.ставка")</f>
        <v/>
      </c>
      <c r="L774" s="3">
        <f>ROUND(IF(K774="мин.ставка",I774*100,G774/102*2),2)</f>
        <v/>
      </c>
      <c r="M774" s="5" t="n">
        <v>46219.5</v>
      </c>
      <c r="N774" t="inlineStr">
        <is>
          <t>TravelLine YAX</t>
        </is>
      </c>
      <c r="O774" s="2" t="inlineStr">
        <is>
          <t>УЛУЧШЕННЫЙ ДВУХМЕСТНЫЙ НОМЕР</t>
        </is>
      </c>
      <c r="P774" s="6" t="n"/>
      <c r="R774" t="inlineStr"/>
      <c r="S774" t="inlineStr">
        <is>
          <t>Тариф с завтраком</t>
        </is>
      </c>
      <c r="T774" t="n">
        <v>0</v>
      </c>
      <c r="U774" t="n">
        <v>21440</v>
      </c>
    </row>
    <row r="775">
      <c r="A775" t="inlineStr">
        <is>
          <t>20260702-8186-443610618</t>
        </is>
      </c>
      <c r="B775" t="n">
        <v>1</v>
      </c>
      <c r="C775" s="2" t="inlineStr">
        <is>
          <t>Ольга Саппо, Александр Саппо</t>
        </is>
      </c>
      <c r="D775" s="3" t="n">
        <v>64080</v>
      </c>
      <c r="E775" s="4" t="n">
        <v>20</v>
      </c>
      <c r="F775" t="inlineStr">
        <is>
          <t>ООО "ХБ-ПРО" [Чайковский]</t>
        </is>
      </c>
      <c r="G775" s="3">
        <f>ROUND(D775/(100-E775)*100,2)</f>
        <v/>
      </c>
      <c r="H775" s="5" t="n">
        <v>46205.58333333334</v>
      </c>
      <c r="I775" t="n">
        <v>6</v>
      </c>
      <c r="J775" s="3">
        <f>G775/I775</f>
        <v/>
      </c>
      <c r="K775">
        <f>IF(J775&gt;=5100,"ставка","мин.ставка")</f>
        <v/>
      </c>
      <c r="L775" s="3">
        <f>ROUND(IF(K775="мин.ставка",I775*100,G775/102*2),2)</f>
        <v/>
      </c>
      <c r="M775" s="5" t="n">
        <v>46211.5</v>
      </c>
      <c r="N775" t="inlineStr">
        <is>
          <t>TravelLine UTS</t>
        </is>
      </c>
      <c r="O775" s="2" t="inlineStr">
        <is>
          <t>СТАНДАРТНЫЙ ДВУХМЕСТНЫЙ НОМЕР</t>
        </is>
      </c>
      <c r="P775" s="6" t="n"/>
      <c r="R775" t="inlineStr"/>
      <c r="S775" t="inlineStr">
        <is>
          <t>Тариф с завтраком</t>
        </is>
      </c>
      <c r="T775" t="n">
        <v>0</v>
      </c>
      <c r="U775" t="n">
        <v>64080</v>
      </c>
    </row>
    <row r="776">
      <c r="A776" t="inlineStr">
        <is>
          <t>20260914-8186-463592259</t>
        </is>
      </c>
      <c r="B776" t="n">
        <v>1</v>
      </c>
      <c r="C776" s="2" t="inlineStr">
        <is>
          <t>ОЛЬГА САРАТОВА</t>
        </is>
      </c>
      <c r="D776" s="3" t="n">
        <v>9647.5</v>
      </c>
      <c r="E776" s="4" t="n">
        <v>15</v>
      </c>
      <c r="F776" t="inlineStr">
        <is>
          <t>ООО "Библио-Глобус Туроператор" [Чайковский]</t>
        </is>
      </c>
      <c r="G776" s="3">
        <f>ROUND(D776/(100-E776)*100,2)</f>
        <v/>
      </c>
      <c r="H776" s="5" t="n">
        <v>46279.58333333334</v>
      </c>
      <c r="I776" t="n">
        <v>1</v>
      </c>
      <c r="J776" s="3">
        <f>G776/I776</f>
        <v/>
      </c>
      <c r="K776">
        <f>IF(J776&gt;=5100,"ставка","мин.ставка")</f>
        <v/>
      </c>
      <c r="L776" s="3">
        <f>ROUND(IF(K776="мин.ставка",I776*100,G776/102*2),2)</f>
        <v/>
      </c>
      <c r="M776" s="5" t="n">
        <v>46280.5</v>
      </c>
      <c r="N776" t="inlineStr">
        <is>
          <t>TravelLine BGL</t>
        </is>
      </c>
      <c r="O776" s="2" t="inlineStr">
        <is>
          <t>УЛУЧШЕННЫЙ ДВУХМЕСТНЫЙ НОМЕР</t>
        </is>
      </c>
      <c r="P776" s="6" t="n"/>
      <c r="R776" t="inlineStr"/>
      <c r="S776" t="inlineStr">
        <is>
          <t>Тариф с завтраком</t>
        </is>
      </c>
      <c r="T776" t="n">
        <v>0</v>
      </c>
      <c r="U776" t="n">
        <v>9647.5</v>
      </c>
    </row>
    <row r="777">
      <c r="A777" t="inlineStr">
        <is>
          <t>20260915-8186-462648104</t>
        </is>
      </c>
      <c r="B777" t="n">
        <v>1</v>
      </c>
      <c r="C777" s="2" t="inlineStr">
        <is>
          <t>Ольга Свидинская</t>
        </is>
      </c>
      <c r="D777" s="3" t="n">
        <v>21976</v>
      </c>
      <c r="E777" s="4" t="n">
        <v>18</v>
      </c>
      <c r="F777" t="inlineStr">
        <is>
          <t>ООО "Эй энд Эй" [Чайковский]</t>
        </is>
      </c>
      <c r="G777" s="3">
        <f>ROUND(D777/(100-E777)*100,2)</f>
        <v/>
      </c>
      <c r="H777" s="5" t="n">
        <v>46280.58333333334</v>
      </c>
      <c r="I777" t="n">
        <v>2</v>
      </c>
      <c r="J777" s="3">
        <f>G777/I777</f>
        <v/>
      </c>
      <c r="K777">
        <f>IF(J777&gt;=5100,"ставка","мин.ставка")</f>
        <v/>
      </c>
      <c r="L777" s="3">
        <f>ROUND(IF(K777="мин.ставка",I777*100,G777/102*2),2)</f>
        <v/>
      </c>
      <c r="M777" s="5" t="n">
        <v>46282.5</v>
      </c>
      <c r="N777" t="inlineStr">
        <is>
          <t>TravelLine ANA</t>
        </is>
      </c>
      <c r="O777" s="2" t="inlineStr">
        <is>
          <t>УЛУЧШЕННЫЙ ДВУХМЕСТНЫЙ НОМЕР</t>
        </is>
      </c>
      <c r="P777" s="6" t="n"/>
      <c r="R777" t="inlineStr"/>
      <c r="S777" t="inlineStr">
        <is>
          <t>Тариф с завтраком</t>
        </is>
      </c>
      <c r="T777" t="n">
        <v>0</v>
      </c>
      <c r="U777" t="n">
        <v>21976</v>
      </c>
    </row>
    <row r="778">
      <c r="A778" t="inlineStr">
        <is>
          <t>20260806-8186-450640950</t>
        </is>
      </c>
      <c r="B778" t="n">
        <v>1</v>
      </c>
      <c r="C778" s="2" t="inlineStr">
        <is>
          <t>ОЛЬГА СОЛДАТОВА</t>
        </is>
      </c>
      <c r="D778" s="3" t="n">
        <v>28942.5</v>
      </c>
      <c r="E778" s="4" t="n">
        <v>15</v>
      </c>
      <c r="F778" t="inlineStr">
        <is>
          <t>ООО «12Т» (ранее ONE TWO TRIP) [Чайковский]</t>
        </is>
      </c>
      <c r="G778" s="3">
        <f>ROUND(D778/(100-E778)*100,2)</f>
        <v/>
      </c>
      <c r="H778" s="5" t="n">
        <v>46240.58333333334</v>
      </c>
      <c r="I778" t="n">
        <v>3</v>
      </c>
      <c r="J778" s="3">
        <f>G778/I778</f>
        <v/>
      </c>
      <c r="K778">
        <f>IF(J778&gt;=5100,"ставка","мин.ставка")</f>
        <v/>
      </c>
      <c r="L778" s="3">
        <f>ROUND(IF(K778="мин.ставка",I778*100,G778/102*2),2)</f>
        <v/>
      </c>
      <c r="M778" s="5" t="n">
        <v>46243.5</v>
      </c>
      <c r="N778" t="inlineStr">
        <is>
          <t>TravelLine OTT</t>
        </is>
      </c>
      <c r="O778" s="2" t="inlineStr">
        <is>
          <t>СТАНДАРТНЫЙ ДВУХМЕСТНЫЙ НОМЕР</t>
        </is>
      </c>
      <c r="P778" s="6" t="n"/>
      <c r="R778" t="inlineStr"/>
      <c r="S778" t="inlineStr">
        <is>
          <t>Тариф с завтраком</t>
        </is>
      </c>
      <c r="T778" t="n">
        <v>0</v>
      </c>
      <c r="U778" t="n">
        <v>86827.5</v>
      </c>
    </row>
    <row r="779">
      <c r="A779" t="inlineStr">
        <is>
          <t>20260803-8186-441315614</t>
        </is>
      </c>
      <c r="B779" t="n">
        <v>1</v>
      </c>
      <c r="C779" s="2" t="inlineStr">
        <is>
          <t>ОЛЬГА УШАКОВА</t>
        </is>
      </c>
      <c r="D779" s="3" t="n">
        <v>6320</v>
      </c>
      <c r="E779" s="4" t="n">
        <v>20</v>
      </c>
      <c r="F779" t="inlineStr">
        <is>
          <t>ООО "ХБ-ПРО" [Чайковский]</t>
        </is>
      </c>
      <c r="G779" s="3">
        <f>ROUND(D779/(100-E779)*100,2)</f>
        <v/>
      </c>
      <c r="H779" s="5" t="n">
        <v>46237.58333333334</v>
      </c>
      <c r="I779" t="n">
        <v>1</v>
      </c>
      <c r="J779" s="3">
        <f>G779/I779</f>
        <v/>
      </c>
      <c r="K779">
        <f>IF(J779&gt;=5100,"ставка","мин.ставка")</f>
        <v/>
      </c>
      <c r="L779" s="3">
        <f>ROUND(IF(K779="мин.ставка",I779*100,G779/102*2),2)</f>
        <v/>
      </c>
      <c r="M779" s="5" t="n">
        <v>46238.5</v>
      </c>
      <c r="N779" t="inlineStr">
        <is>
          <t>TravelLine UTS</t>
        </is>
      </c>
      <c r="O779" s="2" t="inlineStr">
        <is>
          <t>СТАНДАРТНЫЙ ДВУХМЕСТНЫЙ НОМЕР (МАНСАРДА)</t>
        </is>
      </c>
      <c r="P779" s="6" t="n"/>
      <c r="R779" t="inlineStr"/>
      <c r="S779" t="inlineStr">
        <is>
          <t>Тариф с завтраком</t>
        </is>
      </c>
      <c r="T779" t="n">
        <v>0</v>
      </c>
      <c r="U779" t="n">
        <v>6320</v>
      </c>
    </row>
    <row r="780">
      <c r="A780" t="inlineStr">
        <is>
          <t>20260901-8186-425074158</t>
        </is>
      </c>
      <c r="B780" t="n">
        <v>1</v>
      </c>
      <c r="C780" s="2" t="inlineStr">
        <is>
          <t>Ольга Федрунова, Ирина Федрунова</t>
        </is>
      </c>
      <c r="D780" s="3" t="n">
        <v>30096</v>
      </c>
      <c r="E780" s="4" t="n">
        <v>18</v>
      </c>
      <c r="F780" t="inlineStr">
        <is>
          <t>Яндекс.Путешествия [Чайковский]</t>
        </is>
      </c>
      <c r="G780" s="3">
        <f>ROUND(D780/(100-E780)*100,2)</f>
        <v/>
      </c>
      <c r="H780" s="5" t="n">
        <v>46266.58333333334</v>
      </c>
      <c r="I780" t="n">
        <v>4</v>
      </c>
      <c r="J780" s="3">
        <f>G780/I780</f>
        <v/>
      </c>
      <c r="K780">
        <f>IF(J780&gt;=5100,"ставка","мин.ставка")</f>
        <v/>
      </c>
      <c r="L780" s="3">
        <f>ROUND(IF(K780="мин.ставка",I780*100,G780/102*2),2)</f>
        <v/>
      </c>
      <c r="M780" s="5" t="n">
        <v>46270.5</v>
      </c>
      <c r="N780" t="inlineStr">
        <is>
          <t>TravelLine YAX</t>
        </is>
      </c>
      <c r="O780" s="2" t="inlineStr">
        <is>
          <t>СТАНДАРТНЫЙ ДВУХМЕСТНЫЙ НОМЕР (МАНСАРДА)</t>
        </is>
      </c>
      <c r="P780" s="6" t="n"/>
      <c r="R780" t="inlineStr"/>
      <c r="S780" t="inlineStr">
        <is>
          <t>Тариф с завтраком</t>
        </is>
      </c>
      <c r="T780" t="n">
        <v>0</v>
      </c>
      <c r="U780" t="n">
        <v>30096</v>
      </c>
    </row>
    <row r="781">
      <c r="A781" t="inlineStr">
        <is>
          <t>20260910-8186-427551341</t>
        </is>
      </c>
      <c r="B781" t="n">
        <v>1</v>
      </c>
      <c r="C781" s="2" t="inlineStr">
        <is>
          <t>Ольга Шашкина, Дарья Павлова</t>
        </is>
      </c>
      <c r="D781" s="3" t="n">
        <v>36045</v>
      </c>
      <c r="E781" s="4" t="n">
        <v>0</v>
      </c>
      <c r="F781" t="inlineStr">
        <is>
          <t>Прямые бронирования (стойка) [Чайковский]</t>
        </is>
      </c>
      <c r="G781" s="3">
        <f>ROUND(D781/(100-E781)*100,2)</f>
        <v/>
      </c>
      <c r="H781" s="5" t="n">
        <v>46275.58333333334</v>
      </c>
      <c r="I781" t="n">
        <v>3</v>
      </c>
      <c r="J781" s="3">
        <f>G781/I781</f>
        <v/>
      </c>
      <c r="K781">
        <f>IF(J781&gt;=5100,"ставка","мин.ставка")</f>
        <v/>
      </c>
      <c r="L781" s="3">
        <f>ROUND(IF(K781="мин.ставка",I781*100,G781/102*2),2)</f>
        <v/>
      </c>
      <c r="M781" s="5" t="n">
        <v>46278.5</v>
      </c>
      <c r="N781" t="inlineStr">
        <is>
          <t>TravelLine ресепшн</t>
        </is>
      </c>
      <c r="O781" s="2" t="inlineStr">
        <is>
          <t>СТАНДАРТНЫЙ ДВУХМЕСТНЫЙ НОМЕР</t>
        </is>
      </c>
      <c r="P781" s="6" t="n"/>
      <c r="R781" t="inlineStr"/>
      <c r="S781" t="inlineStr">
        <is>
          <t>Тариф с завтраком</t>
        </is>
      </c>
      <c r="T781" t="n">
        <v>0</v>
      </c>
      <c r="U781" t="n">
        <v>216270</v>
      </c>
    </row>
    <row r="782">
      <c r="A782" t="inlineStr">
        <is>
          <t>20260716-8186-408701650</t>
        </is>
      </c>
      <c r="B782" t="n">
        <v>1</v>
      </c>
      <c r="C782" s="2" t="inlineStr">
        <is>
          <t>ПАВЕЛ БЕЛИЧ, Кристина Углина</t>
        </is>
      </c>
      <c r="D782" s="3" t="n">
        <v>35333</v>
      </c>
      <c r="E782" s="4" t="n">
        <v>4</v>
      </c>
      <c r="F782" t="inlineStr">
        <is>
          <t>TravelLine Booking Engine [Чайковский]</t>
        </is>
      </c>
      <c r="G782" s="3">
        <f>ROUND(D782/(100-E782)*100,2)</f>
        <v/>
      </c>
      <c r="H782" s="5" t="n">
        <v>46219.77083333334</v>
      </c>
      <c r="I782" t="n">
        <v>2</v>
      </c>
      <c r="J782" s="3">
        <f>G782/I782</f>
        <v/>
      </c>
      <c r="K782">
        <f>IF(J782&gt;=5100,"ставка","мин.ставка")</f>
        <v/>
      </c>
      <c r="L782" s="3">
        <f>ROUND(IF(K782="мин.ставка",I782*100,G782/102*2),2)</f>
        <v/>
      </c>
      <c r="M782" s="5" t="n">
        <v>46221.5</v>
      </c>
      <c r="N782" t="inlineStr">
        <is>
          <t>TravelLine сайт</t>
        </is>
      </c>
      <c r="O782" s="2" t="inlineStr">
        <is>
          <t>ЛЮКС</t>
        </is>
      </c>
      <c r="P782" s="6" t="n"/>
      <c r="R782" t="inlineStr"/>
      <c r="S782" t="inlineStr">
        <is>
          <t>Тариф с завтраком</t>
        </is>
      </c>
      <c r="T782" t="n">
        <v>0</v>
      </c>
      <c r="U782" t="n">
        <v>35333</v>
      </c>
    </row>
    <row r="783">
      <c r="A783" t="inlineStr">
        <is>
          <t>20260821-8186-456404204</t>
        </is>
      </c>
      <c r="B783" t="n">
        <v>1</v>
      </c>
      <c r="C783" s="2" t="inlineStr">
        <is>
          <t>Павел Воеводин</t>
        </is>
      </c>
      <c r="D783" s="3" t="n">
        <v>12782</v>
      </c>
      <c r="E783" s="4" t="n">
        <v>18</v>
      </c>
      <c r="F783" t="inlineStr">
        <is>
          <t>Яндекс.Путешествия [Чайковский]</t>
        </is>
      </c>
      <c r="G783" s="3">
        <f>ROUND(D783/(100-E783)*100,2)</f>
        <v/>
      </c>
      <c r="H783" s="5" t="n">
        <v>46255.58333333334</v>
      </c>
      <c r="I783" t="n">
        <v>2</v>
      </c>
      <c r="J783" s="3">
        <f>G783/I783</f>
        <v/>
      </c>
      <c r="K783">
        <f>IF(J783&gt;=5100,"ставка","мин.ставка")</f>
        <v/>
      </c>
      <c r="L783" s="3">
        <f>ROUND(IF(K783="мин.ставка",I783*100,G783/102*2),2)</f>
        <v/>
      </c>
      <c r="M783" s="5" t="n">
        <v>46257.5</v>
      </c>
      <c r="N783" t="inlineStr">
        <is>
          <t>TravelLine YAX</t>
        </is>
      </c>
      <c r="O783" s="2" t="inlineStr">
        <is>
          <t>СТАНДАРТНЫЙ ОДНОМЕСТНЫЙ НОМЕР</t>
        </is>
      </c>
      <c r="P783" s="6" t="n"/>
      <c r="R783" t="inlineStr"/>
      <c r="S783" t="inlineStr">
        <is>
          <t>Тариф с завтраком</t>
        </is>
      </c>
      <c r="T783" t="n">
        <v>0</v>
      </c>
      <c r="U783" t="n">
        <v>12782</v>
      </c>
    </row>
    <row r="784">
      <c r="A784" t="inlineStr">
        <is>
          <t>20260710-8186-447566954</t>
        </is>
      </c>
      <c r="B784" t="n">
        <v>1</v>
      </c>
      <c r="C784" s="2" t="inlineStr">
        <is>
          <t>Павел Глазов, Елена Глазова</t>
        </is>
      </c>
      <c r="D784" s="3" t="n">
        <v>65450</v>
      </c>
      <c r="E784" s="4" t="n">
        <v>0</v>
      </c>
      <c r="F784" t="inlineStr">
        <is>
          <t>ООО "АЛЕАН ОТДЫХ" [Чайковский]</t>
        </is>
      </c>
      <c r="G784" s="3">
        <f>ROUND(D784/(100-E784)*100,2)</f>
        <v/>
      </c>
      <c r="H784" s="5" t="n">
        <v>46213.58333333334</v>
      </c>
      <c r="I784" t="n">
        <v>5</v>
      </c>
      <c r="J784" s="3">
        <f>G784/I784</f>
        <v/>
      </c>
      <c r="K784">
        <f>IF(J784&gt;=5100,"ставка","мин.ставка")</f>
        <v/>
      </c>
      <c r="L784" s="3">
        <f>ROUND(IF(K784="мин.ставка",I784*100,G784/102*2),2)</f>
        <v/>
      </c>
      <c r="M784" s="5" t="n">
        <v>46218.5</v>
      </c>
      <c r="N784" t="inlineStr">
        <is>
          <t>TravelLine ALN</t>
        </is>
      </c>
      <c r="O784" s="2" t="inlineStr">
        <is>
          <t>УЛУЧШЕННЫЙ ДВУХМЕСТНЫЙ НОМЕР</t>
        </is>
      </c>
      <c r="P784" s="6" t="n"/>
      <c r="R784" t="inlineStr"/>
      <c r="S784" t="inlineStr">
        <is>
          <t>Тариф с завтраком</t>
        </is>
      </c>
      <c r="T784" t="n">
        <v>0</v>
      </c>
      <c r="U784" t="n">
        <v>65450</v>
      </c>
    </row>
    <row r="785">
      <c r="A785" t="inlineStr">
        <is>
          <t>20260729-8186-435927071</t>
        </is>
      </c>
      <c r="B785" t="n">
        <v>1</v>
      </c>
      <c r="C785" s="2" t="inlineStr">
        <is>
          <t>Павел Ефимов, АНАСТАСИЯ КУЗЬМИНА</t>
        </is>
      </c>
      <c r="D785" s="3" t="n">
        <v>71200</v>
      </c>
      <c r="E785" s="4" t="n">
        <v>4</v>
      </c>
      <c r="F785" t="inlineStr">
        <is>
          <t>TravelLine Booking Engine [Чайковский]</t>
        </is>
      </c>
      <c r="G785" s="3">
        <f>ROUND(D785/(100-E785)*100,2)</f>
        <v/>
      </c>
      <c r="H785" s="5" t="n">
        <v>46232.58333333334</v>
      </c>
      <c r="I785" t="n">
        <v>4</v>
      </c>
      <c r="J785" s="3">
        <f>G785/I785</f>
        <v/>
      </c>
      <c r="K785">
        <f>IF(J785&gt;=5100,"ставка","мин.ставка")</f>
        <v/>
      </c>
      <c r="L785" s="3">
        <f>ROUND(IF(K785="мин.ставка",I785*100,G785/102*2),2)</f>
        <v/>
      </c>
      <c r="M785" s="5" t="n">
        <v>46236.5</v>
      </c>
      <c r="N785" t="inlineStr">
        <is>
          <t>TravelLine сайт</t>
        </is>
      </c>
      <c r="O785" s="2" t="inlineStr">
        <is>
          <t>ЛЮКС ВТОРОЙ КОРПУС</t>
        </is>
      </c>
      <c r="P785" s="6" t="n"/>
      <c r="R785" t="inlineStr"/>
      <c r="S785" t="inlineStr">
        <is>
          <t>Тариф с завтраком</t>
        </is>
      </c>
      <c r="T785" t="n">
        <v>350</v>
      </c>
      <c r="U785" t="n">
        <v>71550</v>
      </c>
    </row>
    <row r="786">
      <c r="A786" t="inlineStr">
        <is>
          <t>20260808-8186-407846139</t>
        </is>
      </c>
      <c r="B786" t="n">
        <v>1</v>
      </c>
      <c r="C786" s="2" t="inlineStr">
        <is>
          <t>Павел Жуков, Анастасия Алёхина</t>
        </is>
      </c>
      <c r="D786" s="3" t="n">
        <v>16500</v>
      </c>
      <c r="E786" s="4" t="n">
        <v>0</v>
      </c>
      <c r="F786" t="inlineStr">
        <is>
          <t>Прямые бронирования (стойка) [Чайковский]</t>
        </is>
      </c>
      <c r="G786" s="3">
        <f>ROUND(D786/(100-E786)*100,2)</f>
        <v/>
      </c>
      <c r="H786" s="5" t="n">
        <v>46242.58333333334</v>
      </c>
      <c r="I786" t="n">
        <v>1</v>
      </c>
      <c r="J786" s="3">
        <f>G786/I786</f>
        <v/>
      </c>
      <c r="K786">
        <f>IF(J786&gt;=5100,"ставка","мин.ставка")</f>
        <v/>
      </c>
      <c r="L786" s="3">
        <f>ROUND(IF(K786="мин.ставка",I786*100,G786/102*2),2)</f>
        <v/>
      </c>
      <c r="M786" s="5" t="n">
        <v>46243.5</v>
      </c>
      <c r="N786" t="inlineStr">
        <is>
          <t>TravelLine ресепшн</t>
        </is>
      </c>
      <c r="O786" s="2" t="inlineStr">
        <is>
          <t>ПОЛУЛЮКС</t>
        </is>
      </c>
      <c r="P786" s="6" t="n"/>
      <c r="R786" t="inlineStr"/>
      <c r="S786" t="inlineStr">
        <is>
          <t>Тариф с завтраком</t>
        </is>
      </c>
      <c r="T786" t="n">
        <v>0</v>
      </c>
      <c r="U786" t="n">
        <v>16500</v>
      </c>
    </row>
    <row r="787">
      <c r="A787" t="inlineStr">
        <is>
          <t>20260703-8186-447242080</t>
        </is>
      </c>
      <c r="B787" t="n">
        <v>1</v>
      </c>
      <c r="C787" s="2" t="inlineStr">
        <is>
          <t>ПАВЕЛ Карпенко</t>
        </is>
      </c>
      <c r="D787" s="3" t="n">
        <v>9315</v>
      </c>
      <c r="E787" s="4" t="n">
        <v>0</v>
      </c>
      <c r="F787" t="inlineStr">
        <is>
          <t>Прямые бронирования (стойка) [Чайковский]</t>
        </is>
      </c>
      <c r="G787" s="3">
        <f>ROUND(D787/(100-E787)*100,2)</f>
        <v/>
      </c>
      <c r="H787" s="5" t="n">
        <v>46206.58333333334</v>
      </c>
      <c r="I787" t="n">
        <v>1</v>
      </c>
      <c r="J787" s="3">
        <f>G787/I787</f>
        <v/>
      </c>
      <c r="K787">
        <f>IF(J787&gt;=5100,"ставка","мин.ставка")</f>
        <v/>
      </c>
      <c r="L787" s="3">
        <f>ROUND(IF(K787="мин.ставка",I787*100,G787/102*2),2)</f>
        <v/>
      </c>
      <c r="M787" s="5" t="n">
        <v>46207.5</v>
      </c>
      <c r="N787" t="inlineStr">
        <is>
          <t>TravelLine ресепшн</t>
        </is>
      </c>
      <c r="O787" s="2" t="inlineStr">
        <is>
          <t>СЕМЕЙНЫЙ НОМЕР КАТЕГОРИИ "СТАНДАРТ" ВТОРОЙ КОРПУС</t>
        </is>
      </c>
      <c r="P787" s="6" t="n"/>
      <c r="R787" t="inlineStr"/>
      <c r="S787" t="inlineStr">
        <is>
          <t>Тариф с завтраком</t>
        </is>
      </c>
      <c r="T787" t="n">
        <v>0</v>
      </c>
      <c r="U787" t="n">
        <v>9315</v>
      </c>
    </row>
    <row r="788">
      <c r="A788" t="inlineStr">
        <is>
          <t>20260721-8186-451946348</t>
        </is>
      </c>
      <c r="B788" t="n">
        <v>1</v>
      </c>
      <c r="C788" s="2" t="inlineStr">
        <is>
          <t>ПАВЕЛ Карпенко</t>
        </is>
      </c>
      <c r="D788" s="3" t="n">
        <v>14220</v>
      </c>
      <c r="E788" s="4" t="n">
        <v>0</v>
      </c>
      <c r="F788" t="inlineStr">
        <is>
          <t>Прямые бронирования (стойка) [Чайковский]</t>
        </is>
      </c>
      <c r="G788" s="3">
        <f>ROUND(D788/(100-E788)*100,2)</f>
        <v/>
      </c>
      <c r="H788" s="5" t="n">
        <v>46224.58333333334</v>
      </c>
      <c r="I788" t="n">
        <v>1</v>
      </c>
      <c r="J788" s="3">
        <f>G788/I788</f>
        <v/>
      </c>
      <c r="K788">
        <f>IF(J788&gt;=5100,"ставка","мин.ставка")</f>
        <v/>
      </c>
      <c r="L788" s="3">
        <f>ROUND(IF(K788="мин.ставка",I788*100,G788/102*2),2)</f>
        <v/>
      </c>
      <c r="M788" s="5" t="n">
        <v>46225.5</v>
      </c>
      <c r="N788" t="inlineStr">
        <is>
          <t>TravelLine ресепшн</t>
        </is>
      </c>
      <c r="O788" s="2" t="inlineStr">
        <is>
          <t>ЛЮКС ВТОРОЙ КОРПУС</t>
        </is>
      </c>
      <c r="P788" s="6" t="n"/>
      <c r="R788" t="inlineStr"/>
      <c r="S788" t="inlineStr">
        <is>
          <t>Тариф с завтраком</t>
        </is>
      </c>
      <c r="T788" t="n">
        <v>0</v>
      </c>
      <c r="U788" t="n">
        <v>14220</v>
      </c>
    </row>
    <row r="789">
      <c r="A789" t="inlineStr">
        <is>
          <t>20260807-8186-456585118</t>
        </is>
      </c>
      <c r="B789" t="n">
        <v>1</v>
      </c>
      <c r="C789" s="2" t="inlineStr">
        <is>
          <t>ПАВЕЛ Карпенко</t>
        </is>
      </c>
      <c r="D789" s="3" t="n">
        <v>14220</v>
      </c>
      <c r="E789" s="4" t="n">
        <v>0</v>
      </c>
      <c r="F789" t="inlineStr">
        <is>
          <t>Прямые бронирования (стойка) [Чайковский]</t>
        </is>
      </c>
      <c r="G789" s="3">
        <f>ROUND(D789/(100-E789)*100,2)</f>
        <v/>
      </c>
      <c r="H789" s="5" t="n">
        <v>46241.58333333334</v>
      </c>
      <c r="I789" t="n">
        <v>1</v>
      </c>
      <c r="J789" s="3">
        <f>G789/I789</f>
        <v/>
      </c>
      <c r="K789">
        <f>IF(J789&gt;=5100,"ставка","мин.ставка")</f>
        <v/>
      </c>
      <c r="L789" s="3">
        <f>ROUND(IF(K789="мин.ставка",I789*100,G789/102*2),2)</f>
        <v/>
      </c>
      <c r="M789" s="5" t="n">
        <v>46242.5</v>
      </c>
      <c r="N789" t="inlineStr">
        <is>
          <t>TravelLine ресепшн</t>
        </is>
      </c>
      <c r="O789" s="2" t="inlineStr">
        <is>
          <t>ЛЮКС ВТОРОЙ КОРПУС</t>
        </is>
      </c>
      <c r="P789" s="6" t="n"/>
      <c r="R789" t="inlineStr"/>
      <c r="S789" t="inlineStr">
        <is>
          <t>Тариф с завтраком</t>
        </is>
      </c>
      <c r="T789" t="n">
        <v>0</v>
      </c>
      <c r="U789" t="n">
        <v>14220</v>
      </c>
    </row>
    <row r="790">
      <c r="A790" t="inlineStr">
        <is>
          <t>20260917-8186-466595912</t>
        </is>
      </c>
      <c r="B790" t="n">
        <v>1</v>
      </c>
      <c r="C790" s="2" t="inlineStr">
        <is>
          <t>ПАВЕЛ Карпенко</t>
        </is>
      </c>
      <c r="D790" s="3" t="n">
        <v>14450</v>
      </c>
      <c r="E790" s="4" t="n">
        <v>0</v>
      </c>
      <c r="F790" t="inlineStr">
        <is>
          <t>Прямые бронирования (стойка) [Чайковский]</t>
        </is>
      </c>
      <c r="G790" s="3">
        <f>ROUND(D790/(100-E790)*100,2)</f>
        <v/>
      </c>
      <c r="H790" s="5" t="n">
        <v>46282.58333333334</v>
      </c>
      <c r="I790" t="n">
        <v>1</v>
      </c>
      <c r="J790" s="3">
        <f>G790/I790</f>
        <v/>
      </c>
      <c r="K790">
        <f>IF(J790&gt;=5100,"ставка","мин.ставка")</f>
        <v/>
      </c>
      <c r="L790" s="3">
        <f>ROUND(IF(K790="мин.ставка",I790*100,G790/102*2),2)</f>
        <v/>
      </c>
      <c r="M790" s="5" t="n">
        <v>46283.5</v>
      </c>
      <c r="N790" t="inlineStr">
        <is>
          <t>TravelLine ресепшн</t>
        </is>
      </c>
      <c r="O790" s="2" t="inlineStr">
        <is>
          <t>СЕМЕЙНЫЙ НОМЕР КАТЕГОРИИ "СТАНДАРТ" ВТОРОЙ КОРПУС</t>
        </is>
      </c>
      <c r="P790" s="6" t="n"/>
      <c r="R790" t="inlineStr"/>
      <c r="S790" t="inlineStr">
        <is>
          <t>Тариф с завтраком</t>
        </is>
      </c>
      <c r="T790" t="n">
        <v>0</v>
      </c>
      <c r="U790" t="n">
        <v>14450</v>
      </c>
    </row>
    <row r="791">
      <c r="A791" t="inlineStr">
        <is>
          <t>20260901-8186-421878685</t>
        </is>
      </c>
      <c r="B791" t="n">
        <v>1</v>
      </c>
      <c r="C791" s="2" t="inlineStr">
        <is>
          <t>ПАВЕЛ ЛОГИНОВ, ФИЛИПП ЛОГИНОВ</t>
        </is>
      </c>
      <c r="D791" s="3" t="n">
        <v>45390</v>
      </c>
      <c r="E791" s="4" t="n">
        <v>0</v>
      </c>
      <c r="F791" t="inlineStr">
        <is>
          <t>ООО "АЛЕАН ОТДЫХ" [Чайковский]</t>
        </is>
      </c>
      <c r="G791" s="3">
        <f>ROUND(D791/(100-E791)*100,2)</f>
        <v/>
      </c>
      <c r="H791" s="5" t="n">
        <v>46266.58333333334</v>
      </c>
      <c r="I791" t="n">
        <v>4</v>
      </c>
      <c r="J791" s="3">
        <f>G791/I791</f>
        <v/>
      </c>
      <c r="K791">
        <f>IF(J791&gt;=5100,"ставка","мин.ставка")</f>
        <v/>
      </c>
      <c r="L791" s="3">
        <f>ROUND(IF(K791="мин.ставка",I791*100,G791/102*2),2)</f>
        <v/>
      </c>
      <c r="M791" s="5" t="n">
        <v>46270.5</v>
      </c>
      <c r="N791" t="inlineStr">
        <is>
          <t>TravelLine ALN</t>
        </is>
      </c>
      <c r="O791" s="2" t="inlineStr">
        <is>
          <t>СТАНДАРТНЫЙ ДВУХМЕСТНЫЙ НОМЕР</t>
        </is>
      </c>
      <c r="P791" s="6" t="n"/>
      <c r="R791" t="inlineStr"/>
      <c r="S791" t="inlineStr">
        <is>
          <t>Тариф с завтраком</t>
        </is>
      </c>
      <c r="T791" t="n">
        <v>0</v>
      </c>
      <c r="U791" t="n">
        <v>45390</v>
      </c>
    </row>
    <row r="792">
      <c r="A792" t="inlineStr">
        <is>
          <t>20260718-8186-433966251</t>
        </is>
      </c>
      <c r="B792" t="n">
        <v>1</v>
      </c>
      <c r="C792" s="2" t="inlineStr">
        <is>
          <t>Павел Рыбальский, ОКСАНА РЫБАЛЬСКАЯ</t>
        </is>
      </c>
      <c r="D792" s="3" t="n">
        <v>14922.6</v>
      </c>
      <c r="E792" s="4" t="n">
        <v>4</v>
      </c>
      <c r="F792" t="inlineStr">
        <is>
          <t>TravelLine Booking Engine [Чайковский]</t>
        </is>
      </c>
      <c r="G792" s="3">
        <f>ROUND(D792/(100-E792)*100,2)</f>
        <v/>
      </c>
      <c r="H792" s="5" t="n">
        <v>46227.58333333334</v>
      </c>
      <c r="I792" t="n">
        <v>1</v>
      </c>
      <c r="J792" s="3">
        <f>G792/I792</f>
        <v/>
      </c>
      <c r="K792">
        <f>IF(J792&gt;=5100,"ставка","мин.ставка")</f>
        <v/>
      </c>
      <c r="L792" s="3">
        <f>ROUND(IF(K792="мин.ставка",I792*100,G792/102*2),2)</f>
        <v/>
      </c>
      <c r="M792" s="5" t="n">
        <v>46228.5</v>
      </c>
      <c r="N792" t="inlineStr">
        <is>
          <t>TravelLine сайт</t>
        </is>
      </c>
      <c r="O792" s="2" t="inlineStr">
        <is>
          <t>УЛУЧШЕННЫЙ ДВУХМЕСТНЫЙ НОМЕР</t>
        </is>
      </c>
      <c r="P792" s="6" t="n"/>
      <c r="R792" t="inlineStr"/>
      <c r="S792" t="inlineStr">
        <is>
          <t>Тариф с завтраком</t>
        </is>
      </c>
      <c r="T792" t="n">
        <v>0</v>
      </c>
      <c r="U792" t="n">
        <v>14922.6</v>
      </c>
    </row>
    <row r="793">
      <c r="A793" t="inlineStr">
        <is>
          <t>20260912-8186-460732993</t>
        </is>
      </c>
      <c r="B793" t="n">
        <v>1</v>
      </c>
      <c r="C793" s="2" t="inlineStr">
        <is>
          <t>Павел Свобода, Софья Суродина</t>
        </is>
      </c>
      <c r="D793" s="3" t="n">
        <v>13200</v>
      </c>
      <c r="E793" s="4" t="n">
        <v>20</v>
      </c>
      <c r="F793" t="inlineStr">
        <is>
          <t>ООО "КОМПАНИЯ БРОНЕВИК" [Чайковский]</t>
        </is>
      </c>
      <c r="G793" s="3">
        <f>ROUND(D793/(100-E793)*100,2)</f>
        <v/>
      </c>
      <c r="H793" s="5" t="n">
        <v>46277.58333333334</v>
      </c>
      <c r="I793" t="n">
        <v>1</v>
      </c>
      <c r="J793" s="3">
        <f>G793/I793</f>
        <v/>
      </c>
      <c r="K793">
        <f>IF(J793&gt;=5100,"ставка","мин.ставка")</f>
        <v/>
      </c>
      <c r="L793" s="3">
        <f>ROUND(IF(K793="мин.ставка",I793*100,G793/102*2),2)</f>
        <v/>
      </c>
      <c r="M793" s="5" t="n">
        <v>46278.5</v>
      </c>
      <c r="N793" t="inlineStr">
        <is>
          <t>TravelLine BR2</t>
        </is>
      </c>
      <c r="O793" s="2" t="inlineStr">
        <is>
          <t>ПОЛУЛЮКС</t>
        </is>
      </c>
      <c r="P793" s="6" t="n"/>
      <c r="R793" t="inlineStr"/>
      <c r="S793" t="inlineStr">
        <is>
          <t>Тариф с завтраком</t>
        </is>
      </c>
      <c r="T793" t="n">
        <v>0</v>
      </c>
      <c r="U793" t="n">
        <v>13200</v>
      </c>
    </row>
    <row r="794">
      <c r="A794" t="inlineStr">
        <is>
          <t>20260720-8186-448843941</t>
        </is>
      </c>
      <c r="B794" t="n">
        <v>1</v>
      </c>
      <c r="C794" s="2" t="inlineStr">
        <is>
          <t>Павел Субботин, ЛУИЗА СУББОТИНА, МИХАИЛ СУББОТИН</t>
        </is>
      </c>
      <c r="D794" s="3" t="n">
        <v>27194.5</v>
      </c>
      <c r="E794" s="4" t="n">
        <v>4</v>
      </c>
      <c r="F794" t="inlineStr">
        <is>
          <t>TravelLine Booking Engine [Чайковский]</t>
        </is>
      </c>
      <c r="G794" s="3">
        <f>ROUND(D794/(100-E794)*100,2)</f>
        <v/>
      </c>
      <c r="H794" s="5" t="n">
        <v>46223.58333333334</v>
      </c>
      <c r="I794" t="n">
        <v>2</v>
      </c>
      <c r="J794" s="3">
        <f>G794/I794</f>
        <v/>
      </c>
      <c r="K794">
        <f>IF(J794&gt;=5100,"ставка","мин.ставка")</f>
        <v/>
      </c>
      <c r="L794" s="3">
        <f>ROUND(IF(K794="мин.ставка",I794*100,G794/102*2),2)</f>
        <v/>
      </c>
      <c r="M794" s="5" t="n">
        <v>46225.5</v>
      </c>
      <c r="N794" t="inlineStr">
        <is>
          <t>TravelLine сайт</t>
        </is>
      </c>
      <c r="O794" s="2" t="inlineStr">
        <is>
          <t>СЕМЕЙНЫЙ НОМЕР КАТЕГОРИИ "СТАНДАРТ" ВТОРОЙ КОРПУС</t>
        </is>
      </c>
      <c r="P794" s="6" t="n"/>
      <c r="R794" t="inlineStr"/>
      <c r="S794" t="inlineStr">
        <is>
          <t>Тариф с завтраком</t>
        </is>
      </c>
      <c r="T794" t="n">
        <v>0</v>
      </c>
      <c r="U794" t="n">
        <v>27194.5</v>
      </c>
    </row>
    <row r="795">
      <c r="A795" t="inlineStr">
        <is>
          <t>20260810-8186-414060341</t>
        </is>
      </c>
      <c r="B795" t="n">
        <v>1</v>
      </c>
      <c r="C795" s="2" t="inlineStr">
        <is>
          <t>Павел Токарев, Кристина Банникова</t>
        </is>
      </c>
      <c r="D795" s="3" t="n">
        <v>14774</v>
      </c>
      <c r="E795" s="4" t="n">
        <v>17</v>
      </c>
      <c r="F795" t="inlineStr">
        <is>
          <t>ООО «Интернет Трэвел» (OZON) [Чайковский]</t>
        </is>
      </c>
      <c r="G795" s="3">
        <f>ROUND(D795/(100-E795)*100,2)</f>
        <v/>
      </c>
      <c r="H795" s="5" t="n">
        <v>46244.58333333334</v>
      </c>
      <c r="I795" t="n">
        <v>1</v>
      </c>
      <c r="J795" s="3">
        <f>G795/I795</f>
        <v/>
      </c>
      <c r="K795">
        <f>IF(J795&gt;=5100,"ставка","мин.ставка")</f>
        <v/>
      </c>
      <c r="L795" s="3">
        <f>ROUND(IF(K795="мин.ставка",I795*100,G795/102*2),2)</f>
        <v/>
      </c>
      <c r="M795" s="5" t="n">
        <v>46245.5</v>
      </c>
      <c r="N795" t="inlineStr">
        <is>
          <t>TravelLine OZ2</t>
        </is>
      </c>
      <c r="O795" s="2" t="inlineStr">
        <is>
          <t>ЛЮКС</t>
        </is>
      </c>
      <c r="P795" s="6" t="n"/>
      <c r="R795" t="inlineStr"/>
      <c r="S795" t="inlineStr">
        <is>
          <t>Тариф с завтраком</t>
        </is>
      </c>
      <c r="T795" t="n">
        <v>0</v>
      </c>
      <c r="U795" t="n">
        <v>14774</v>
      </c>
    </row>
    <row r="796">
      <c r="A796" t="inlineStr">
        <is>
          <t>20260708-8186-447095510</t>
        </is>
      </c>
      <c r="B796" t="n">
        <v>1</v>
      </c>
      <c r="C796" s="2" t="inlineStr">
        <is>
          <t>ПАВЛЕ ЕЛИСЕЕВ, Ольга Елисеева</t>
        </is>
      </c>
      <c r="D796" s="3" t="n">
        <v>18160</v>
      </c>
      <c r="E796" s="4" t="n">
        <v>20</v>
      </c>
      <c r="F796" t="inlineStr">
        <is>
          <t>ООО "КОМПАНИЯ БРОНЕВИК" [Чайковский]</t>
        </is>
      </c>
      <c r="G796" s="3">
        <f>ROUND(D796/(100-E796)*100,2)</f>
        <v/>
      </c>
      <c r="H796" s="5" t="n">
        <v>46211.58333333334</v>
      </c>
      <c r="I796" t="n">
        <v>2</v>
      </c>
      <c r="J796" s="3">
        <f>G796/I796</f>
        <v/>
      </c>
      <c r="K796">
        <f>IF(J796&gt;=5100,"ставка","мин.ставка")</f>
        <v/>
      </c>
      <c r="L796" s="3">
        <f>ROUND(IF(K796="мин.ставка",I796*100,G796/102*2),2)</f>
        <v/>
      </c>
      <c r="M796" s="5" t="n">
        <v>46213.5</v>
      </c>
      <c r="N796" t="inlineStr">
        <is>
          <t>TravelLine BR2</t>
        </is>
      </c>
      <c r="O796" s="2" t="inlineStr">
        <is>
          <t>СТАНДАРТНЫЙ ДВУХМЕСТНЫЙ НОМЕР</t>
        </is>
      </c>
      <c r="P796" s="6" t="n"/>
      <c r="R796" t="inlineStr"/>
      <c r="S796" t="inlineStr">
        <is>
          <t>Тариф с завтраком</t>
        </is>
      </c>
      <c r="T796" t="n">
        <v>4000</v>
      </c>
      <c r="U796" t="n">
        <v>22160</v>
      </c>
    </row>
    <row r="797">
      <c r="A797" t="inlineStr">
        <is>
          <t>20260711-8186-411332065</t>
        </is>
      </c>
      <c r="B797" t="n">
        <v>1</v>
      </c>
      <c r="C797" s="2" t="inlineStr">
        <is>
          <t>Петр Качкаев, Олеся Громовая</t>
        </is>
      </c>
      <c r="D797" s="3" t="n">
        <v>10680</v>
      </c>
      <c r="E797" s="4" t="n">
        <v>0</v>
      </c>
      <c r="F797" t="inlineStr">
        <is>
          <t>Прямые бронирования (стойка) [Чайковский]</t>
        </is>
      </c>
      <c r="G797" s="3">
        <f>ROUND(D797/(100-E797)*100,2)</f>
        <v/>
      </c>
      <c r="H797" s="5" t="n">
        <v>46214.58333333334</v>
      </c>
      <c r="I797" t="n">
        <v>1</v>
      </c>
      <c r="J797" s="3">
        <f>G797/I797</f>
        <v/>
      </c>
      <c r="K797">
        <f>IF(J797&gt;=5100,"ставка","мин.ставка")</f>
        <v/>
      </c>
      <c r="L797" s="3">
        <f>ROUND(IF(K797="мин.ставка",I797*100,G797/102*2),2)</f>
        <v/>
      </c>
      <c r="M797" s="5" t="n">
        <v>46215.5</v>
      </c>
      <c r="N797" t="inlineStr">
        <is>
          <t>TravelLine ресепшн</t>
        </is>
      </c>
      <c r="O797" s="2" t="inlineStr">
        <is>
          <t>СТАНДАРТНЫЙ ДВУХМЕСТНЫЙ НОМЕР</t>
        </is>
      </c>
      <c r="P797" s="6" t="n"/>
      <c r="R797" t="inlineStr"/>
      <c r="S797" t="inlineStr">
        <is>
          <t>Тариф с завтраком</t>
        </is>
      </c>
      <c r="T797" t="n">
        <v>0</v>
      </c>
      <c r="U797" t="n">
        <v>10680</v>
      </c>
    </row>
    <row r="798">
      <c r="A798" t="inlineStr">
        <is>
          <t>20260709-8186-448291072</t>
        </is>
      </c>
      <c r="B798" t="n">
        <v>1</v>
      </c>
      <c r="C798" s="2" t="inlineStr">
        <is>
          <t>ПЛАМЕН ДОБЫЧИН</t>
        </is>
      </c>
      <c r="D798" s="3" t="n">
        <v>6557</v>
      </c>
      <c r="E798" s="4" t="n">
        <v>0</v>
      </c>
      <c r="F798" t="inlineStr">
        <is>
          <t>Прямые бронирования (стойка) [Чайковский]</t>
        </is>
      </c>
      <c r="G798" s="3">
        <f>ROUND(D798/(100-E798)*100,2)</f>
        <v/>
      </c>
      <c r="H798" s="5" t="n">
        <v>46212.58333333334</v>
      </c>
      <c r="I798" t="n">
        <v>1</v>
      </c>
      <c r="J798" s="3">
        <f>G798/I798</f>
        <v/>
      </c>
      <c r="K798">
        <f>IF(J798&gt;=5100,"ставка","мин.ставка")</f>
        <v/>
      </c>
      <c r="L798" s="3">
        <f>ROUND(IF(K798="мин.ставка",I798*100,G798/102*2),2)</f>
        <v/>
      </c>
      <c r="M798" s="5" t="n">
        <v>46213.5</v>
      </c>
      <c r="N798" t="inlineStr">
        <is>
          <t>TravelLine CMB</t>
        </is>
      </c>
      <c r="O798" s="2" t="inlineStr">
        <is>
          <t>СТАНДАРТНЫЙ ДВУХМЕСТНЫЙ НОМЕР (МАНСАРДА)</t>
        </is>
      </c>
      <c r="P798" s="6" t="n"/>
      <c r="R798" t="inlineStr"/>
      <c r="S798" t="inlineStr">
        <is>
          <t>Тариф с завтраком</t>
        </is>
      </c>
      <c r="T798" t="n">
        <v>0</v>
      </c>
      <c r="U798" t="n">
        <v>6557</v>
      </c>
    </row>
    <row r="799">
      <c r="A799" t="inlineStr">
        <is>
          <t>20260904-8186-463419173</t>
        </is>
      </c>
      <c r="B799" t="n">
        <v>1</v>
      </c>
      <c r="C799" s="2" t="inlineStr">
        <is>
          <t>Полина Аксиненко</t>
        </is>
      </c>
      <c r="D799" s="3" t="n">
        <v>56280</v>
      </c>
      <c r="E799" s="4" t="n">
        <v>16</v>
      </c>
      <c r="F799" t="inlineStr">
        <is>
          <t>ООО "БРОНИРОВАНИЕ ГОСТИНИЦ" (OSTROVOK) [Чайковский]</t>
        </is>
      </c>
      <c r="G799" s="3">
        <f>ROUND(D799/(100-E799)*100,2)</f>
        <v/>
      </c>
      <c r="H799" s="5" t="n">
        <v>46269.58333333334</v>
      </c>
      <c r="I799" t="n">
        <v>5</v>
      </c>
      <c r="J799" s="3">
        <f>G799/I799</f>
        <v/>
      </c>
      <c r="K799">
        <f>IF(J799&gt;=5100,"ставка","мин.ставка")</f>
        <v/>
      </c>
      <c r="L799" s="3">
        <f>ROUND(IF(K799="мин.ставка",I799*100,G799/102*2),2)</f>
        <v/>
      </c>
      <c r="M799" s="5" t="n">
        <v>46274.5</v>
      </c>
      <c r="N799" t="inlineStr">
        <is>
          <t>TravelLine OTK</t>
        </is>
      </c>
      <c r="O799" s="2" t="inlineStr">
        <is>
          <t>УЛУЧШЕННЫЙ ДВУХМЕСТНЫЙ НОМЕР</t>
        </is>
      </c>
      <c r="P799" s="6" t="n"/>
      <c r="R799" t="inlineStr"/>
      <c r="S799" t="inlineStr">
        <is>
          <t>Тариф с завтраком</t>
        </is>
      </c>
      <c r="T799" t="n">
        <v>0</v>
      </c>
      <c r="U799" t="n">
        <v>56280</v>
      </c>
    </row>
    <row r="800">
      <c r="A800" t="inlineStr">
        <is>
          <t>20260828-8186-461460335</t>
        </is>
      </c>
      <c r="B800" t="n">
        <v>1</v>
      </c>
      <c r="C800" s="2" t="inlineStr">
        <is>
          <t>Полина Аксиненко</t>
        </is>
      </c>
      <c r="D800" s="3" t="n">
        <v>28602</v>
      </c>
      <c r="E800" s="4" t="n">
        <v>16</v>
      </c>
      <c r="F800" t="inlineStr">
        <is>
          <t>ООО "БРОНИРОВАНИЕ ГОСТИНИЦ" (OSTROVOK) [Чайковский]</t>
        </is>
      </c>
      <c r="G800" s="3">
        <f>ROUND(D800/(100-E800)*100,2)</f>
        <v/>
      </c>
      <c r="H800" s="5" t="n">
        <v>46262.58333333334</v>
      </c>
      <c r="I800" t="n">
        <v>3</v>
      </c>
      <c r="J800" s="3">
        <f>G800/I800</f>
        <v/>
      </c>
      <c r="K800">
        <f>IF(J800&gt;=5100,"ставка","мин.ставка")</f>
        <v/>
      </c>
      <c r="L800" s="3">
        <f>ROUND(IF(K800="мин.ставка",I800*100,G800/102*2),2)</f>
        <v/>
      </c>
      <c r="M800" s="5" t="n">
        <v>46265.5</v>
      </c>
      <c r="N800" t="inlineStr">
        <is>
          <t>TravelLine OTK</t>
        </is>
      </c>
      <c r="O800" s="2" t="inlineStr">
        <is>
          <t>ПОЛУЛЮКС</t>
        </is>
      </c>
      <c r="P800" s="6" t="n"/>
      <c r="R800" t="inlineStr"/>
      <c r="S800" t="inlineStr">
        <is>
          <t>Тариф с завтраком</t>
        </is>
      </c>
      <c r="T800" t="n">
        <v>0</v>
      </c>
      <c r="U800" t="n">
        <v>28602</v>
      </c>
    </row>
    <row r="801">
      <c r="A801" t="inlineStr">
        <is>
          <t>20260913-8186-464324763</t>
        </is>
      </c>
      <c r="B801" t="n">
        <v>1</v>
      </c>
      <c r="C801" s="2" t="inlineStr">
        <is>
          <t>Рамазан Ибрагимов, Евгения Ибрагимова</t>
        </is>
      </c>
      <c r="D801" s="3" t="n">
        <v>53133</v>
      </c>
      <c r="E801" s="4" t="n">
        <v>4</v>
      </c>
      <c r="F801" t="inlineStr">
        <is>
          <t>TravelLine Booking Engine [Чайковский]</t>
        </is>
      </c>
      <c r="G801" s="3">
        <f>ROUND(D801/(100-E801)*100,2)</f>
        <v/>
      </c>
      <c r="H801" s="5" t="n">
        <v>46278.58333333334</v>
      </c>
      <c r="I801" t="n">
        <v>3</v>
      </c>
      <c r="J801" s="3">
        <f>G801/I801</f>
        <v/>
      </c>
      <c r="K801">
        <f>IF(J801&gt;=5100,"ставка","мин.ставка")</f>
        <v/>
      </c>
      <c r="L801" s="3">
        <f>ROUND(IF(K801="мин.ставка",I801*100,G801/102*2),2)</f>
        <v/>
      </c>
      <c r="M801" s="5" t="n">
        <v>46281.5</v>
      </c>
      <c r="N801" t="inlineStr">
        <is>
          <t>TravelLine сайт</t>
        </is>
      </c>
      <c r="O801" s="2" t="inlineStr">
        <is>
          <t>ЛЮКС ВТОРОЙ КОРПУС</t>
        </is>
      </c>
      <c r="P801" s="6" t="n"/>
      <c r="R801" t="inlineStr"/>
      <c r="S801" t="inlineStr">
        <is>
          <t>Тариф с завтраком</t>
        </is>
      </c>
      <c r="T801" t="n">
        <v>0</v>
      </c>
      <c r="U801" t="n">
        <v>53133</v>
      </c>
    </row>
    <row r="802">
      <c r="A802" t="inlineStr">
        <is>
          <t>20260715-8186-403957014</t>
        </is>
      </c>
      <c r="B802" t="n">
        <v>1</v>
      </c>
      <c r="C802" s="2" t="inlineStr">
        <is>
          <t>Раушания Камалова</t>
        </is>
      </c>
      <c r="D802" s="3" t="n">
        <v>23502.5</v>
      </c>
      <c r="E802" s="4" t="n">
        <v>4</v>
      </c>
      <c r="F802" t="inlineStr">
        <is>
          <t>TravelLine Booking Engine [Чайковский]</t>
        </is>
      </c>
      <c r="G802" s="3">
        <f>ROUND(D802/(100-E802)*100,2)</f>
        <v/>
      </c>
      <c r="H802" s="5" t="n">
        <v>46218.58333333334</v>
      </c>
      <c r="I802" t="n">
        <v>3</v>
      </c>
      <c r="J802" s="3">
        <f>G802/I802</f>
        <v/>
      </c>
      <c r="K802">
        <f>IF(J802&gt;=5100,"ставка","мин.ставка")</f>
        <v/>
      </c>
      <c r="L802" s="3">
        <f>ROUND(IF(K802="мин.ставка",I802*100,G802/102*2),2)</f>
        <v/>
      </c>
      <c r="M802" s="5" t="n">
        <v>46221.5</v>
      </c>
      <c r="N802" t="inlineStr">
        <is>
          <t>TravelLine сайт</t>
        </is>
      </c>
      <c r="O802" s="2" t="inlineStr">
        <is>
          <t>СТАНДАРТНЫЙ ДВУХМЕСТНЫЙ НОМЕР (МАНСАРДА)</t>
        </is>
      </c>
      <c r="P802" s="6" t="n"/>
      <c r="R802" t="inlineStr"/>
      <c r="S802" t="inlineStr">
        <is>
          <t>Тариф с завтраком</t>
        </is>
      </c>
      <c r="T802" t="n">
        <v>0</v>
      </c>
      <c r="U802" t="n">
        <v>23502.5</v>
      </c>
    </row>
    <row r="803">
      <c r="A803" t="inlineStr">
        <is>
          <t>20260913-8186-458347426</t>
        </is>
      </c>
      <c r="B803" t="n">
        <v>1</v>
      </c>
      <c r="C803" s="2" t="inlineStr">
        <is>
          <t>Регина Гирфанова</t>
        </is>
      </c>
      <c r="D803" s="3" t="n">
        <v>66738</v>
      </c>
      <c r="E803" s="4" t="n">
        <v>16</v>
      </c>
      <c r="F803" t="inlineStr">
        <is>
          <t>ООО "БРОНИРОВАНИЕ ГОСТИНИЦ" (OSTROVOK) [Чайковский]</t>
        </is>
      </c>
      <c r="G803" s="3">
        <f>ROUND(D803/(100-E803)*100,2)</f>
        <v/>
      </c>
      <c r="H803" s="5" t="n">
        <v>46278.58333333334</v>
      </c>
      <c r="I803" t="n">
        <v>7</v>
      </c>
      <c r="J803" s="3">
        <f>G803/I803</f>
        <v/>
      </c>
      <c r="K803">
        <f>IF(J803&gt;=5100,"ставка","мин.ставка")</f>
        <v/>
      </c>
      <c r="L803" s="3">
        <f>ROUND(IF(K803="мин.ставка",I803*100,G803/102*2),2)</f>
        <v/>
      </c>
      <c r="M803" s="5" t="n">
        <v>46285.5</v>
      </c>
      <c r="N803" t="inlineStr">
        <is>
          <t>TravelLine OTK</t>
        </is>
      </c>
      <c r="O803" s="2" t="inlineStr">
        <is>
          <t>СТАНДАРТНЫЙ ДВУХМЕСТНЫЙ НОМЕР</t>
        </is>
      </c>
      <c r="P803" s="6" t="n"/>
      <c r="R803" t="inlineStr"/>
      <c r="S803" t="inlineStr">
        <is>
          <t>Тариф с завтраком</t>
        </is>
      </c>
      <c r="T803" t="n">
        <v>0</v>
      </c>
      <c r="U803" t="n">
        <v>66738</v>
      </c>
    </row>
    <row r="804">
      <c r="A804" t="inlineStr">
        <is>
          <t>20260820-8186-455722511</t>
        </is>
      </c>
      <c r="B804" t="n">
        <v>1</v>
      </c>
      <c r="C804" s="2" t="inlineStr">
        <is>
          <t>РИНАТ ТЕМИРБУЛАТОВ</t>
        </is>
      </c>
      <c r="D804" s="3" t="n">
        <v>9080</v>
      </c>
      <c r="E804" s="4" t="n">
        <v>20</v>
      </c>
      <c r="F804" t="inlineStr">
        <is>
          <t>ООО "ХБ-ПРО" [Чайковский]</t>
        </is>
      </c>
      <c r="G804" s="3">
        <f>ROUND(D804/(100-E804)*100,2)</f>
        <v/>
      </c>
      <c r="H804" s="5" t="n">
        <v>46254.58333333334</v>
      </c>
      <c r="I804" t="n">
        <v>1</v>
      </c>
      <c r="J804" s="3">
        <f>G804/I804</f>
        <v/>
      </c>
      <c r="K804">
        <f>IF(J804&gt;=5100,"ставка","мин.ставка")</f>
        <v/>
      </c>
      <c r="L804" s="3">
        <f>ROUND(IF(K804="мин.ставка",I804*100,G804/102*2),2)</f>
        <v/>
      </c>
      <c r="M804" s="5" t="n">
        <v>46255.5</v>
      </c>
      <c r="N804" t="inlineStr">
        <is>
          <t>TravelLine UTS</t>
        </is>
      </c>
      <c r="O804" s="2" t="inlineStr">
        <is>
          <t>СТАНДАРТНЫЙ ДВУХМЕСТНЫЙ НОМЕР</t>
        </is>
      </c>
      <c r="P804" s="6" t="n"/>
      <c r="R804" t="inlineStr"/>
      <c r="S804" t="inlineStr">
        <is>
          <t>Тариф с завтраком</t>
        </is>
      </c>
      <c r="T804" t="n">
        <v>0</v>
      </c>
      <c r="U804" t="n">
        <v>9080</v>
      </c>
    </row>
    <row r="805">
      <c r="A805" t="inlineStr">
        <is>
          <t>20260930-8186-468223714</t>
        </is>
      </c>
      <c r="B805" t="n">
        <v>1</v>
      </c>
      <c r="C805" s="2" t="inlineStr">
        <is>
          <t>Розалия Рыбина</t>
        </is>
      </c>
      <c r="D805" s="3" t="n">
        <v>17056</v>
      </c>
      <c r="E805" s="4" t="n">
        <v>18</v>
      </c>
      <c r="F805" t="inlineStr">
        <is>
          <t>ООО "Эй энд Эй" [Чайковский]</t>
        </is>
      </c>
      <c r="G805" s="3">
        <f>ROUND(D805/(100-E805)*100,2)</f>
        <v/>
      </c>
      <c r="H805" s="5" t="n">
        <v>46295.58333333334</v>
      </c>
      <c r="I805" t="n">
        <v>2</v>
      </c>
      <c r="J805" s="3">
        <f>G805/I805</f>
        <v/>
      </c>
      <c r="K805">
        <f>IF(J805&gt;=5100,"ставка","мин.ставка")</f>
        <v/>
      </c>
      <c r="L805" s="3">
        <f>ROUND(IF(K805="мин.ставка",I805*100,G805/102*2),2)</f>
        <v/>
      </c>
      <c r="M805" s="5" t="n">
        <v>46297.5</v>
      </c>
      <c r="N805" t="inlineStr">
        <is>
          <t>TravelLine ANA</t>
        </is>
      </c>
      <c r="O805" s="2" t="inlineStr">
        <is>
          <t>СТАНДАРТНЫЙ ДВУХМЕСТНЫЙ НОМЕР</t>
        </is>
      </c>
      <c r="P805" s="6" t="n"/>
      <c r="R805" t="inlineStr"/>
      <c r="S805" t="inlineStr">
        <is>
          <t>Тариф с завтраком</t>
        </is>
      </c>
      <c r="T805" t="n">
        <v>0</v>
      </c>
      <c r="U805" t="n">
        <v>17056</v>
      </c>
    </row>
    <row r="806">
      <c r="A806" t="inlineStr">
        <is>
          <t>20260908-8186-464325070</t>
        </is>
      </c>
      <c r="B806" t="n">
        <v>1</v>
      </c>
      <c r="C806" s="2" t="inlineStr">
        <is>
          <t>Роман Алеев</t>
        </is>
      </c>
      <c r="D806" s="3" t="n">
        <v>9307</v>
      </c>
      <c r="E806" s="4" t="n">
        <v>18</v>
      </c>
      <c r="F806" t="inlineStr">
        <is>
          <t>ООО "Эй энд Эй" [Чайковский]</t>
        </is>
      </c>
      <c r="G806" s="3">
        <f>ROUND(D806/(100-E806)*100,2)</f>
        <v/>
      </c>
      <c r="H806" s="5" t="n">
        <v>46273.58333333334</v>
      </c>
      <c r="I806" t="n">
        <v>1</v>
      </c>
      <c r="J806" s="3">
        <f>G806/I806</f>
        <v/>
      </c>
      <c r="K806">
        <f>IF(J806&gt;=5100,"ставка","мин.ставка")</f>
        <v/>
      </c>
      <c r="L806" s="3">
        <f>ROUND(IF(K806="мин.ставка",I806*100,G806/102*2),2)</f>
        <v/>
      </c>
      <c r="M806" s="5" t="n">
        <v>46274.5</v>
      </c>
      <c r="N806" t="inlineStr">
        <is>
          <t>TravelLine ANA</t>
        </is>
      </c>
      <c r="O806" s="2" t="inlineStr">
        <is>
          <t>СТАНДАРТНЫЙ ДВУХМЕСТНЫЙ НОМЕР</t>
        </is>
      </c>
      <c r="P806" s="6" t="n"/>
      <c r="R806" t="inlineStr"/>
      <c r="S806" t="inlineStr">
        <is>
          <t>Тариф с завтраком</t>
        </is>
      </c>
      <c r="T806" t="n">
        <v>0</v>
      </c>
      <c r="U806" t="n">
        <v>9307</v>
      </c>
    </row>
    <row r="807">
      <c r="A807" t="inlineStr">
        <is>
          <t>20260909-8186-464775049</t>
        </is>
      </c>
      <c r="B807" t="n">
        <v>1</v>
      </c>
      <c r="C807" s="2" t="inlineStr">
        <is>
          <t>Роман Алеев</t>
        </is>
      </c>
      <c r="D807" s="3" t="n">
        <v>9307</v>
      </c>
      <c r="E807" s="4" t="n">
        <v>18</v>
      </c>
      <c r="F807" t="inlineStr">
        <is>
          <t>ООО "Эй энд Эй" [Чайковский]</t>
        </is>
      </c>
      <c r="G807" s="3">
        <f>ROUND(D807/(100-E807)*100,2)</f>
        <v/>
      </c>
      <c r="H807" s="5" t="n">
        <v>46274.58333333334</v>
      </c>
      <c r="I807" t="n">
        <v>1</v>
      </c>
      <c r="J807" s="3">
        <f>G807/I807</f>
        <v/>
      </c>
      <c r="K807">
        <f>IF(J807&gt;=5100,"ставка","мин.ставка")</f>
        <v/>
      </c>
      <c r="L807" s="3">
        <f>ROUND(IF(K807="мин.ставка",I807*100,G807/102*2),2)</f>
        <v/>
      </c>
      <c r="M807" s="5" t="n">
        <v>46275.5</v>
      </c>
      <c r="N807" t="inlineStr">
        <is>
          <t>TravelLine ANA</t>
        </is>
      </c>
      <c r="O807" s="2" t="inlineStr">
        <is>
          <t>СТАНДАРТНЫЙ ДВУХМЕСТНЫЙ НОМЕР</t>
        </is>
      </c>
      <c r="P807" s="6" t="n"/>
      <c r="R807" t="inlineStr"/>
      <c r="S807" t="inlineStr">
        <is>
          <t>Тариф с завтраком</t>
        </is>
      </c>
      <c r="T807" t="n">
        <v>0</v>
      </c>
      <c r="U807" t="n">
        <v>9307</v>
      </c>
    </row>
    <row r="808">
      <c r="A808" t="inlineStr">
        <is>
          <t>20260729-8186-450751367</t>
        </is>
      </c>
      <c r="B808" t="n">
        <v>1</v>
      </c>
      <c r="C808" s="2" t="inlineStr">
        <is>
          <t>Роман Крайнов</t>
        </is>
      </c>
      <c r="D808" s="3" t="n">
        <v>53184.6</v>
      </c>
      <c r="E808" s="4" t="n">
        <v>4</v>
      </c>
      <c r="F808" t="inlineStr">
        <is>
          <t>TravelLine Booking Engine [Чайковский]</t>
        </is>
      </c>
      <c r="G808" s="3">
        <f>ROUND(D808/(100-E808)*100,2)</f>
        <v/>
      </c>
      <c r="H808" s="5" t="n">
        <v>46232.58333333334</v>
      </c>
      <c r="I808" t="n">
        <v>4</v>
      </c>
      <c r="J808" s="3">
        <f>G808/I808</f>
        <v/>
      </c>
      <c r="K808">
        <f>IF(J808&gt;=5100,"ставка","мин.ставка")</f>
        <v/>
      </c>
      <c r="L808" s="3">
        <f>ROUND(IF(K808="мин.ставка",I808*100,G808/102*2),2)</f>
        <v/>
      </c>
      <c r="M808" s="5" t="n">
        <v>46236.5</v>
      </c>
      <c r="N808" t="inlineStr">
        <is>
          <t>TravelLine сайт</t>
        </is>
      </c>
      <c r="O808" s="2" t="inlineStr">
        <is>
          <t>УЛУЧШЕННЫЙ ДВУХМЕСТНЫЙ НОМЕР</t>
        </is>
      </c>
      <c r="P808" s="6" t="n"/>
      <c r="R808" t="inlineStr"/>
      <c r="S808" t="inlineStr">
        <is>
          <t>Тариф с завтраком</t>
        </is>
      </c>
      <c r="T808" t="n">
        <v>0</v>
      </c>
      <c r="U808" t="n">
        <v>53184.6</v>
      </c>
    </row>
    <row r="809">
      <c r="A809" t="inlineStr">
        <is>
          <t>20260913-8186-454223445</t>
        </is>
      </c>
      <c r="B809" t="n">
        <v>1</v>
      </c>
      <c r="C809" s="2" t="inlineStr">
        <is>
          <t>Роман Кучерявый, Елена Калюжная</t>
        </is>
      </c>
      <c r="D809" s="3" t="n">
        <v>68085</v>
      </c>
      <c r="E809" s="4" t="n">
        <v>0</v>
      </c>
      <c r="F809" t="inlineStr">
        <is>
          <t>ООО «ХОМЛИН ЛЭНД» (ПЕГАС) [Чайковский]</t>
        </is>
      </c>
      <c r="G809" s="3">
        <f>ROUND(D809/(100-E809)*100,2)</f>
        <v/>
      </c>
      <c r="H809" s="5" t="n">
        <v>46278.58333333334</v>
      </c>
      <c r="I809" t="n">
        <v>6</v>
      </c>
      <c r="J809" s="3">
        <f>G809/I809</f>
        <v/>
      </c>
      <c r="K809">
        <f>IF(J809&gt;=5100,"ставка","мин.ставка")</f>
        <v/>
      </c>
      <c r="L809" s="3">
        <f>ROUND(IF(K809="мин.ставка",I809*100,G809/102*2),2)</f>
        <v/>
      </c>
      <c r="M809" s="5" t="n">
        <v>46284.5</v>
      </c>
      <c r="N809" t="inlineStr">
        <is>
          <t>TravelLine PGS</t>
        </is>
      </c>
      <c r="O809" s="2" t="inlineStr">
        <is>
          <t>СТАНДАРТНЫЙ ДВУХМЕСТНЫЙ НОМЕР</t>
        </is>
      </c>
      <c r="P809" s="6" t="n"/>
      <c r="R809" t="inlineStr"/>
      <c r="S809" t="inlineStr">
        <is>
          <t>Тариф с завтраком</t>
        </is>
      </c>
      <c r="T809" t="n">
        <v>0</v>
      </c>
      <c r="U809" t="n">
        <v>68085</v>
      </c>
    </row>
    <row r="810">
      <c r="A810" t="inlineStr">
        <is>
          <t>20260922-8186-467755700</t>
        </is>
      </c>
      <c r="B810" t="n">
        <v>1</v>
      </c>
      <c r="C810" s="2" t="inlineStr">
        <is>
          <t>Роман Маланичев</t>
        </is>
      </c>
      <c r="D810" s="3" t="n">
        <v>40200</v>
      </c>
      <c r="E810" s="4" t="n">
        <v>18</v>
      </c>
      <c r="F810" t="inlineStr">
        <is>
          <t>Яндекс.Путешествия [Чайковский]</t>
        </is>
      </c>
      <c r="G810" s="3">
        <f>ROUND(D810/(100-E810)*100,2)</f>
        <v/>
      </c>
      <c r="H810" s="5" t="n">
        <v>46287.58333333334</v>
      </c>
      <c r="I810" t="n">
        <v>4</v>
      </c>
      <c r="J810" s="3">
        <f>G810/I810</f>
        <v/>
      </c>
      <c r="K810">
        <f>IF(J810&gt;=5100,"ставка","мин.ставка")</f>
        <v/>
      </c>
      <c r="L810" s="3">
        <f>ROUND(IF(K810="мин.ставка",I810*100,G810/102*2),2)</f>
        <v/>
      </c>
      <c r="M810" s="5" t="n">
        <v>46291.5</v>
      </c>
      <c r="N810" t="inlineStr">
        <is>
          <t>TravelLine YAX</t>
        </is>
      </c>
      <c r="O810" s="2" t="inlineStr">
        <is>
          <t>УЛУЧШЕННЫЙ ДВУХМЕСТНЫЙ НОМЕР</t>
        </is>
      </c>
      <c r="P810" s="6" t="n"/>
      <c r="R810" t="inlineStr"/>
      <c r="S810" t="inlineStr">
        <is>
          <t>Тариф с завтраком</t>
        </is>
      </c>
      <c r="T810" t="n">
        <v>0</v>
      </c>
      <c r="U810" t="n">
        <v>40200</v>
      </c>
    </row>
    <row r="811">
      <c r="A811" t="inlineStr">
        <is>
          <t>20260827-8186-461645701</t>
        </is>
      </c>
      <c r="B811" t="n">
        <v>1</v>
      </c>
      <c r="C811" s="2" t="inlineStr">
        <is>
          <t>Роман Новосельский, Анна Новосельская</t>
        </is>
      </c>
      <c r="D811" s="3" t="n">
        <v>26286.15</v>
      </c>
      <c r="E811" s="4" t="n">
        <v>4</v>
      </c>
      <c r="F811" t="inlineStr">
        <is>
          <t>TravelLine Booking Engine [Чайковский]</t>
        </is>
      </c>
      <c r="G811" s="3">
        <f>ROUND(D811/(100-E811)*100,2)</f>
        <v/>
      </c>
      <c r="H811" s="5" t="n">
        <v>46261.58333333334</v>
      </c>
      <c r="I811" t="n">
        <v>2</v>
      </c>
      <c r="J811" s="3">
        <f>G811/I811</f>
        <v/>
      </c>
      <c r="K811">
        <f>IF(J811&gt;=5100,"ставка","мин.ставка")</f>
        <v/>
      </c>
      <c r="L811" s="3">
        <f>ROUND(IF(K811="мин.ставка",I811*100,G811/102*2),2)</f>
        <v/>
      </c>
      <c r="M811" s="5" t="n">
        <v>46263.5</v>
      </c>
      <c r="N811" t="inlineStr">
        <is>
          <t>TravelLine сайт</t>
        </is>
      </c>
      <c r="O811" s="2" t="inlineStr">
        <is>
          <t>СТАНДАРТНЫЙ ДВУХМЕСТНЫЙ НОМЕР</t>
        </is>
      </c>
      <c r="P811" s="6" t="n"/>
      <c r="R811" t="inlineStr"/>
      <c r="S811" t="inlineStr">
        <is>
          <t>Тариф с завтраком</t>
        </is>
      </c>
      <c r="T811" t="n">
        <v>0</v>
      </c>
      <c r="U811" t="n">
        <v>48634.3</v>
      </c>
    </row>
    <row r="812">
      <c r="A812" t="inlineStr">
        <is>
          <t>20260701-8186-442331632</t>
        </is>
      </c>
      <c r="B812" t="n">
        <v>1</v>
      </c>
      <c r="C812" s="2" t="inlineStr">
        <is>
          <t>РОМАН СЕМЕНОВ, НАТАЛИЯ СЕМЕНЮК</t>
        </is>
      </c>
      <c r="D812" s="3" t="n">
        <v>13350</v>
      </c>
      <c r="E812" s="4" t="n">
        <v>0</v>
      </c>
      <c r="F812" t="inlineStr">
        <is>
          <t>Прямые бронирования (стойка) [Чайковский]</t>
        </is>
      </c>
      <c r="G812" s="3">
        <f>ROUND(D812/(100-E812)*100,2)</f>
        <v/>
      </c>
      <c r="H812" s="5" t="n">
        <v>46204.58333333334</v>
      </c>
      <c r="I812" t="n">
        <v>1</v>
      </c>
      <c r="J812" s="3">
        <f>G812/I812</f>
        <v/>
      </c>
      <c r="K812">
        <f>IF(J812&gt;=5100,"ставка","мин.ставка")</f>
        <v/>
      </c>
      <c r="L812" s="3">
        <f>ROUND(IF(K812="мин.ставка",I812*100,G812/102*2),2)</f>
        <v/>
      </c>
      <c r="M812" s="5" t="n">
        <v>46205.5</v>
      </c>
      <c r="N812" t="inlineStr">
        <is>
          <t>TravelLine ресепшн</t>
        </is>
      </c>
      <c r="O812" s="2" t="inlineStr">
        <is>
          <t>СТАНДАРТНЫЙ ДВУХМЕСТНЫЙ НОМЕР</t>
        </is>
      </c>
      <c r="P812" s="6" t="n"/>
      <c r="R812" t="inlineStr"/>
      <c r="S812" t="inlineStr">
        <is>
          <t>Тариф с завтраком</t>
        </is>
      </c>
      <c r="T812" t="n">
        <v>0</v>
      </c>
      <c r="U812" t="n">
        <v>13350</v>
      </c>
    </row>
    <row r="813">
      <c r="A813" t="inlineStr">
        <is>
          <t>20260910-8186-464069556</t>
        </is>
      </c>
      <c r="B813" t="n">
        <v>1</v>
      </c>
      <c r="C813" s="2" t="inlineStr">
        <is>
          <t>Роман Солодовник, НАТАЛЬЯ Солодовник</t>
        </is>
      </c>
      <c r="D813" s="3" t="n">
        <v>13695</v>
      </c>
      <c r="E813" s="4" t="n">
        <v>17</v>
      </c>
      <c r="F813" t="inlineStr">
        <is>
          <t>ООО «Интернет Трэвел» (OZON) [Чайковский]</t>
        </is>
      </c>
      <c r="G813" s="3">
        <f>ROUND(D813/(100-E813)*100,2)</f>
        <v/>
      </c>
      <c r="H813" s="5" t="n">
        <v>46275.58333333334</v>
      </c>
      <c r="I813" t="n">
        <v>1</v>
      </c>
      <c r="J813" s="3">
        <f>G813/I813</f>
        <v/>
      </c>
      <c r="K813">
        <f>IF(J813&gt;=5100,"ставка","мин.ставка")</f>
        <v/>
      </c>
      <c r="L813" s="3">
        <f>ROUND(IF(K813="мин.ставка",I813*100,G813/102*2),2)</f>
        <v/>
      </c>
      <c r="M813" s="5" t="n">
        <v>46276.5</v>
      </c>
      <c r="N813" t="inlineStr">
        <is>
          <t>TravelLine OZ2</t>
        </is>
      </c>
      <c r="O813" s="2" t="inlineStr">
        <is>
          <t>ПОЛУЛЮКС</t>
        </is>
      </c>
      <c r="P813" s="6" t="n"/>
      <c r="R813" t="inlineStr"/>
      <c r="S813" t="inlineStr">
        <is>
          <t>Тариф с завтраком</t>
        </is>
      </c>
      <c r="T813" t="n">
        <v>0</v>
      </c>
      <c r="U813" t="n">
        <v>13695</v>
      </c>
    </row>
    <row r="814">
      <c r="A814" t="inlineStr">
        <is>
          <t>20260818-8186-443505889</t>
        </is>
      </c>
      <c r="B814" t="n">
        <v>1</v>
      </c>
      <c r="C814" s="2" t="inlineStr">
        <is>
          <t>Роман Федотов</t>
        </is>
      </c>
      <c r="D814" s="3" t="n">
        <v>64080</v>
      </c>
      <c r="E814" s="4" t="n">
        <v>18</v>
      </c>
      <c r="F814" t="inlineStr">
        <is>
          <t>Яндекс.Путешествия [Чайковский]</t>
        </is>
      </c>
      <c r="G814" s="3">
        <f>ROUND(D814/(100-E814)*100,2)</f>
        <v/>
      </c>
      <c r="H814" s="5" t="n">
        <v>46252.58333333334</v>
      </c>
      <c r="I814" t="n">
        <v>6</v>
      </c>
      <c r="J814" s="3">
        <f>G814/I814</f>
        <v/>
      </c>
      <c r="K814">
        <f>IF(J814&gt;=5100,"ставка","мин.ставка")</f>
        <v/>
      </c>
      <c r="L814" s="3">
        <f>ROUND(IF(K814="мин.ставка",I814*100,G814/102*2),2)</f>
        <v/>
      </c>
      <c r="M814" s="5" t="n">
        <v>46258.5</v>
      </c>
      <c r="N814" t="inlineStr">
        <is>
          <t>TravelLine YAX</t>
        </is>
      </c>
      <c r="O814" s="2" t="inlineStr">
        <is>
          <t>СТАНДАРТНЫЙ ДВУХМЕСТНЫЙ НОМЕР</t>
        </is>
      </c>
      <c r="P814" s="6" t="n"/>
      <c r="R814" t="inlineStr"/>
      <c r="S814" t="inlineStr">
        <is>
          <t>Тариф с завтраком</t>
        </is>
      </c>
      <c r="T814" t="n">
        <v>0</v>
      </c>
      <c r="U814" t="n">
        <v>118560</v>
      </c>
    </row>
    <row r="815">
      <c r="A815" t="inlineStr">
        <is>
          <t>20260712-8186-444317307</t>
        </is>
      </c>
      <c r="B815" t="n">
        <v>1</v>
      </c>
      <c r="C815" s="2" t="inlineStr">
        <is>
          <t>РОМАН ХРОМЦОВ, Анна Курносова</t>
        </is>
      </c>
      <c r="D815" s="3" t="n">
        <v>9080</v>
      </c>
      <c r="E815" s="4" t="n">
        <v>20</v>
      </c>
      <c r="F815" t="inlineStr">
        <is>
          <t>ООО "КОМПАНИЯ БРОНЕВИК" [Чайковский]</t>
        </is>
      </c>
      <c r="G815" s="3">
        <f>ROUND(D815/(100-E815)*100,2)</f>
        <v/>
      </c>
      <c r="H815" s="5" t="n">
        <v>46215.58333333334</v>
      </c>
      <c r="I815" t="n">
        <v>1</v>
      </c>
      <c r="J815" s="3">
        <f>G815/I815</f>
        <v/>
      </c>
      <c r="K815">
        <f>IF(J815&gt;=5100,"ставка","мин.ставка")</f>
        <v/>
      </c>
      <c r="L815" s="3">
        <f>ROUND(IF(K815="мин.ставка",I815*100,G815/102*2),2)</f>
        <v/>
      </c>
      <c r="M815" s="5" t="n">
        <v>46216.5</v>
      </c>
      <c r="N815" t="inlineStr">
        <is>
          <t>TravelLine BR2</t>
        </is>
      </c>
      <c r="O815" s="2" t="inlineStr">
        <is>
          <t>СТАНДАРТНЫЙ ДВУХМЕСТНЫЙ НОМЕР</t>
        </is>
      </c>
      <c r="P815" s="6" t="n"/>
      <c r="R815" t="inlineStr"/>
      <c r="S815" t="inlineStr">
        <is>
          <t>Тариф с завтраком</t>
        </is>
      </c>
      <c r="T815" t="n">
        <v>2000</v>
      </c>
      <c r="U815" t="n">
        <v>11080</v>
      </c>
    </row>
    <row r="816">
      <c r="A816" t="inlineStr">
        <is>
          <t>20260717-8186-434712508</t>
        </is>
      </c>
      <c r="B816" t="n">
        <v>1</v>
      </c>
      <c r="C816" s="2" t="inlineStr">
        <is>
          <t>РОМАН ЧЕРНЫЙ, София Швеина</t>
        </is>
      </c>
      <c r="D816" s="3" t="n">
        <v>16500</v>
      </c>
      <c r="E816" s="4" t="n">
        <v>0</v>
      </c>
      <c r="F816" t="inlineStr">
        <is>
          <t>Прямые бронирования (стойка) [Чайковский]</t>
        </is>
      </c>
      <c r="G816" s="3">
        <f>ROUND(D816/(100-E816)*100,2)</f>
        <v/>
      </c>
      <c r="H816" s="5" t="n">
        <v>46220.58333333334</v>
      </c>
      <c r="I816" t="n">
        <v>1</v>
      </c>
      <c r="J816" s="3">
        <f>G816/I816</f>
        <v/>
      </c>
      <c r="K816">
        <f>IF(J816&gt;=5100,"ставка","мин.ставка")</f>
        <v/>
      </c>
      <c r="L816" s="3">
        <f>ROUND(IF(K816="мин.ставка",I816*100,G816/102*2),2)</f>
        <v/>
      </c>
      <c r="M816" s="5" t="n">
        <v>46221.5</v>
      </c>
      <c r="N816" t="inlineStr">
        <is>
          <t>TravelLine ресепшн</t>
        </is>
      </c>
      <c r="O816" s="2" t="inlineStr">
        <is>
          <t>ПОЛУЛЮКС</t>
        </is>
      </c>
      <c r="P816" s="6" t="n"/>
      <c r="R816" t="inlineStr"/>
      <c r="S816" t="inlineStr">
        <is>
          <t>Тариф с завтраком</t>
        </is>
      </c>
      <c r="T816" t="n">
        <v>0</v>
      </c>
      <c r="U816" t="n">
        <v>16500</v>
      </c>
    </row>
    <row r="817">
      <c r="A817" t="inlineStr">
        <is>
          <t>20260811-8186-457112074</t>
        </is>
      </c>
      <c r="B817" t="n">
        <v>1</v>
      </c>
      <c r="C817" s="2" t="inlineStr">
        <is>
          <t>Рузания Ильясова</t>
        </is>
      </c>
      <c r="D817" s="3" t="n">
        <v>26228</v>
      </c>
      <c r="E817" s="4" t="n">
        <v>17</v>
      </c>
      <c r="F817" t="inlineStr">
        <is>
          <t>ООО «Интернет Трэвел» (OZON) [Чайковский]</t>
        </is>
      </c>
      <c r="G817" s="3">
        <f>ROUND(D817/(100-E817)*100,2)</f>
        <v/>
      </c>
      <c r="H817" s="5" t="n">
        <v>46245.58333333334</v>
      </c>
      <c r="I817" t="n">
        <v>2</v>
      </c>
      <c r="J817" s="3">
        <f>G817/I817</f>
        <v/>
      </c>
      <c r="K817">
        <f>IF(J817&gt;=5100,"ставка","мин.ставка")</f>
        <v/>
      </c>
      <c r="L817" s="3">
        <f>ROUND(IF(K817="мин.ставка",I817*100,G817/102*2),2)</f>
        <v/>
      </c>
      <c r="M817" s="5" t="n">
        <v>46247.5</v>
      </c>
      <c r="N817" t="inlineStr">
        <is>
          <t>TravelLine OZ2</t>
        </is>
      </c>
      <c r="O817" s="2" t="inlineStr">
        <is>
          <t>ЛЮКС ВТОРОЙ КОРПУС</t>
        </is>
      </c>
      <c r="P817" s="6" t="n"/>
      <c r="R817" t="inlineStr"/>
      <c r="S817" t="inlineStr">
        <is>
          <t>Тариф с завтраком</t>
        </is>
      </c>
      <c r="T817" t="n">
        <v>0</v>
      </c>
      <c r="U817" t="n">
        <v>26228</v>
      </c>
    </row>
    <row r="818">
      <c r="A818" t="inlineStr">
        <is>
          <t>20260819-8186-459377986</t>
        </is>
      </c>
      <c r="B818" t="n">
        <v>1</v>
      </c>
      <c r="C818" s="2" t="inlineStr">
        <is>
          <t>Руслан Балабушко, Марина Балабушко</t>
        </is>
      </c>
      <c r="D818" s="3" t="n">
        <v>21976</v>
      </c>
      <c r="E818" s="4" t="n">
        <v>18</v>
      </c>
      <c r="F818" t="inlineStr">
        <is>
          <t>ООО "Эй энд Эй" [Чайковский]</t>
        </is>
      </c>
      <c r="G818" s="3">
        <f>ROUND(D818/(100-E818)*100,2)</f>
        <v/>
      </c>
      <c r="H818" s="5" t="n">
        <v>46253.58333333334</v>
      </c>
      <c r="I818" t="n">
        <v>2</v>
      </c>
      <c r="J818" s="3">
        <f>G818/I818</f>
        <v/>
      </c>
      <c r="K818">
        <f>IF(J818&gt;=5100,"ставка","мин.ставка")</f>
        <v/>
      </c>
      <c r="L818" s="3">
        <f>ROUND(IF(K818="мин.ставка",I818*100,G818/102*2),2)</f>
        <v/>
      </c>
      <c r="M818" s="5" t="n">
        <v>46255.5</v>
      </c>
      <c r="N818" t="inlineStr">
        <is>
          <t>TravelLine ANA</t>
        </is>
      </c>
      <c r="O818" s="2" t="inlineStr">
        <is>
          <t>УЛУЧШЕННЫЙ ДВУХМЕСТНЫЙ НОМЕР</t>
        </is>
      </c>
      <c r="P818" s="6" t="n"/>
      <c r="R818" t="inlineStr"/>
      <c r="S818" t="inlineStr">
        <is>
          <t>Тариф с завтраком</t>
        </is>
      </c>
      <c r="T818" t="n">
        <v>4000</v>
      </c>
      <c r="U818" t="n">
        <v>25976</v>
      </c>
    </row>
    <row r="819">
      <c r="A819" t="inlineStr">
        <is>
          <t>20260906-8186-464177351</t>
        </is>
      </c>
      <c r="B819" t="n">
        <v>1</v>
      </c>
      <c r="C819" s="2" t="inlineStr">
        <is>
          <t>Руслан Мустафаев</t>
        </is>
      </c>
      <c r="D819" s="3" t="n">
        <v>15400</v>
      </c>
      <c r="E819" s="4" t="n">
        <v>0</v>
      </c>
      <c r="F819" t="inlineStr">
        <is>
          <t>Прямые бронирования (стойка) [Чайковский]</t>
        </is>
      </c>
      <c r="G819" s="3">
        <f>ROUND(D819/(100-E819)*100,2)</f>
        <v/>
      </c>
      <c r="H819" s="5" t="n">
        <v>46271.58333333334</v>
      </c>
      <c r="I819" t="n">
        <v>1</v>
      </c>
      <c r="J819" s="3">
        <f>G819/I819</f>
        <v/>
      </c>
      <c r="K819">
        <f>IF(J819&gt;=5100,"ставка","мин.ставка")</f>
        <v/>
      </c>
      <c r="L819" s="3">
        <f>ROUND(IF(K819="мин.ставка",I819*100,G819/102*2),2)</f>
        <v/>
      </c>
      <c r="M819" s="5" t="n">
        <v>46272.5</v>
      </c>
      <c r="N819" t="inlineStr">
        <is>
          <t>TravelLine ресепшн</t>
        </is>
      </c>
      <c r="O819" s="2" t="inlineStr">
        <is>
          <t>УЛУЧШЕННЫЙ ДВУХМЕСТНЫЙ НОМЕР</t>
        </is>
      </c>
      <c r="P819" s="6" t="n"/>
      <c r="R819" t="inlineStr"/>
      <c r="S819" t="inlineStr">
        <is>
          <t>Тариф с завтраком</t>
        </is>
      </c>
      <c r="T819" t="n">
        <v>0</v>
      </c>
      <c r="U819" t="n">
        <v>15400</v>
      </c>
    </row>
    <row r="820">
      <c r="A820" t="inlineStr">
        <is>
          <t>20260808-8186-453192486</t>
        </is>
      </c>
      <c r="B820" t="n">
        <v>1</v>
      </c>
      <c r="C820" s="2" t="inlineStr">
        <is>
          <t>Руслан Хабибуллин, Марина Хабибуллина</t>
        </is>
      </c>
      <c r="D820" s="3" t="n">
        <v>33660</v>
      </c>
      <c r="E820" s="4" t="n">
        <v>0</v>
      </c>
      <c r="F820" t="inlineStr">
        <is>
          <t>ООО «ХОМЛИН ЛЭНД» (ПЕГАС) [Чайковский]</t>
        </is>
      </c>
      <c r="G820" s="3">
        <f>ROUND(D820/(100-E820)*100,2)</f>
        <v/>
      </c>
      <c r="H820" s="5" t="n">
        <v>46242.58333333334</v>
      </c>
      <c r="I820" t="n">
        <v>4</v>
      </c>
      <c r="J820" s="3">
        <f>G820/I820</f>
        <v/>
      </c>
      <c r="K820">
        <f>IF(J820&gt;=5100,"ставка","мин.ставка")</f>
        <v/>
      </c>
      <c r="L820" s="3">
        <f>ROUND(IF(K820="мин.ставка",I820*100,G820/102*2),2)</f>
        <v/>
      </c>
      <c r="M820" s="5" t="n">
        <v>46246.5</v>
      </c>
      <c r="N820" t="inlineStr">
        <is>
          <t>TravelLine PGS</t>
        </is>
      </c>
      <c r="O820" s="2" t="inlineStr">
        <is>
          <t>СТАНДАРТНЫЙ ДВУХМЕСТНЫЙ НОМЕР (МАНСАРДА)</t>
        </is>
      </c>
      <c r="P820" s="6" t="n"/>
      <c r="R820" t="inlineStr"/>
      <c r="S820" t="inlineStr">
        <is>
          <t>Тариф с завтраком</t>
        </is>
      </c>
      <c r="T820" t="n">
        <v>0</v>
      </c>
      <c r="U820" t="n">
        <v>33660</v>
      </c>
    </row>
    <row r="821">
      <c r="A821" t="inlineStr">
        <is>
          <t>20260810-8186-457351716</t>
        </is>
      </c>
      <c r="B821" t="n">
        <v>1</v>
      </c>
      <c r="C821" s="2" t="inlineStr">
        <is>
          <t>РУФИНА ШАКИРОВА</t>
        </is>
      </c>
      <c r="D821" s="3" t="n">
        <v>8900</v>
      </c>
      <c r="E821" s="4" t="n">
        <v>0</v>
      </c>
      <c r="F821" t="inlineStr">
        <is>
          <t>Прямые бронирования (стойка) [Чайковский]</t>
        </is>
      </c>
      <c r="G821" s="3">
        <f>ROUND(D821/(100-E821)*100,2)</f>
        <v/>
      </c>
      <c r="H821" s="5" t="n">
        <v>46244.58333333334</v>
      </c>
      <c r="I821" t="n">
        <v>1</v>
      </c>
      <c r="J821" s="3">
        <f>G821/I821</f>
        <v/>
      </c>
      <c r="K821">
        <f>IF(J821&gt;=5100,"ставка","мин.ставка")</f>
        <v/>
      </c>
      <c r="L821" s="3">
        <f>ROUND(IF(K821="мин.ставка",I821*100,G821/102*2),2)</f>
        <v/>
      </c>
      <c r="M821" s="5" t="n">
        <v>46245.5</v>
      </c>
      <c r="N821" t="inlineStr">
        <is>
          <t>TravelLine ресепшн</t>
        </is>
      </c>
      <c r="O821" s="2" t="inlineStr">
        <is>
          <t>СЕМЕЙНЫЙ НОМЕР КАТЕГОРИИ "СТАНДАРТ" ВТОРОЙ КОРПУС</t>
        </is>
      </c>
      <c r="P821" s="6" t="n"/>
      <c r="R821" t="inlineStr"/>
      <c r="S821" t="inlineStr">
        <is>
          <t>Тариф с завтраком</t>
        </is>
      </c>
      <c r="T821" t="n">
        <v>0</v>
      </c>
      <c r="U821" t="n">
        <v>8900</v>
      </c>
    </row>
    <row r="822">
      <c r="A822" t="inlineStr">
        <is>
          <t>20260710-8186-431599148</t>
        </is>
      </c>
      <c r="B822" t="n">
        <v>1</v>
      </c>
      <c r="C822" s="2" t="inlineStr">
        <is>
          <t>Садик Алимов, Анна Алимова</t>
        </is>
      </c>
      <c r="D822" s="3" t="n">
        <v>11560</v>
      </c>
      <c r="E822" s="4" t="n">
        <v>18</v>
      </c>
      <c r="F822" t="inlineStr">
        <is>
          <t>Яндекс.Путешествия [Чайковский]</t>
        </is>
      </c>
      <c r="G822" s="3">
        <f>ROUND(D822/(100-E822)*100,2)</f>
        <v/>
      </c>
      <c r="H822" s="5" t="n">
        <v>46213.58333333334</v>
      </c>
      <c r="I822" t="n">
        <v>1</v>
      </c>
      <c r="J822" s="3">
        <f>G822/I822</f>
        <v/>
      </c>
      <c r="K822">
        <f>IF(J822&gt;=5100,"ставка","мин.ставка")</f>
        <v/>
      </c>
      <c r="L822" s="3">
        <f>ROUND(IF(K822="мин.ставка",I822*100,G822/102*2),2)</f>
        <v/>
      </c>
      <c r="M822" s="5" t="n">
        <v>46214.5</v>
      </c>
      <c r="N822" t="inlineStr">
        <is>
          <t>TravelLine YAX</t>
        </is>
      </c>
      <c r="O822" s="2" t="inlineStr">
        <is>
          <t>семейный номер категории "стандарт"</t>
        </is>
      </c>
      <c r="P822" s="6" t="n"/>
      <c r="R822" t="inlineStr"/>
      <c r="S822" t="inlineStr">
        <is>
          <t>Тариф с завтраком</t>
        </is>
      </c>
      <c r="T822" t="n">
        <v>0</v>
      </c>
      <c r="U822" t="n">
        <v>11560</v>
      </c>
    </row>
    <row r="823">
      <c r="A823" t="inlineStr">
        <is>
          <t>20260728-8186-454019745</t>
        </is>
      </c>
      <c r="B823" t="n">
        <v>1</v>
      </c>
      <c r="C823" s="2" t="inlineStr">
        <is>
          <t>САМИР НАГИЕВ, ОЛЕСЯ САФРОНОВА</t>
        </is>
      </c>
      <c r="D823" s="3" t="n">
        <v>12325</v>
      </c>
      <c r="E823" s="4" t="n">
        <v>15</v>
      </c>
      <c r="F823" t="inlineStr">
        <is>
          <t>ООО «12Т» (ранее ONE TWO TRIP) [Чайковский]</t>
        </is>
      </c>
      <c r="G823" s="3">
        <f>ROUND(D823/(100-E823)*100,2)</f>
        <v/>
      </c>
      <c r="H823" s="5" t="n">
        <v>46231.58333333334</v>
      </c>
      <c r="I823" t="n">
        <v>1</v>
      </c>
      <c r="J823" s="3">
        <f>G823/I823</f>
        <v/>
      </c>
      <c r="K823">
        <f>IF(J823&gt;=5100,"ставка","мин.ставка")</f>
        <v/>
      </c>
      <c r="L823" s="3">
        <f>ROUND(IF(K823="мин.ставка",I823*100,G823/102*2),2)</f>
        <v/>
      </c>
      <c r="M823" s="5" t="n">
        <v>46232.5</v>
      </c>
      <c r="N823" t="inlineStr">
        <is>
          <t>TravelLine OTT</t>
        </is>
      </c>
      <c r="O823" s="2" t="inlineStr">
        <is>
          <t>ЛЮКС ВТОРОЙ КОРПУС</t>
        </is>
      </c>
      <c r="P823" s="6" t="n"/>
      <c r="R823" t="inlineStr"/>
      <c r="S823" t="inlineStr">
        <is>
          <t>Тариф с завтраком</t>
        </is>
      </c>
      <c r="T823" t="n">
        <v>0</v>
      </c>
      <c r="U823" t="n">
        <v>12325</v>
      </c>
    </row>
    <row r="824">
      <c r="A824" t="inlineStr">
        <is>
          <t>20260805-8186-456086133</t>
        </is>
      </c>
      <c r="B824" t="n">
        <v>1</v>
      </c>
      <c r="C824" s="2" t="inlineStr">
        <is>
          <t>Самир Нагиев, ОЛЕСЯ САФРОНОВА</t>
        </is>
      </c>
      <c r="D824" s="3" t="n">
        <v>11600</v>
      </c>
      <c r="E824" s="4" t="n">
        <v>20</v>
      </c>
      <c r="F824" t="inlineStr">
        <is>
          <t>ООО "КОМПАНИЯ БРОНЕВИК" [Чайковский]</t>
        </is>
      </c>
      <c r="G824" s="3">
        <f>ROUND(D824/(100-E824)*100,2)</f>
        <v/>
      </c>
      <c r="H824" s="5" t="n">
        <v>46239.58333333334</v>
      </c>
      <c r="I824" t="n">
        <v>1</v>
      </c>
      <c r="J824" s="3">
        <f>G824/I824</f>
        <v/>
      </c>
      <c r="K824">
        <f>IF(J824&gt;=5100,"ставка","мин.ставка")</f>
        <v/>
      </c>
      <c r="L824" s="3">
        <f>ROUND(IF(K824="мин.ставка",I824*100,G824/102*2),2)</f>
        <v/>
      </c>
      <c r="M824" s="5" t="n">
        <v>46240.5</v>
      </c>
      <c r="N824" t="inlineStr">
        <is>
          <t>TravelLine BR2</t>
        </is>
      </c>
      <c r="O824" s="2" t="inlineStr">
        <is>
          <t>ЛЮКС ВТОРОЙ КОРПУС</t>
        </is>
      </c>
      <c r="P824" s="6" t="n"/>
      <c r="R824" t="inlineStr"/>
      <c r="S824" t="inlineStr">
        <is>
          <t>Основной тариф без завтрака</t>
        </is>
      </c>
      <c r="T824" t="n">
        <v>0</v>
      </c>
      <c r="U824" t="n">
        <v>11600</v>
      </c>
    </row>
    <row r="825">
      <c r="A825" t="inlineStr">
        <is>
          <t>20260923-8186-464989668</t>
        </is>
      </c>
      <c r="B825" t="n">
        <v>1</v>
      </c>
      <c r="C825" s="2" t="inlineStr">
        <is>
          <t>СВЕТЛАНА АНДРЕЕВА</t>
        </is>
      </c>
      <c r="D825" s="3" t="n">
        <v>9647.5</v>
      </c>
      <c r="E825" s="4" t="n">
        <v>15</v>
      </c>
      <c r="F825" t="inlineStr">
        <is>
          <t>ООО «12Т» (ранее ONE TWO TRIP) [Чайковский]</t>
        </is>
      </c>
      <c r="G825" s="3">
        <f>ROUND(D825/(100-E825)*100,2)</f>
        <v/>
      </c>
      <c r="H825" s="5" t="n">
        <v>46288.58333333334</v>
      </c>
      <c r="I825" t="n">
        <v>1</v>
      </c>
      <c r="J825" s="3">
        <f>G825/I825</f>
        <v/>
      </c>
      <c r="K825">
        <f>IF(J825&gt;=5100,"ставка","мин.ставка")</f>
        <v/>
      </c>
      <c r="L825" s="3">
        <f>ROUND(IF(K825="мин.ставка",I825*100,G825/102*2),2)</f>
        <v/>
      </c>
      <c r="M825" s="5" t="n">
        <v>46289.5</v>
      </c>
      <c r="N825" t="inlineStr">
        <is>
          <t>TravelLine OTT</t>
        </is>
      </c>
      <c r="O825" s="2" t="inlineStr">
        <is>
          <t>СТАНДАРТНЫЙ ДВУХМЕСТНЫЙ НОМЕР</t>
        </is>
      </c>
      <c r="P825" s="6" t="n"/>
      <c r="R825" t="inlineStr"/>
      <c r="S825" t="inlineStr">
        <is>
          <t>Тариф с завтраком</t>
        </is>
      </c>
      <c r="T825" t="n">
        <v>0</v>
      </c>
      <c r="U825" t="n">
        <v>9647.5</v>
      </c>
    </row>
    <row r="826">
      <c r="A826" t="inlineStr">
        <is>
          <t>20260819-8186-412191327</t>
        </is>
      </c>
      <c r="B826" t="n">
        <v>1</v>
      </c>
      <c r="C826" s="2" t="inlineStr">
        <is>
          <t>Светлана Гилёва, Людмила РОГОЖНЕВА</t>
        </is>
      </c>
      <c r="D826" s="3" t="n">
        <v>29700</v>
      </c>
      <c r="E826" s="4" t="n">
        <v>0</v>
      </c>
      <c r="F826" t="inlineStr">
        <is>
          <t>Прямые бронирования (стойка) [Чайковский]</t>
        </is>
      </c>
      <c r="G826" s="3">
        <f>ROUND(D826/(100-E826)*100,2)</f>
        <v/>
      </c>
      <c r="H826" s="5" t="n">
        <v>46249.58333333334</v>
      </c>
      <c r="I826" t="n">
        <v>3</v>
      </c>
      <c r="J826" s="3">
        <f>G826/I826</f>
        <v/>
      </c>
      <c r="K826">
        <f>IF(J826&gt;=5100,"ставка","мин.ставка")</f>
        <v/>
      </c>
      <c r="L826" s="3">
        <f>ROUND(IF(K826="мин.ставка",I826*100,G826/102*2),2)</f>
        <v/>
      </c>
      <c r="M826" s="5" t="n">
        <v>46252.5</v>
      </c>
      <c r="N826" t="inlineStr">
        <is>
          <t>TravelLine ресепшн</t>
        </is>
      </c>
      <c r="O826" s="2" t="inlineStr">
        <is>
          <t>СТАНДАРТНЫЙ ДВУХМЕСТНЫЙ НОМЕР (МАНСАРДА)</t>
        </is>
      </c>
      <c r="P826" s="6" t="n"/>
      <c r="R826" t="inlineStr"/>
      <c r="S826" t="inlineStr">
        <is>
          <t>Тариф с завтраком</t>
        </is>
      </c>
      <c r="T826" t="n">
        <v>0</v>
      </c>
      <c r="U826" t="n">
        <v>29700</v>
      </c>
    </row>
    <row r="827">
      <c r="A827" t="inlineStr">
        <is>
          <t>20260831-8186-446583307</t>
        </is>
      </c>
      <c r="B827" t="n">
        <v>1</v>
      </c>
      <c r="C827" s="2" t="inlineStr">
        <is>
          <t>Светлана Говорина</t>
        </is>
      </c>
      <c r="D827" s="3" t="n">
        <v>45400</v>
      </c>
      <c r="E827" s="4" t="n">
        <v>18</v>
      </c>
      <c r="F827" t="inlineStr">
        <is>
          <t>Яндекс.Путешествия [Чайковский]</t>
        </is>
      </c>
      <c r="G827" s="3">
        <f>ROUND(D827/(100-E827)*100,2)</f>
        <v/>
      </c>
      <c r="H827" s="5" t="n">
        <v>46265.58333333334</v>
      </c>
      <c r="I827" t="n">
        <v>5</v>
      </c>
      <c r="J827" s="3">
        <f>G827/I827</f>
        <v/>
      </c>
      <c r="K827">
        <f>IF(J827&gt;=5100,"ставка","мин.ставка")</f>
        <v/>
      </c>
      <c r="L827" s="3">
        <f>ROUND(IF(K827="мин.ставка",I827*100,G827/102*2),2)</f>
        <v/>
      </c>
      <c r="M827" s="5" t="n">
        <v>46270.5</v>
      </c>
      <c r="N827" t="inlineStr">
        <is>
          <t>TravelLine YAX</t>
        </is>
      </c>
      <c r="O827" s="2" t="inlineStr">
        <is>
          <t>ПОЛУЛЮКС</t>
        </is>
      </c>
      <c r="P827" s="6" t="n"/>
      <c r="R827" t="inlineStr"/>
      <c r="S827" t="inlineStr">
        <is>
          <t>Тариф с завтраком</t>
        </is>
      </c>
      <c r="T827" t="n">
        <v>0</v>
      </c>
      <c r="U827" t="n">
        <v>45400</v>
      </c>
    </row>
    <row r="828">
      <c r="A828" t="inlineStr">
        <is>
          <t>20260914-8186-463592251</t>
        </is>
      </c>
      <c r="B828" t="n">
        <v>1</v>
      </c>
      <c r="C828" s="2" t="inlineStr">
        <is>
          <t>СВЕТЛАНА КОРСУНСКАЯ</t>
        </is>
      </c>
      <c r="D828" s="3" t="n">
        <v>9647.5</v>
      </c>
      <c r="E828" s="4" t="n">
        <v>15</v>
      </c>
      <c r="F828" t="inlineStr">
        <is>
          <t>ООО "Библио-Глобус Туроператор" [Чайковский]</t>
        </is>
      </c>
      <c r="G828" s="3">
        <f>ROUND(D828/(100-E828)*100,2)</f>
        <v/>
      </c>
      <c r="H828" s="5" t="n">
        <v>46279.58333333334</v>
      </c>
      <c r="I828" t="n">
        <v>1</v>
      </c>
      <c r="J828" s="3">
        <f>G828/I828</f>
        <v/>
      </c>
      <c r="K828">
        <f>IF(J828&gt;=5100,"ставка","мин.ставка")</f>
        <v/>
      </c>
      <c r="L828" s="3">
        <f>ROUND(IF(K828="мин.ставка",I828*100,G828/102*2),2)</f>
        <v/>
      </c>
      <c r="M828" s="5" t="n">
        <v>46280.5</v>
      </c>
      <c r="N828" t="inlineStr">
        <is>
          <t>TravelLine BGL</t>
        </is>
      </c>
      <c r="O828" s="2" t="inlineStr">
        <is>
          <t>СТАНДАРТНЫЙ ДВУХМЕСТНЫЙ НОМЕР</t>
        </is>
      </c>
      <c r="P828" s="6" t="n"/>
      <c r="R828" t="inlineStr"/>
      <c r="S828" t="inlineStr">
        <is>
          <t>Тариф с завтраком</t>
        </is>
      </c>
      <c r="T828" t="n">
        <v>0</v>
      </c>
      <c r="U828" t="n">
        <v>9647.5</v>
      </c>
    </row>
    <row r="829">
      <c r="A829" t="inlineStr">
        <is>
          <t>20260812-8186-451725472</t>
        </is>
      </c>
      <c r="B829" t="n">
        <v>1</v>
      </c>
      <c r="C829" s="2" t="inlineStr">
        <is>
          <t>Светлана Кривашапова, Анна Янчалкова</t>
        </is>
      </c>
      <c r="D829" s="3" t="n">
        <v>107322.6</v>
      </c>
      <c r="E829" s="4" t="n">
        <v>4</v>
      </c>
      <c r="F829" t="inlineStr">
        <is>
          <t>TravelLine Booking Engine [Чайковский]</t>
        </is>
      </c>
      <c r="G829" s="3">
        <f>ROUND(D829/(100-E829)*100,2)</f>
        <v/>
      </c>
      <c r="H829" s="5" t="n">
        <v>46246.58333333334</v>
      </c>
      <c r="I829" t="n">
        <v>7</v>
      </c>
      <c r="J829" s="3">
        <f>G829/I829</f>
        <v/>
      </c>
      <c r="K829">
        <f>IF(J829&gt;=5100,"ставка","мин.ставка")</f>
        <v/>
      </c>
      <c r="L829" s="3">
        <f>ROUND(IF(K829="мин.ставка",I829*100,G829/102*2),2)</f>
        <v/>
      </c>
      <c r="M829" s="5" t="n">
        <v>46253.5</v>
      </c>
      <c r="N829" t="inlineStr">
        <is>
          <t>TravelLine сайт</t>
        </is>
      </c>
      <c r="O829" s="2" t="inlineStr">
        <is>
          <t>УЛУЧШЕННЫЙ ДВУХМЕСТНЫЙ НОМЕР</t>
        </is>
      </c>
      <c r="P829" s="6" t="n"/>
      <c r="R829" t="inlineStr"/>
      <c r="S829" t="inlineStr">
        <is>
          <t>Тариф с завтраком</t>
        </is>
      </c>
      <c r="T829" t="n">
        <v>0</v>
      </c>
      <c r="U829" t="n">
        <v>107322.6</v>
      </c>
    </row>
    <row r="830">
      <c r="A830" t="inlineStr">
        <is>
          <t>20260812-8186-456358699</t>
        </is>
      </c>
      <c r="B830" t="n">
        <v>1</v>
      </c>
      <c r="C830" s="2" t="inlineStr">
        <is>
          <t>Светлана Михалева, Анастасия Михалева</t>
        </is>
      </c>
      <c r="D830" s="3" t="n">
        <v>21360</v>
      </c>
      <c r="E830" s="4" t="n">
        <v>20</v>
      </c>
      <c r="F830" t="inlineStr">
        <is>
          <t>ООО «Дубль Гис» (OTELLO) [Чайковский]</t>
        </is>
      </c>
      <c r="G830" s="3">
        <f>ROUND(D830/(100-E830)*100,2)</f>
        <v/>
      </c>
      <c r="H830" s="5" t="n">
        <v>46246.58333333334</v>
      </c>
      <c r="I830" t="n">
        <v>2</v>
      </c>
      <c r="J830" s="3">
        <f>G830/I830</f>
        <v/>
      </c>
      <c r="K830">
        <f>IF(J830&gt;=5100,"ставка","мин.ставка")</f>
        <v/>
      </c>
      <c r="L830" s="3">
        <f>ROUND(IF(K830="мин.ставка",I830*100,G830/102*2),2)</f>
        <v/>
      </c>
      <c r="M830" s="5" t="n">
        <v>46248.5</v>
      </c>
      <c r="N830" t="inlineStr">
        <is>
          <t>TravelLine OL2</t>
        </is>
      </c>
      <c r="O830" s="2" t="inlineStr">
        <is>
          <t>СТАНДАРТНЫЙ ДВУХМЕСТНЫЙ НОМЕР</t>
        </is>
      </c>
      <c r="P830" s="6" t="n"/>
      <c r="R830" t="inlineStr"/>
      <c r="S830" t="inlineStr">
        <is>
          <t>Тариф с завтраком</t>
        </is>
      </c>
      <c r="T830" t="n">
        <v>0</v>
      </c>
      <c r="U830" t="n">
        <v>21360</v>
      </c>
    </row>
    <row r="831">
      <c r="A831" t="inlineStr">
        <is>
          <t>20260914-8186-465267939</t>
        </is>
      </c>
      <c r="B831" t="n">
        <v>1</v>
      </c>
      <c r="C831" s="2" t="inlineStr">
        <is>
          <t>Светлана Носницына, ВЯЧЕСЛАВ БОЧАРОВ</t>
        </is>
      </c>
      <c r="D831" s="3" t="n">
        <v>26499.75</v>
      </c>
      <c r="E831" s="4" t="n">
        <v>4</v>
      </c>
      <c r="F831" t="inlineStr">
        <is>
          <t>TravelLine Booking Engine [Чайковский]</t>
        </is>
      </c>
      <c r="G831" s="3">
        <f>ROUND(D831/(100-E831)*100,2)</f>
        <v/>
      </c>
      <c r="H831" s="5" t="n">
        <v>46279.58333333334</v>
      </c>
      <c r="I831" t="n">
        <v>2</v>
      </c>
      <c r="J831" s="3">
        <f>G831/I831</f>
        <v/>
      </c>
      <c r="K831">
        <f>IF(J831&gt;=5100,"ставка","мин.ставка")</f>
        <v/>
      </c>
      <c r="L831" s="3">
        <f>ROUND(IF(K831="мин.ставка",I831*100,G831/102*2),2)</f>
        <v/>
      </c>
      <c r="M831" s="5" t="n">
        <v>46281.5</v>
      </c>
      <c r="N831" t="inlineStr">
        <is>
          <t>TravelLine сайт</t>
        </is>
      </c>
      <c r="O831" s="2" t="inlineStr">
        <is>
          <t>СТАНДАРТНЫЙ ДВУХМЕСТНЫЙ НОМЕР</t>
        </is>
      </c>
      <c r="P831" s="6" t="n"/>
      <c r="R831" t="inlineStr"/>
      <c r="S831" t="inlineStr">
        <is>
          <t>Тариф с завтраком</t>
        </is>
      </c>
      <c r="T831" t="n">
        <v>0</v>
      </c>
      <c r="U831" t="n">
        <v>26499.75</v>
      </c>
    </row>
    <row r="832">
      <c r="A832" t="inlineStr">
        <is>
          <t>20260817-8186-425895976</t>
        </is>
      </c>
      <c r="B832" t="n">
        <v>1</v>
      </c>
      <c r="C832" s="2" t="inlineStr">
        <is>
          <t>СВЕТЛАНА РУДСКАЯ, СЕРГЕЙ ХАРЧЕНКО</t>
        </is>
      </c>
      <c r="D832" s="3" t="n">
        <v>43350</v>
      </c>
      <c r="E832" s="4" t="n">
        <v>0</v>
      </c>
      <c r="F832" t="inlineStr">
        <is>
          <t>Прямые бронирования (стойка) [Чайковский]</t>
        </is>
      </c>
      <c r="G832" s="3">
        <f>ROUND(D832/(100-E832)*100,2)</f>
        <v/>
      </c>
      <c r="H832" s="5" t="n">
        <v>46255.58333333334</v>
      </c>
      <c r="I832" t="n">
        <v>3</v>
      </c>
      <c r="J832" s="3">
        <f>G832/I832</f>
        <v/>
      </c>
      <c r="K832">
        <f>IF(J832&gt;=5100,"ставка","мин.ставка")</f>
        <v/>
      </c>
      <c r="L832" s="3">
        <f>ROUND(IF(K832="мин.ставка",I832*100,G832/102*2),2)</f>
        <v/>
      </c>
      <c r="M832" s="5" t="n">
        <v>46258.5</v>
      </c>
      <c r="N832" t="inlineStr">
        <is>
          <t>TravelLine ресепшн</t>
        </is>
      </c>
      <c r="O832" s="2" t="inlineStr">
        <is>
          <t>семейный номер категории "стандарт"</t>
        </is>
      </c>
      <c r="P832" s="6" t="n"/>
      <c r="R832" t="inlineStr"/>
      <c r="S832" t="inlineStr">
        <is>
          <t>Тариф с завтраком</t>
        </is>
      </c>
      <c r="T832" t="n">
        <v>0</v>
      </c>
      <c r="U832" t="n">
        <v>43350</v>
      </c>
    </row>
    <row r="833">
      <c r="A833" t="inlineStr">
        <is>
          <t>20260830-8186-455487869</t>
        </is>
      </c>
      <c r="B833" t="n">
        <v>1</v>
      </c>
      <c r="C833" s="2" t="inlineStr">
        <is>
          <t>СВЕТЛАНА РУДСКАЯ, СЕРГЕЙ ХАРЧЕНКО</t>
        </is>
      </c>
      <c r="D833" s="3" t="n">
        <v>28900</v>
      </c>
      <c r="E833" s="4" t="n">
        <v>0</v>
      </c>
      <c r="F833" t="inlineStr">
        <is>
          <t>Прямые бронирования (стойка) [Чайковский]</t>
        </is>
      </c>
      <c r="G833" s="3">
        <f>ROUND(D833/(100-E833)*100,2)</f>
        <v/>
      </c>
      <c r="H833" s="5" t="n">
        <v>46265.58333333334</v>
      </c>
      <c r="I833" t="n">
        <v>2</v>
      </c>
      <c r="J833" s="3">
        <f>G833/I833</f>
        <v/>
      </c>
      <c r="K833">
        <f>IF(J833&gt;=5100,"ставка","мин.ставка")</f>
        <v/>
      </c>
      <c r="L833" s="3">
        <f>ROUND(IF(K833="мин.ставка",I833*100,G833/102*2),2)</f>
        <v/>
      </c>
      <c r="M833" s="5" t="n">
        <v>46267.5</v>
      </c>
      <c r="N833" t="inlineStr">
        <is>
          <t>TravelLine ресепшн</t>
        </is>
      </c>
      <c r="O833" s="2" t="inlineStr">
        <is>
          <t>СЕМЕЙНЫЙ НОМЕР КАТЕГОРИИ "СТАНДАРТ" ВТОРОЙ КОРПУС</t>
        </is>
      </c>
      <c r="P833" s="6" t="n"/>
      <c r="R833" t="inlineStr"/>
      <c r="S833" t="inlineStr">
        <is>
          <t>Тариф с завтраком</t>
        </is>
      </c>
      <c r="T833" t="n">
        <v>0</v>
      </c>
      <c r="U833" t="n">
        <v>28900</v>
      </c>
    </row>
    <row r="834">
      <c r="A834" t="inlineStr">
        <is>
          <t>20260823-8186-427400890</t>
        </is>
      </c>
      <c r="B834" t="n">
        <v>1</v>
      </c>
      <c r="C834" s="2" t="inlineStr">
        <is>
          <t>Светлана Серебрякова, Майя Серебрякова</t>
        </is>
      </c>
      <c r="D834" s="3" t="n">
        <v>22161</v>
      </c>
      <c r="E834" s="4" t="n">
        <v>18</v>
      </c>
      <c r="F834" t="inlineStr">
        <is>
          <t>Яндекс.Путешествия [Чайковский]</t>
        </is>
      </c>
      <c r="G834" s="3">
        <f>ROUND(D834/(100-E834)*100,2)</f>
        <v/>
      </c>
      <c r="H834" s="5" t="n">
        <v>46257.58333333334</v>
      </c>
      <c r="I834" t="n">
        <v>2</v>
      </c>
      <c r="J834" s="3">
        <f>G834/I834</f>
        <v/>
      </c>
      <c r="K834">
        <f>IF(J834&gt;=5100,"ставка","мин.ставка")</f>
        <v/>
      </c>
      <c r="L834" s="3">
        <f>ROUND(IF(K834="мин.ставка",I834*100,G834/102*2),2)</f>
        <v/>
      </c>
      <c r="M834" s="5" t="n">
        <v>46259.5</v>
      </c>
      <c r="N834" t="inlineStr">
        <is>
          <t>TravelLine YAX</t>
        </is>
      </c>
      <c r="O834" s="2" t="inlineStr">
        <is>
          <t>СТАНДАРТНЫЙ ДВУХМЕСТНЫЙ НОМЕР</t>
        </is>
      </c>
      <c r="P834" s="6" t="n"/>
      <c r="R834" t="inlineStr"/>
      <c r="S834" t="inlineStr">
        <is>
          <t>Тариф с завтраком</t>
        </is>
      </c>
      <c r="T834" t="n">
        <v>0</v>
      </c>
      <c r="U834" t="n">
        <v>22161</v>
      </c>
    </row>
    <row r="835">
      <c r="A835" t="inlineStr">
        <is>
          <t>20260823-8186-458898583</t>
        </is>
      </c>
      <c r="B835" t="n">
        <v>1</v>
      </c>
      <c r="C835" s="2" t="inlineStr">
        <is>
          <t>Светлана Слепцова</t>
        </is>
      </c>
      <c r="D835" s="3" t="n">
        <v>6557</v>
      </c>
      <c r="E835" s="4" t="n">
        <v>18</v>
      </c>
      <c r="F835" t="inlineStr">
        <is>
          <t>Яндекс.Путешествия [Чайковский]</t>
        </is>
      </c>
      <c r="G835" s="3">
        <f>ROUND(D835/(100-E835)*100,2)</f>
        <v/>
      </c>
      <c r="H835" s="5" t="n">
        <v>46257.58333333334</v>
      </c>
      <c r="I835" t="n">
        <v>1</v>
      </c>
      <c r="J835" s="3">
        <f>G835/I835</f>
        <v/>
      </c>
      <c r="K835">
        <f>IF(J835&gt;=5100,"ставка","мин.ставка")</f>
        <v/>
      </c>
      <c r="L835" s="3">
        <f>ROUND(IF(K835="мин.ставка",I835*100,G835/102*2),2)</f>
        <v/>
      </c>
      <c r="M835" s="5" t="n">
        <v>46258.5</v>
      </c>
      <c r="N835" t="inlineStr">
        <is>
          <t>TravelLine YAX</t>
        </is>
      </c>
      <c r="O835" s="2" t="inlineStr">
        <is>
          <t>СТАНДАРТНЫЙ ДВУХМЕСТНЫЙ НОМЕР (МАНСАРДА)</t>
        </is>
      </c>
      <c r="P835" s="6" t="n"/>
      <c r="R835" t="inlineStr"/>
      <c r="S835" t="inlineStr">
        <is>
          <t>Тариф с завтраком</t>
        </is>
      </c>
      <c r="T835" t="n">
        <v>0</v>
      </c>
      <c r="U835" t="n">
        <v>6557</v>
      </c>
    </row>
    <row r="836">
      <c r="A836" t="inlineStr">
        <is>
          <t>20260927-8186-461038134</t>
        </is>
      </c>
      <c r="B836" t="n">
        <v>1</v>
      </c>
      <c r="C836" s="2" t="inlineStr">
        <is>
          <t>Светлана Слепцова</t>
        </is>
      </c>
      <c r="D836" s="3" t="n">
        <v>6320</v>
      </c>
      <c r="E836" s="4" t="n">
        <v>18</v>
      </c>
      <c r="F836" t="inlineStr">
        <is>
          <t>Яндекс.Путешествия [Чайковский]</t>
        </is>
      </c>
      <c r="G836" s="3">
        <f>ROUND(D836/(100-E836)*100,2)</f>
        <v/>
      </c>
      <c r="H836" s="5" t="n">
        <v>46292.58333333334</v>
      </c>
      <c r="I836" t="n">
        <v>1</v>
      </c>
      <c r="J836" s="3">
        <f>G836/I836</f>
        <v/>
      </c>
      <c r="K836">
        <f>IF(J836&gt;=5100,"ставка","мин.ставка")</f>
        <v/>
      </c>
      <c r="L836" s="3">
        <f>ROUND(IF(K836="мин.ставка",I836*100,G836/102*2),2)</f>
        <v/>
      </c>
      <c r="M836" s="5" t="n">
        <v>46293.5</v>
      </c>
      <c r="N836" t="inlineStr">
        <is>
          <t>TravelLine YAX</t>
        </is>
      </c>
      <c r="O836" s="2" t="inlineStr">
        <is>
          <t>СТАНДАРТНЫЙ ДВУХМЕСТНЫЙ НОМЕР (МАНСАРДА)</t>
        </is>
      </c>
      <c r="P836" s="6" t="n"/>
      <c r="R836" t="inlineStr"/>
      <c r="S836" t="inlineStr">
        <is>
          <t>Тариф с завтраком</t>
        </is>
      </c>
      <c r="T836" t="n">
        <v>0</v>
      </c>
      <c r="U836" t="n">
        <v>6320</v>
      </c>
    </row>
    <row r="837">
      <c r="A837" t="inlineStr">
        <is>
          <t>20260808-8186-411825729</t>
        </is>
      </c>
      <c r="B837" t="n">
        <v>1</v>
      </c>
      <c r="C837" s="2" t="inlineStr">
        <is>
          <t>Светлана Смирнова, Дмитрий Букатов</t>
        </is>
      </c>
      <c r="D837" s="3" t="n">
        <v>15840</v>
      </c>
      <c r="E837" s="4" t="n">
        <v>18</v>
      </c>
      <c r="F837" t="inlineStr">
        <is>
          <t>Яндекс.Путешествия [Чайковский]</t>
        </is>
      </c>
      <c r="G837" s="3">
        <f>ROUND(D837/(100-E837)*100,2)</f>
        <v/>
      </c>
      <c r="H837" s="5" t="n">
        <v>46242.58333333334</v>
      </c>
      <c r="I837" t="n">
        <v>2</v>
      </c>
      <c r="J837" s="3">
        <f>G837/I837</f>
        <v/>
      </c>
      <c r="K837">
        <f>IF(J837&gt;=5100,"ставка","мин.ставка")</f>
        <v/>
      </c>
      <c r="L837" s="3">
        <f>ROUND(IF(K837="мин.ставка",I837*100,G837/102*2),2)</f>
        <v/>
      </c>
      <c r="M837" s="5" t="n">
        <v>46244.5</v>
      </c>
      <c r="N837" t="inlineStr">
        <is>
          <t>TravelLine YAX</t>
        </is>
      </c>
      <c r="O837" s="2" t="inlineStr">
        <is>
          <t>СТАНДАРТНЫЙ ДВУХМЕСТНЫЙ НОМЕР (МАНСАРДА)</t>
        </is>
      </c>
      <c r="P837" s="6" t="n"/>
      <c r="R837" t="inlineStr"/>
      <c r="S837" t="inlineStr">
        <is>
          <t>Тариф с завтраком</t>
        </is>
      </c>
      <c r="T837" t="n">
        <v>0</v>
      </c>
      <c r="U837" t="n">
        <v>15840</v>
      </c>
    </row>
    <row r="838">
      <c r="A838" t="inlineStr">
        <is>
          <t>20260928-8186-464218932</t>
        </is>
      </c>
      <c r="B838" t="n">
        <v>1</v>
      </c>
      <c r="C838" s="2" t="inlineStr">
        <is>
          <t>Светлана Федорова, Лев Родин</t>
        </is>
      </c>
      <c r="D838" s="3" t="n">
        <v>14850</v>
      </c>
      <c r="E838" s="4" t="n">
        <v>18</v>
      </c>
      <c r="F838" t="inlineStr">
        <is>
          <t>Яндекс.Путешествия [Чайковский]</t>
        </is>
      </c>
      <c r="G838" s="3">
        <f>ROUND(D838/(100-E838)*100,2)</f>
        <v/>
      </c>
      <c r="H838" s="5" t="n">
        <v>46293.58333333334</v>
      </c>
      <c r="I838" t="n">
        <v>2</v>
      </c>
      <c r="J838" s="3">
        <f>G838/I838</f>
        <v/>
      </c>
      <c r="K838">
        <f>IF(J838&gt;=5100,"ставка","мин.ставка")</f>
        <v/>
      </c>
      <c r="L838" s="3">
        <f>ROUND(IF(K838="мин.ставка",I838*100,G838/102*2),2)</f>
        <v/>
      </c>
      <c r="M838" s="5" t="n">
        <v>46295.5</v>
      </c>
      <c r="N838" t="inlineStr">
        <is>
          <t>TravelLine YAX</t>
        </is>
      </c>
      <c r="O838" s="2" t="inlineStr">
        <is>
          <t>СТАНДАРТНЫЙ ДВУХМЕСТНЫЙ НОМЕР (МАНСАРДА)</t>
        </is>
      </c>
      <c r="P838" s="6" t="n"/>
      <c r="R838" t="inlineStr"/>
      <c r="S838" t="inlineStr">
        <is>
          <t>Тариф с завтраком</t>
        </is>
      </c>
      <c r="T838" t="n">
        <v>0</v>
      </c>
      <c r="U838" t="n">
        <v>14850</v>
      </c>
    </row>
    <row r="839">
      <c r="A839" t="inlineStr">
        <is>
          <t>20260901-8186-461767094</t>
        </is>
      </c>
      <c r="B839" t="n">
        <v>1</v>
      </c>
      <c r="C839" s="2" t="inlineStr">
        <is>
          <t>Светлана Четверткова, Ксения Четверткова</t>
        </is>
      </c>
      <c r="D839" s="3" t="n">
        <v>39600</v>
      </c>
      <c r="E839" s="4" t="n">
        <v>20</v>
      </c>
      <c r="F839" t="inlineStr">
        <is>
          <t>ООО «Дубль Гис» (OTELLO) [Чайковский]</t>
        </is>
      </c>
      <c r="G839" s="3">
        <f>ROUND(D839/(100-E839)*100,2)</f>
        <v/>
      </c>
      <c r="H839" s="5" t="n">
        <v>46266.58333333334</v>
      </c>
      <c r="I839" t="n">
        <v>3</v>
      </c>
      <c r="J839" s="3">
        <f>G839/I839</f>
        <v/>
      </c>
      <c r="K839">
        <f>IF(J839&gt;=5100,"ставка","мин.ставка")</f>
        <v/>
      </c>
      <c r="L839" s="3">
        <f>ROUND(IF(K839="мин.ставка",I839*100,G839/102*2),2)</f>
        <v/>
      </c>
      <c r="M839" s="5" t="n">
        <v>46269.5</v>
      </c>
      <c r="N839" t="inlineStr">
        <is>
          <t>TravelLine OL2</t>
        </is>
      </c>
      <c r="O839" s="2" t="inlineStr">
        <is>
          <t>ПОЛУЛЮКС</t>
        </is>
      </c>
      <c r="P839" s="6" t="n"/>
      <c r="R839" t="inlineStr"/>
      <c r="S839" t="inlineStr">
        <is>
          <t>Тариф с завтраком</t>
        </is>
      </c>
      <c r="T839" t="n">
        <v>0</v>
      </c>
      <c r="U839" t="n">
        <v>39600</v>
      </c>
    </row>
    <row r="840">
      <c r="A840" t="inlineStr">
        <is>
          <t>20260718-8186-450585289</t>
        </is>
      </c>
      <c r="B840" t="n">
        <v>1</v>
      </c>
      <c r="C840" s="2" t="inlineStr">
        <is>
          <t>Святослав Семенов</t>
        </is>
      </c>
      <c r="D840" s="3" t="n">
        <v>10115</v>
      </c>
      <c r="E840" s="4" t="n">
        <v>15</v>
      </c>
      <c r="F840" t="inlineStr">
        <is>
          <t>ООО Тинькофф Путешествия [Чайковский]</t>
        </is>
      </c>
      <c r="G840" s="3">
        <f>ROUND(D840/(100-E840)*100,2)</f>
        <v/>
      </c>
      <c r="H840" s="5" t="n">
        <v>46221.58333333334</v>
      </c>
      <c r="I840" t="n">
        <v>1</v>
      </c>
      <c r="J840" s="3">
        <f>G840/I840</f>
        <v/>
      </c>
      <c r="K840">
        <f>IF(J840&gt;=5100,"ставка","мин.ставка")</f>
        <v/>
      </c>
      <c r="L840" s="3">
        <f>ROUND(IF(K840="мин.ставка",I840*100,G840/102*2),2)</f>
        <v/>
      </c>
      <c r="M840" s="5" t="n">
        <v>46222.5</v>
      </c>
      <c r="N840" t="inlineStr">
        <is>
          <t>TravelLine TNK</t>
        </is>
      </c>
      <c r="O840" s="2" t="inlineStr">
        <is>
          <t>УЛУЧШЕННЫЙ ДВУХМЕСТНЫЙ НОМЕР</t>
        </is>
      </c>
      <c r="P840" s="6" t="n"/>
      <c r="R840" t="inlineStr"/>
      <c r="S840" t="inlineStr">
        <is>
          <t>Основной тариф без завтрака</t>
        </is>
      </c>
      <c r="T840" t="n">
        <v>0</v>
      </c>
      <c r="U840" t="n">
        <v>10115</v>
      </c>
    </row>
    <row r="841">
      <c r="A841" t="inlineStr">
        <is>
          <t>20260720-8186-434464061</t>
        </is>
      </c>
      <c r="B841" t="n">
        <v>1</v>
      </c>
      <c r="C841" s="2" t="inlineStr">
        <is>
          <t>СЕВДА МАМЕДОВА, РОМАН МЕЖОВ</t>
        </is>
      </c>
      <c r="D841" s="3" t="n">
        <v>66000</v>
      </c>
      <c r="E841" s="4" t="n">
        <v>20</v>
      </c>
      <c r="F841" t="inlineStr">
        <is>
          <t>ООО "ХБ-ПРО" [Чайковский]</t>
        </is>
      </c>
      <c r="G841" s="3">
        <f>ROUND(D841/(100-E841)*100,2)</f>
        <v/>
      </c>
      <c r="H841" s="5" t="n">
        <v>46223.58333333334</v>
      </c>
      <c r="I841" t="n">
        <v>5</v>
      </c>
      <c r="J841" s="3">
        <f>G841/I841</f>
        <v/>
      </c>
      <c r="K841">
        <f>IF(J841&gt;=5100,"ставка","мин.ставка")</f>
        <v/>
      </c>
      <c r="L841" s="3">
        <f>ROUND(IF(K841="мин.ставка",I841*100,G841/102*2),2)</f>
        <v/>
      </c>
      <c r="M841" s="5" t="n">
        <v>46228.75</v>
      </c>
      <c r="N841" t="inlineStr">
        <is>
          <t>TravelLine UTS</t>
        </is>
      </c>
      <c r="O841" s="2" t="inlineStr">
        <is>
          <t>ПОЛУЛЮКС</t>
        </is>
      </c>
      <c r="P841" s="6" t="n"/>
      <c r="R841" t="inlineStr"/>
      <c r="S841" t="inlineStr">
        <is>
          <t>Тариф с завтраком</t>
        </is>
      </c>
      <c r="T841" t="n">
        <v>8250</v>
      </c>
      <c r="U841" t="n">
        <v>74250</v>
      </c>
    </row>
    <row r="842">
      <c r="A842" t="inlineStr">
        <is>
          <t>20260816-8186-457807232</t>
        </is>
      </c>
      <c r="B842" t="n">
        <v>1</v>
      </c>
      <c r="C842" s="2" t="inlineStr">
        <is>
          <t>Семен Влах, Екатерина Суханова</t>
        </is>
      </c>
      <c r="D842" s="3" t="n">
        <v>32752.5</v>
      </c>
      <c r="E842" s="4" t="n">
        <v>4</v>
      </c>
      <c r="F842" t="inlineStr">
        <is>
          <t>TravelLine Booking Engine [Чайковский]</t>
        </is>
      </c>
      <c r="G842" s="3">
        <f>ROUND(D842/(100-E842)*100,2)</f>
        <v/>
      </c>
      <c r="H842" s="5" t="n">
        <v>46250.58333333334</v>
      </c>
      <c r="I842" t="n">
        <v>2</v>
      </c>
      <c r="J842" s="3">
        <f>G842/I842</f>
        <v/>
      </c>
      <c r="K842">
        <f>IF(J842&gt;=5100,"ставка","мин.ставка")</f>
        <v/>
      </c>
      <c r="L842" s="3">
        <f>ROUND(IF(K842="мин.ставка",I842*100,G842/102*2),2)</f>
        <v/>
      </c>
      <c r="M842" s="5" t="n">
        <v>46252.5</v>
      </c>
      <c r="N842" t="inlineStr">
        <is>
          <t>TravelLine сайт</t>
        </is>
      </c>
      <c r="O842" s="2" t="inlineStr">
        <is>
          <t>ПОЛУЛЮКС</t>
        </is>
      </c>
      <c r="P842" s="6" t="n"/>
      <c r="R842" t="inlineStr"/>
      <c r="S842" t="inlineStr">
        <is>
          <t>Тариф с завтраком</t>
        </is>
      </c>
      <c r="T842" t="n">
        <v>300</v>
      </c>
      <c r="U842" t="n">
        <v>33052.5</v>
      </c>
    </row>
    <row r="843">
      <c r="A843" t="inlineStr">
        <is>
          <t>20260915-8186-434150224</t>
        </is>
      </c>
      <c r="B843" t="n">
        <v>1</v>
      </c>
      <c r="C843" s="2" t="inlineStr">
        <is>
          <t>Семен Гурьев</t>
        </is>
      </c>
      <c r="D843" s="3" t="n">
        <v>19635</v>
      </c>
      <c r="E843" s="4" t="n">
        <v>15</v>
      </c>
      <c r="F843" t="inlineStr">
        <is>
          <t>ООО "АКАДЕМ-ОНЛАЙН" [Чайковский]</t>
        </is>
      </c>
      <c r="G843" s="3">
        <f>ROUND(D843/(100-E843)*100,2)</f>
        <v/>
      </c>
      <c r="H843" s="5" t="n">
        <v>46280.58333333334</v>
      </c>
      <c r="I843" t="n">
        <v>3</v>
      </c>
      <c r="J843" s="3">
        <f>G843/I843</f>
        <v/>
      </c>
      <c r="K843">
        <f>IF(J843&gt;=5100,"ставка","мин.ставка")</f>
        <v/>
      </c>
      <c r="L843" s="3">
        <f>ROUND(IF(K843="мин.ставка",I843*100,G843/102*2),2)</f>
        <v/>
      </c>
      <c r="M843" s="5" t="n">
        <v>46283.5</v>
      </c>
      <c r="N843" t="inlineStr">
        <is>
          <t>TravelLine ACS</t>
        </is>
      </c>
      <c r="O843" s="2" t="inlineStr">
        <is>
          <t>СТАНДАРТНЫЙ ОДНОМЕСТНЫЙ НОМЕР</t>
        </is>
      </c>
      <c r="P843" s="6" t="n"/>
      <c r="R843" t="inlineStr"/>
      <c r="S843" t="inlineStr">
        <is>
          <t>Тариф с завтраком</t>
        </is>
      </c>
      <c r="T843" t="n">
        <v>0</v>
      </c>
      <c r="U843" t="n">
        <v>19635</v>
      </c>
    </row>
    <row r="844">
      <c r="A844" t="inlineStr">
        <is>
          <t>20260802-8186-429074020</t>
        </is>
      </c>
      <c r="B844" t="n">
        <v>1</v>
      </c>
      <c r="C844" s="2" t="inlineStr">
        <is>
          <t>Семен Клямкин, ЕЛЕНА МЕЩЕРЯКОВА</t>
        </is>
      </c>
      <c r="D844" s="3" t="n">
        <v>56737.5</v>
      </c>
      <c r="E844" s="4" t="n">
        <v>20</v>
      </c>
      <c r="F844" t="inlineStr">
        <is>
          <t>ООО «Дубль Гис» (OTELLO) [Чайковский]</t>
        </is>
      </c>
      <c r="G844" s="3">
        <f>ROUND(D844/(100-E844)*100,2)</f>
        <v/>
      </c>
      <c r="H844" s="5" t="n">
        <v>46236.58333333334</v>
      </c>
      <c r="I844" t="n">
        <v>5</v>
      </c>
      <c r="J844" s="3">
        <f>G844/I844</f>
        <v/>
      </c>
      <c r="K844">
        <f>IF(J844&gt;=5100,"ставка","мин.ставка")</f>
        <v/>
      </c>
      <c r="L844" s="3">
        <f>ROUND(IF(K844="мин.ставка",I844*100,G844/102*2),2)</f>
        <v/>
      </c>
      <c r="M844" s="5" t="n">
        <v>46241.5</v>
      </c>
      <c r="N844" t="inlineStr">
        <is>
          <t>TravelLine OL2</t>
        </is>
      </c>
      <c r="O844" s="2" t="inlineStr">
        <is>
          <t>СТАНДАРТНЫЙ ДВУХМЕСТНЫЙ НОМЕР</t>
        </is>
      </c>
      <c r="P844" s="6" t="n"/>
      <c r="R844" t="inlineStr"/>
      <c r="S844" t="inlineStr">
        <is>
          <t>Тариф с завтраком</t>
        </is>
      </c>
      <c r="T844" t="n">
        <v>0</v>
      </c>
      <c r="U844" t="n">
        <v>113475</v>
      </c>
    </row>
    <row r="845">
      <c r="A845" t="inlineStr">
        <is>
          <t>20260827-8186-461645701</t>
        </is>
      </c>
      <c r="B845" t="n">
        <v>1</v>
      </c>
      <c r="C845" s="2" t="inlineStr">
        <is>
          <t>Семён Новосельский</t>
        </is>
      </c>
      <c r="D845" s="3" t="n">
        <v>22348.15</v>
      </c>
      <c r="E845" s="4" t="n">
        <v>4</v>
      </c>
      <c r="F845" t="inlineStr">
        <is>
          <t>TravelLine Booking Engine [Чайковский]</t>
        </is>
      </c>
      <c r="G845" s="3">
        <f>ROUND(D845/(100-E845)*100,2)</f>
        <v/>
      </c>
      <c r="H845" s="5" t="n">
        <v>46261.58333333334</v>
      </c>
      <c r="I845" t="n">
        <v>2</v>
      </c>
      <c r="J845" s="3">
        <f>G845/I845</f>
        <v/>
      </c>
      <c r="K845">
        <f>IF(J845&gt;=5100,"ставка","мин.ставка")</f>
        <v/>
      </c>
      <c r="L845" s="3">
        <f>ROUND(IF(K845="мин.ставка",I845*100,G845/102*2),2)</f>
        <v/>
      </c>
      <c r="M845" s="5" t="n">
        <v>46263.5</v>
      </c>
      <c r="N845" t="inlineStr">
        <is>
          <t>TravelLine сайт</t>
        </is>
      </c>
      <c r="O845" s="2" t="inlineStr">
        <is>
          <t>СТАНДАРТНЫЙ ДВУХМЕСТНЫЙ НОМЕР</t>
        </is>
      </c>
      <c r="P845" s="6" t="n"/>
      <c r="R845" t="inlineStr"/>
      <c r="S845" t="inlineStr">
        <is>
          <t>Тариф с завтраком</t>
        </is>
      </c>
      <c r="T845" t="n">
        <v>0</v>
      </c>
      <c r="U845" t="n">
        <v>48634.3</v>
      </c>
    </row>
    <row r="846">
      <c r="A846" t="inlineStr">
        <is>
          <t>20260711-8186-430006493</t>
        </is>
      </c>
      <c r="B846" t="n">
        <v>1</v>
      </c>
      <c r="C846" s="2" t="inlineStr">
        <is>
          <t>Сергей Денисов, Юлия Денисова</t>
        </is>
      </c>
      <c r="D846" s="3" t="n">
        <v>56737.5</v>
      </c>
      <c r="E846" s="4" t="n">
        <v>0</v>
      </c>
      <c r="F846" t="inlineStr">
        <is>
          <t>ООО "АЛЕАН ОТДЫХ" [Чайковский]</t>
        </is>
      </c>
      <c r="G846" s="3">
        <f>ROUND(D846/(100-E846)*100,2)</f>
        <v/>
      </c>
      <c r="H846" s="5" t="n">
        <v>46214.58333333334</v>
      </c>
      <c r="I846" t="n">
        <v>5</v>
      </c>
      <c r="J846" s="3">
        <f>G846/I846</f>
        <v/>
      </c>
      <c r="K846">
        <f>IF(J846&gt;=5100,"ставка","мин.ставка")</f>
        <v/>
      </c>
      <c r="L846" s="3">
        <f>ROUND(IF(K846="мин.ставка",I846*100,G846/102*2),2)</f>
        <v/>
      </c>
      <c r="M846" s="5" t="n">
        <v>46219.58333333334</v>
      </c>
      <c r="N846" t="inlineStr">
        <is>
          <t>TravelLine ALN</t>
        </is>
      </c>
      <c r="O846" s="2" t="inlineStr">
        <is>
          <t>СТАНДАРТНЫЙ ДВУХМЕСТНЫЙ НОМЕР</t>
        </is>
      </c>
      <c r="P846" s="6" t="n"/>
      <c r="R846" t="inlineStr"/>
      <c r="S846" t="inlineStr">
        <is>
          <t>Тариф с завтраком</t>
        </is>
      </c>
      <c r="T846" t="n">
        <v>9175</v>
      </c>
      <c r="U846" t="n">
        <v>65912.5</v>
      </c>
    </row>
    <row r="847">
      <c r="A847" t="inlineStr">
        <is>
          <t>20260922-8186-464618227</t>
        </is>
      </c>
      <c r="B847" t="n">
        <v>1</v>
      </c>
      <c r="C847" s="2" t="inlineStr">
        <is>
          <t>Сергей Иванов, Юлия Иванова</t>
        </is>
      </c>
      <c r="D847" s="3" t="n">
        <v>20025</v>
      </c>
      <c r="E847" s="4" t="n">
        <v>18</v>
      </c>
      <c r="F847" t="inlineStr">
        <is>
          <t>Яндекс.Путешествия [Чайковский]</t>
        </is>
      </c>
      <c r="G847" s="3">
        <f>ROUND(D847/(100-E847)*100,2)</f>
        <v/>
      </c>
      <c r="H847" s="5" t="n">
        <v>46287.58333333334</v>
      </c>
      <c r="I847" t="n">
        <v>2</v>
      </c>
      <c r="J847" s="3">
        <f>G847/I847</f>
        <v/>
      </c>
      <c r="K847">
        <f>IF(J847&gt;=5100,"ставка","мин.ставка")</f>
        <v/>
      </c>
      <c r="L847" s="3">
        <f>ROUND(IF(K847="мин.ставка",I847*100,G847/102*2),2)</f>
        <v/>
      </c>
      <c r="M847" s="5" t="n">
        <v>46289.5</v>
      </c>
      <c r="N847" t="inlineStr">
        <is>
          <t>TravelLine YAX</t>
        </is>
      </c>
      <c r="O847" s="2" t="inlineStr">
        <is>
          <t>СТАНДАРТНЫЙ ДВУХМЕСТНЫЙ НОМЕР</t>
        </is>
      </c>
      <c r="P847" s="6" t="n"/>
      <c r="R847" t="inlineStr"/>
      <c r="S847" t="inlineStr">
        <is>
          <t>Тариф с завтраком</t>
        </is>
      </c>
      <c r="T847" t="n">
        <v>0</v>
      </c>
      <c r="U847" t="n">
        <v>20025</v>
      </c>
    </row>
    <row r="848">
      <c r="A848" t="inlineStr">
        <is>
          <t>20260720-8186-450544842</t>
        </is>
      </c>
      <c r="B848" t="n">
        <v>1</v>
      </c>
      <c r="C848" s="2" t="inlineStr">
        <is>
          <t>СЕРГЕЙ КИРИЛИХИН</t>
        </is>
      </c>
      <c r="D848" s="3" t="n">
        <v>11390</v>
      </c>
      <c r="E848" s="4" t="n">
        <v>15</v>
      </c>
      <c r="F848" t="inlineStr">
        <is>
          <t>ООО "БРОНИРОВАНИЕ ГОСТИНИЦ" (OSTROVOK) [Чайковский]</t>
        </is>
      </c>
      <c r="G848" s="3">
        <f>ROUND(D848/(100-E848)*100,2)</f>
        <v/>
      </c>
      <c r="H848" s="5" t="n">
        <v>46223.58333333334</v>
      </c>
      <c r="I848" t="n">
        <v>1</v>
      </c>
      <c r="J848" s="3">
        <f>G848/I848</f>
        <v/>
      </c>
      <c r="K848">
        <f>IF(J848&gt;=5100,"ставка","мин.ставка")</f>
        <v/>
      </c>
      <c r="L848" s="3">
        <f>ROUND(IF(K848="мин.ставка",I848*100,G848/102*2),2)</f>
        <v/>
      </c>
      <c r="M848" s="5" t="n">
        <v>46224.5</v>
      </c>
      <c r="N848" t="inlineStr">
        <is>
          <t>TravelLine OTK</t>
        </is>
      </c>
      <c r="O848" s="2" t="inlineStr">
        <is>
          <t>УЛУЧШЕННЫЙ ДВУХМЕСТНЫЙ НОМЕР</t>
        </is>
      </c>
      <c r="P848" s="6" t="n"/>
      <c r="R848" t="inlineStr"/>
      <c r="S848" t="inlineStr">
        <is>
          <t>Тариф с завтраком</t>
        </is>
      </c>
      <c r="T848" t="n">
        <v>0</v>
      </c>
      <c r="U848" t="n">
        <v>11390</v>
      </c>
    </row>
    <row r="849">
      <c r="A849" t="inlineStr">
        <is>
          <t>20260809-8186-457090858</t>
        </is>
      </c>
      <c r="B849" t="n">
        <v>1</v>
      </c>
      <c r="C849" s="2" t="inlineStr">
        <is>
          <t>СЕРГЕЙ КОРЧИН</t>
        </is>
      </c>
      <c r="D849" s="3" t="n">
        <v>12450</v>
      </c>
      <c r="E849" s="4" t="n">
        <v>0</v>
      </c>
      <c r="F849" t="inlineStr">
        <is>
          <t>Прямые бронирования (стойка) [Чайковский]</t>
        </is>
      </c>
      <c r="G849" s="3">
        <f>ROUND(D849/(100-E849)*100,2)</f>
        <v/>
      </c>
      <c r="H849" s="5" t="n">
        <v>46243.58333333334</v>
      </c>
      <c r="I849" t="n">
        <v>1</v>
      </c>
      <c r="J849" s="3">
        <f>G849/I849</f>
        <v/>
      </c>
      <c r="K849">
        <f>IF(J849&gt;=5100,"ставка","мин.ставка")</f>
        <v/>
      </c>
      <c r="L849" s="3">
        <f>ROUND(IF(K849="мин.ставка",I849*100,G849/102*2),2)</f>
        <v/>
      </c>
      <c r="M849" s="5" t="n">
        <v>46244.5</v>
      </c>
      <c r="N849" t="inlineStr">
        <is>
          <t>TravelLine ресепшн</t>
        </is>
      </c>
      <c r="O849" s="2" t="inlineStr">
        <is>
          <t>СЕМЕЙНЫЙ НОМЕР КАТЕГОРИИ "СТАНДАРТ" ВТОРОЙ КОРПУС</t>
        </is>
      </c>
      <c r="P849" s="6" t="n"/>
      <c r="R849" t="inlineStr"/>
      <c r="S849" t="inlineStr">
        <is>
          <t>Тариф с завтраком</t>
        </is>
      </c>
      <c r="T849" t="n">
        <v>0</v>
      </c>
      <c r="U849" t="n">
        <v>12450</v>
      </c>
    </row>
    <row r="850">
      <c r="A850" t="inlineStr">
        <is>
          <t>20260810-8186-457337413</t>
        </is>
      </c>
      <c r="B850" t="n">
        <v>1</v>
      </c>
      <c r="C850" s="2" t="inlineStr">
        <is>
          <t>СЕРГЕЙ КОРЧИН</t>
        </is>
      </c>
      <c r="D850" s="3" t="n">
        <v>6930</v>
      </c>
      <c r="E850" s="4" t="n">
        <v>0</v>
      </c>
      <c r="F850" t="inlineStr">
        <is>
          <t>Прямые бронирования (стойка) [Чайковский]</t>
        </is>
      </c>
      <c r="G850" s="3">
        <f>ROUND(D850/(100-E850)*100,2)</f>
        <v/>
      </c>
      <c r="H850" s="5" t="n">
        <v>46244.58333333334</v>
      </c>
      <c r="I850" t="n">
        <v>1</v>
      </c>
      <c r="J850" s="3">
        <f>G850/I850</f>
        <v/>
      </c>
      <c r="K850">
        <f>IF(J850&gt;=5100,"ставка","мин.ставка")</f>
        <v/>
      </c>
      <c r="L850" s="3">
        <f>ROUND(IF(K850="мин.ставка",I850*100,G850/102*2),2)</f>
        <v/>
      </c>
      <c r="M850" s="5" t="n">
        <v>46245.5</v>
      </c>
      <c r="N850" t="inlineStr">
        <is>
          <t>TravelLine ресепшн</t>
        </is>
      </c>
      <c r="O850" s="2" t="inlineStr">
        <is>
          <t>СТАНДАРТНЫЙ ОДНОМЕСТНЫЙ НОМЕР</t>
        </is>
      </c>
      <c r="P850" s="6" t="n"/>
      <c r="R850" t="inlineStr"/>
      <c r="S850" t="inlineStr">
        <is>
          <t>Тариф с завтраком</t>
        </is>
      </c>
      <c r="T850" t="n">
        <v>0</v>
      </c>
      <c r="U850" t="n">
        <v>6930</v>
      </c>
    </row>
    <row r="851">
      <c r="A851" t="inlineStr">
        <is>
          <t>20260801-8186-454949220</t>
        </is>
      </c>
      <c r="B851" t="n">
        <v>1</v>
      </c>
      <c r="C851" s="2" t="inlineStr">
        <is>
          <t>СЕРГЕЙ КОРЧИН</t>
        </is>
      </c>
      <c r="D851" s="3" t="n">
        <v>26180</v>
      </c>
      <c r="E851" s="4" t="n">
        <v>16</v>
      </c>
      <c r="F851" t="inlineStr">
        <is>
          <t>ООО "БРОНИРОВАНИЕ ГОСТИНИЦ" (OSTROVOK) [Чайковский]</t>
        </is>
      </c>
      <c r="G851" s="3">
        <f>ROUND(D851/(100-E851)*100,2)</f>
        <v/>
      </c>
      <c r="H851" s="5" t="n">
        <v>46235.58333333334</v>
      </c>
      <c r="I851" t="n">
        <v>4</v>
      </c>
      <c r="J851" s="3">
        <f>G851/I851</f>
        <v/>
      </c>
      <c r="K851">
        <f>IF(J851&gt;=5100,"ставка","мин.ставка")</f>
        <v/>
      </c>
      <c r="L851" s="3">
        <f>ROUND(IF(K851="мин.ставка",I851*100,G851/102*2),2)</f>
        <v/>
      </c>
      <c r="M851" s="5" t="n">
        <v>46239.5</v>
      </c>
      <c r="N851" t="inlineStr">
        <is>
          <t>TravelLine OTK</t>
        </is>
      </c>
      <c r="O851" s="2" t="inlineStr">
        <is>
          <t>СТАНДАРТНЫЙ ОДНОМЕСТНЫЙ НОМЕР</t>
        </is>
      </c>
      <c r="P851" s="6" t="n"/>
      <c r="R851" t="inlineStr"/>
      <c r="S851" t="inlineStr">
        <is>
          <t>Тариф с завтраком</t>
        </is>
      </c>
      <c r="T851" t="n">
        <v>0</v>
      </c>
      <c r="U851" t="n">
        <v>26180</v>
      </c>
    </row>
    <row r="852">
      <c r="A852" t="inlineStr">
        <is>
          <t>20260807-8186-456681097</t>
        </is>
      </c>
      <c r="B852" t="n">
        <v>1</v>
      </c>
      <c r="C852" s="2" t="inlineStr">
        <is>
          <t>СЕРГЕЙ КОРЧИН</t>
        </is>
      </c>
      <c r="D852" s="3" t="n">
        <v>20916</v>
      </c>
      <c r="E852" s="4" t="n">
        <v>16</v>
      </c>
      <c r="F852" t="inlineStr">
        <is>
          <t>ООО "БРОНИРОВАНИЕ ГОСТИНИЦ" (OSTROVOK) [Чайковский]</t>
        </is>
      </c>
      <c r="G852" s="3">
        <f>ROUND(D852/(100-E852)*100,2)</f>
        <v/>
      </c>
      <c r="H852" s="5" t="n">
        <v>46241.58333333334</v>
      </c>
      <c r="I852" t="n">
        <v>2</v>
      </c>
      <c r="J852" s="3">
        <f>G852/I852</f>
        <v/>
      </c>
      <c r="K852">
        <f>IF(J852&gt;=5100,"ставка","мин.ставка")</f>
        <v/>
      </c>
      <c r="L852" s="3">
        <f>ROUND(IF(K852="мин.ставка",I852*100,G852/102*2),2)</f>
        <v/>
      </c>
      <c r="M852" s="5" t="n">
        <v>46243.5</v>
      </c>
      <c r="N852" t="inlineStr">
        <is>
          <t>TravelLine OTK</t>
        </is>
      </c>
      <c r="O852" s="2" t="inlineStr">
        <is>
          <t>СЕМЕЙНЫЙ НОМЕР КАТЕГОРИИ "СТАНДАРТ" ВТОРОЙ КОРПУС</t>
        </is>
      </c>
      <c r="P852" s="6" t="n"/>
      <c r="R852" t="inlineStr"/>
      <c r="S852" t="inlineStr">
        <is>
          <t>Тариф с завтраком</t>
        </is>
      </c>
      <c r="T852" t="n">
        <v>200</v>
      </c>
      <c r="U852" t="n">
        <v>21116</v>
      </c>
    </row>
    <row r="853">
      <c r="A853" t="inlineStr">
        <is>
          <t>20260914-8186-463962780</t>
        </is>
      </c>
      <c r="B853" t="n">
        <v>1</v>
      </c>
      <c r="C853" s="2" t="inlineStr">
        <is>
          <t>Сергей Котов, Елена Котова</t>
        </is>
      </c>
      <c r="D853" s="3" t="n">
        <v>28050</v>
      </c>
      <c r="E853" s="4" t="n">
        <v>15</v>
      </c>
      <c r="F853" t="inlineStr">
        <is>
          <t>ООО Тинькофф Путешествия [Чайковский]</t>
        </is>
      </c>
      <c r="G853" s="3">
        <f>ROUND(D853/(100-E853)*100,2)</f>
        <v/>
      </c>
      <c r="H853" s="5" t="n">
        <v>46279.58333333334</v>
      </c>
      <c r="I853" t="n">
        <v>2</v>
      </c>
      <c r="J853" s="3">
        <f>G853/I853</f>
        <v/>
      </c>
      <c r="K853">
        <f>IF(J853&gt;=5100,"ставка","мин.ставка")</f>
        <v/>
      </c>
      <c r="L853" s="3">
        <f>ROUND(IF(K853="мин.ставка",I853*100,G853/102*2),2)</f>
        <v/>
      </c>
      <c r="M853" s="5" t="n">
        <v>46281.5</v>
      </c>
      <c r="N853" t="inlineStr">
        <is>
          <t>TravelLine TNK</t>
        </is>
      </c>
      <c r="O853" s="2" t="inlineStr">
        <is>
          <t>ПОЛУЛЮКС</t>
        </is>
      </c>
      <c r="P853" s="6" t="n"/>
      <c r="R853" t="inlineStr"/>
      <c r="S853" t="inlineStr">
        <is>
          <t>Тариф с завтраком</t>
        </is>
      </c>
      <c r="T853" t="n">
        <v>0</v>
      </c>
      <c r="U853" t="n">
        <v>28050</v>
      </c>
    </row>
    <row r="854">
      <c r="A854" t="inlineStr">
        <is>
          <t>20260912-8186-465616787</t>
        </is>
      </c>
      <c r="B854" t="n">
        <v>1</v>
      </c>
      <c r="C854" s="2" t="inlineStr">
        <is>
          <t>Сергей Краузе, Елена Мариевская</t>
        </is>
      </c>
      <c r="D854" s="3" t="n">
        <v>11214</v>
      </c>
      <c r="E854" s="4" t="n">
        <v>16</v>
      </c>
      <c r="F854" t="inlineStr">
        <is>
          <t>ООО "БРОНИРОВАНИЕ ГОСТИНИЦ" (OSTROVOK) [Чайковский]</t>
        </is>
      </c>
      <c r="G854" s="3">
        <f>ROUND(D854/(100-E854)*100,2)</f>
        <v/>
      </c>
      <c r="H854" s="5" t="n">
        <v>46277.58333333334</v>
      </c>
      <c r="I854" t="n">
        <v>1</v>
      </c>
      <c r="J854" s="3">
        <f>G854/I854</f>
        <v/>
      </c>
      <c r="K854">
        <f>IF(J854&gt;=5100,"ставка","мин.ставка")</f>
        <v/>
      </c>
      <c r="L854" s="3">
        <f>ROUND(IF(K854="мин.ставка",I854*100,G854/102*2),2)</f>
        <v/>
      </c>
      <c r="M854" s="5" t="n">
        <v>46278.5</v>
      </c>
      <c r="N854" t="inlineStr">
        <is>
          <t>TravelLine OTK</t>
        </is>
      </c>
      <c r="O854" s="2" t="inlineStr">
        <is>
          <t>СТАНДАРТНЫЙ ДВУХМЕСТНЫЙ НОМЕР</t>
        </is>
      </c>
      <c r="P854" s="6" t="n"/>
      <c r="R854" t="inlineStr"/>
      <c r="S854" t="inlineStr">
        <is>
          <t>Тариф с завтраком</t>
        </is>
      </c>
      <c r="T854" t="n">
        <v>0</v>
      </c>
      <c r="U854" t="n">
        <v>11214</v>
      </c>
    </row>
    <row r="855">
      <c r="A855" t="inlineStr">
        <is>
          <t>20260702-8186-447117619</t>
        </is>
      </c>
      <c r="B855" t="n">
        <v>1</v>
      </c>
      <c r="C855" s="2" t="inlineStr">
        <is>
          <t>сергей кривченко</t>
        </is>
      </c>
      <c r="D855" s="3" t="n">
        <v>12350</v>
      </c>
      <c r="E855" s="4" t="n">
        <v>0</v>
      </c>
      <c r="F855" t="inlineStr">
        <is>
          <t>Прямые бронирования (стойка) [Чайковский]</t>
        </is>
      </c>
      <c r="G855" s="3">
        <f>ROUND(D855/(100-E855)*100,2)</f>
        <v/>
      </c>
      <c r="H855" s="5" t="n">
        <v>46205.58333333334</v>
      </c>
      <c r="I855" t="n">
        <v>1</v>
      </c>
      <c r="J855" s="3">
        <f>G855/I855</f>
        <v/>
      </c>
      <c r="K855">
        <f>IF(J855&gt;=5100,"ставка","мин.ставка")</f>
        <v/>
      </c>
      <c r="L855" s="3">
        <f>ROUND(IF(K855="мин.ставка",I855*100,G855/102*2),2)</f>
        <v/>
      </c>
      <c r="M855" s="5" t="n">
        <v>46206.5</v>
      </c>
      <c r="N855" t="inlineStr">
        <is>
          <t>TravelLine ресепшн</t>
        </is>
      </c>
      <c r="O855" s="2" t="inlineStr">
        <is>
          <t>СЕМЕЙНЫЙ НОМЕР КАТЕГОРИИ "СТАНДАРТ" ВТОРОЙ КОРПУС</t>
        </is>
      </c>
      <c r="P855" s="6" t="n"/>
      <c r="R855" t="inlineStr"/>
      <c r="S855" t="inlineStr">
        <is>
          <t>Тариф с завтраком</t>
        </is>
      </c>
      <c r="T855" t="n">
        <v>0</v>
      </c>
      <c r="U855" t="n">
        <v>12350</v>
      </c>
    </row>
    <row r="856">
      <c r="A856" t="inlineStr">
        <is>
          <t>20260708-8186-448685660</t>
        </is>
      </c>
      <c r="B856" t="n">
        <v>1</v>
      </c>
      <c r="C856" s="2" t="inlineStr">
        <is>
          <t>сергей кривченко</t>
        </is>
      </c>
      <c r="D856" s="3" t="n">
        <v>17800</v>
      </c>
      <c r="E856" s="4" t="n">
        <v>0</v>
      </c>
      <c r="F856" t="inlineStr">
        <is>
          <t>Прямые бронирования (стойка) [Чайковский]</t>
        </is>
      </c>
      <c r="G856" s="3">
        <f>ROUND(D856/(100-E856)*100,2)</f>
        <v/>
      </c>
      <c r="H856" s="5" t="n">
        <v>46211.58333333334</v>
      </c>
      <c r="I856" t="n">
        <v>1</v>
      </c>
      <c r="J856" s="3">
        <f>G856/I856</f>
        <v/>
      </c>
      <c r="K856">
        <f>IF(J856&gt;=5100,"ставка","мин.ставка")</f>
        <v/>
      </c>
      <c r="L856" s="3">
        <f>ROUND(IF(K856="мин.ставка",I856*100,G856/102*2),2)</f>
        <v/>
      </c>
      <c r="M856" s="5" t="n">
        <v>46212.5</v>
      </c>
      <c r="N856" t="inlineStr">
        <is>
          <t>TravelLine ресепшн</t>
        </is>
      </c>
      <c r="O856" s="2" t="inlineStr">
        <is>
          <t>ЛЮКС ВТОРОЙ КОРПУС</t>
        </is>
      </c>
      <c r="P856" s="6" t="n"/>
      <c r="R856" t="inlineStr"/>
      <c r="S856" t="inlineStr">
        <is>
          <t>Тариф с завтраком</t>
        </is>
      </c>
      <c r="T856" t="n">
        <v>0</v>
      </c>
      <c r="U856" t="n">
        <v>17800</v>
      </c>
    </row>
    <row r="857">
      <c r="A857" t="inlineStr">
        <is>
          <t>20260806-8186-456464200</t>
        </is>
      </c>
      <c r="B857" t="n">
        <v>1</v>
      </c>
      <c r="C857" s="2" t="inlineStr">
        <is>
          <t>сергей кривченко</t>
        </is>
      </c>
      <c r="D857" s="3" t="n">
        <v>16020</v>
      </c>
      <c r="E857" s="4" t="n">
        <v>0</v>
      </c>
      <c r="F857" t="inlineStr">
        <is>
          <t>Прямые бронирования (стойка) [Чайковский]</t>
        </is>
      </c>
      <c r="G857" s="3">
        <f>ROUND(D857/(100-E857)*100,2)</f>
        <v/>
      </c>
      <c r="H857" s="5" t="n">
        <v>46240.58333333334</v>
      </c>
      <c r="I857" t="n">
        <v>1</v>
      </c>
      <c r="J857" s="3">
        <f>G857/I857</f>
        <v/>
      </c>
      <c r="K857">
        <f>IF(J857&gt;=5100,"ставка","мин.ставка")</f>
        <v/>
      </c>
      <c r="L857" s="3">
        <f>ROUND(IF(K857="мин.ставка",I857*100,G857/102*2),2)</f>
        <v/>
      </c>
      <c r="M857" s="5" t="n">
        <v>46241.5</v>
      </c>
      <c r="N857" t="inlineStr">
        <is>
          <t>TravelLine ресепшн</t>
        </is>
      </c>
      <c r="O857" s="2" t="inlineStr">
        <is>
          <t>ЛЮКС ВТОРОЙ КОРПУС</t>
        </is>
      </c>
      <c r="P857" s="6" t="n"/>
      <c r="R857" t="inlineStr"/>
      <c r="S857" t="inlineStr">
        <is>
          <t>Тариф с завтраком</t>
        </is>
      </c>
      <c r="T857" t="n">
        <v>0</v>
      </c>
      <c r="U857" t="n">
        <v>16020</v>
      </c>
    </row>
    <row r="858">
      <c r="A858" t="inlineStr">
        <is>
          <t>20260710-8186-449225976</t>
        </is>
      </c>
      <c r="B858" t="n">
        <v>1</v>
      </c>
      <c r="C858" s="2" t="inlineStr">
        <is>
          <t>сергей кривченко</t>
        </is>
      </c>
      <c r="D858" s="3" t="n">
        <v>9315</v>
      </c>
      <c r="E858" s="4" t="n">
        <v>0</v>
      </c>
      <c r="F858" t="inlineStr">
        <is>
          <t>Прямые бронирования (стойка) [Чайковский]</t>
        </is>
      </c>
      <c r="G858" s="3">
        <f>ROUND(D858/(100-E858)*100,2)</f>
        <v/>
      </c>
      <c r="H858" s="5" t="n">
        <v>46213.58333333334</v>
      </c>
      <c r="I858" t="n">
        <v>1</v>
      </c>
      <c r="J858" s="3">
        <f>G858/I858</f>
        <v/>
      </c>
      <c r="K858">
        <f>IF(J858&gt;=5100,"ставка","мин.ставка")</f>
        <v/>
      </c>
      <c r="L858" s="3">
        <f>ROUND(IF(K858="мин.ставка",I858*100,G858/102*2),2)</f>
        <v/>
      </c>
      <c r="M858" s="5" t="n">
        <v>46214.5</v>
      </c>
      <c r="N858" t="inlineStr">
        <is>
          <t>TravelLine ресепшн</t>
        </is>
      </c>
      <c r="O858" s="2" t="inlineStr">
        <is>
          <t>СТАНДАРТНЫЙ ДВУХМЕСТНЫЙ НОМЕР</t>
        </is>
      </c>
      <c r="P858" s="6" t="n"/>
      <c r="R858" t="inlineStr"/>
      <c r="S858" t="inlineStr">
        <is>
          <t>Тариф с завтраком</t>
        </is>
      </c>
      <c r="T858" t="n">
        <v>0</v>
      </c>
      <c r="U858" t="n">
        <v>9315</v>
      </c>
    </row>
    <row r="859">
      <c r="A859" t="inlineStr">
        <is>
          <t>20260730-8186-454570903</t>
        </is>
      </c>
      <c r="B859" t="n">
        <v>1</v>
      </c>
      <c r="C859" s="2" t="inlineStr">
        <is>
          <t>сергей кривченко</t>
        </is>
      </c>
      <c r="D859" s="3" t="n">
        <v>12015</v>
      </c>
      <c r="E859" s="4" t="n">
        <v>0</v>
      </c>
      <c r="F859" t="inlineStr">
        <is>
          <t>Прямые бронирования (стойка) [Чайковский]</t>
        </is>
      </c>
      <c r="G859" s="3">
        <f>ROUND(D859/(100-E859)*100,2)</f>
        <v/>
      </c>
      <c r="H859" s="5" t="n">
        <v>46233.58333333334</v>
      </c>
      <c r="I859" t="n">
        <v>1</v>
      </c>
      <c r="J859" s="3">
        <f>G859/I859</f>
        <v/>
      </c>
      <c r="K859">
        <f>IF(J859&gt;=5100,"ставка","мин.ставка")</f>
        <v/>
      </c>
      <c r="L859" s="3">
        <f>ROUND(IF(K859="мин.ставка",I859*100,G859/102*2),2)</f>
        <v/>
      </c>
      <c r="M859" s="5" t="n">
        <v>46234.5</v>
      </c>
      <c r="N859" t="inlineStr">
        <is>
          <t>TravelLine ресепшн</t>
        </is>
      </c>
      <c r="O859" s="2" t="inlineStr">
        <is>
          <t>СТАНДАРТНЫЙ ДВУХМЕСТНЫЙ НОМЕР</t>
        </is>
      </c>
      <c r="P859" s="6" t="n"/>
      <c r="R859" t="inlineStr"/>
      <c r="S859" t="inlineStr">
        <is>
          <t>Тариф с завтраком</t>
        </is>
      </c>
      <c r="T859" t="n">
        <v>0</v>
      </c>
      <c r="U859" t="n">
        <v>12015</v>
      </c>
    </row>
    <row r="860">
      <c r="A860" t="inlineStr">
        <is>
          <t>20260801-8186-455105013</t>
        </is>
      </c>
      <c r="B860" t="n">
        <v>1</v>
      </c>
      <c r="C860" s="2" t="inlineStr">
        <is>
          <t>сергей кривченко</t>
        </is>
      </c>
      <c r="D860" s="3" t="n">
        <v>12015</v>
      </c>
      <c r="E860" s="4" t="n">
        <v>0</v>
      </c>
      <c r="F860" t="inlineStr">
        <is>
          <t>Прямые бронирования (стойка) [Чайковский]</t>
        </is>
      </c>
      <c r="G860" s="3">
        <f>ROUND(D860/(100-E860)*100,2)</f>
        <v/>
      </c>
      <c r="H860" s="5" t="n">
        <v>46235.58333333334</v>
      </c>
      <c r="I860" t="n">
        <v>1</v>
      </c>
      <c r="J860" s="3">
        <f>G860/I860</f>
        <v/>
      </c>
      <c r="K860">
        <f>IF(J860&gt;=5100,"ставка","мин.ставка")</f>
        <v/>
      </c>
      <c r="L860" s="3">
        <f>ROUND(IF(K860="мин.ставка",I860*100,G860/102*2),2)</f>
        <v/>
      </c>
      <c r="M860" s="5" t="n">
        <v>46236.5</v>
      </c>
      <c r="N860" t="inlineStr">
        <is>
          <t>TravelLine ресепшн</t>
        </is>
      </c>
      <c r="O860" s="2" t="inlineStr">
        <is>
          <t>СТАНДАРТНЫЙ ДВУХМЕСТНЫЙ НОМЕР</t>
        </is>
      </c>
      <c r="P860" s="6" t="n"/>
      <c r="R860" t="inlineStr"/>
      <c r="S860" t="inlineStr">
        <is>
          <t>Тариф с завтраком</t>
        </is>
      </c>
      <c r="T860" t="n">
        <v>0</v>
      </c>
      <c r="U860" t="n">
        <v>12015</v>
      </c>
    </row>
    <row r="861">
      <c r="A861" t="inlineStr">
        <is>
          <t>20260808-8186-457018634</t>
        </is>
      </c>
      <c r="B861" t="n">
        <v>1</v>
      </c>
      <c r="C861" s="2" t="inlineStr">
        <is>
          <t>сергей кривченко</t>
        </is>
      </c>
      <c r="D861" s="3" t="n">
        <v>14850</v>
      </c>
      <c r="E861" s="4" t="n">
        <v>0</v>
      </c>
      <c r="F861" t="inlineStr">
        <is>
          <t>Прямые бронирования (стойка) [Чайковский]</t>
        </is>
      </c>
      <c r="G861" s="3">
        <f>ROUND(D861/(100-E861)*100,2)</f>
        <v/>
      </c>
      <c r="H861" s="5" t="n">
        <v>46242.58333333334</v>
      </c>
      <c r="I861" t="n">
        <v>1</v>
      </c>
      <c r="J861" s="3">
        <f>G861/I861</f>
        <v/>
      </c>
      <c r="K861">
        <f>IF(J861&gt;=5100,"ставка","мин.ставка")</f>
        <v/>
      </c>
      <c r="L861" s="3">
        <f>ROUND(IF(K861="мин.ставка",I861*100,G861/102*2),2)</f>
        <v/>
      </c>
      <c r="M861" s="5" t="n">
        <v>46243.5</v>
      </c>
      <c r="N861" t="inlineStr">
        <is>
          <t>TravelLine ресепшн</t>
        </is>
      </c>
      <c r="O861" s="2" t="inlineStr">
        <is>
          <t>ПОЛУЛЮКС</t>
        </is>
      </c>
      <c r="P861" s="6" t="n"/>
      <c r="R861" t="inlineStr"/>
      <c r="S861" t="inlineStr">
        <is>
          <t>Тариф с завтраком</t>
        </is>
      </c>
      <c r="T861" t="n">
        <v>0</v>
      </c>
      <c r="U861" t="n">
        <v>14850</v>
      </c>
    </row>
    <row r="862">
      <c r="A862" t="inlineStr">
        <is>
          <t>20260814-8186-458697730</t>
        </is>
      </c>
      <c r="B862" t="n">
        <v>1</v>
      </c>
      <c r="C862" s="2" t="inlineStr">
        <is>
          <t>сергей кривченко</t>
        </is>
      </c>
      <c r="D862" s="3" t="n">
        <v>12015</v>
      </c>
      <c r="E862" s="4" t="n">
        <v>0</v>
      </c>
      <c r="F862" t="inlineStr">
        <is>
          <t>Прямые бронирования (стойка) [Чайковский]</t>
        </is>
      </c>
      <c r="G862" s="3">
        <f>ROUND(D862/(100-E862)*100,2)</f>
        <v/>
      </c>
      <c r="H862" s="5" t="n">
        <v>46248.58333333334</v>
      </c>
      <c r="I862" t="n">
        <v>1</v>
      </c>
      <c r="J862" s="3">
        <f>G862/I862</f>
        <v/>
      </c>
      <c r="K862">
        <f>IF(J862&gt;=5100,"ставка","мин.ставка")</f>
        <v/>
      </c>
      <c r="L862" s="3">
        <f>ROUND(IF(K862="мин.ставка",I862*100,G862/102*2),2)</f>
        <v/>
      </c>
      <c r="M862" s="5" t="n">
        <v>46249.5</v>
      </c>
      <c r="N862" t="inlineStr">
        <is>
          <t>TravelLine ресепшн</t>
        </is>
      </c>
      <c r="O862" s="2" t="inlineStr">
        <is>
          <t>СТАНДАРТНЫЙ ДВУХМЕСТНЫЙ НОМЕР</t>
        </is>
      </c>
      <c r="P862" s="6" t="n"/>
      <c r="R862" t="inlineStr"/>
      <c r="S862" t="inlineStr">
        <is>
          <t>Тариф с завтраком</t>
        </is>
      </c>
      <c r="T862" t="n">
        <v>0</v>
      </c>
      <c r="U862" t="n">
        <v>12015</v>
      </c>
    </row>
    <row r="863">
      <c r="A863" t="inlineStr">
        <is>
          <t>20260810-8186-457508617</t>
        </is>
      </c>
      <c r="B863" t="n">
        <v>1</v>
      </c>
      <c r="C863" s="2" t="inlineStr">
        <is>
          <t>СЕРГЕЙ КУЛИКОВ</t>
        </is>
      </c>
      <c r="D863" s="3" t="n">
        <v>9996</v>
      </c>
      <c r="E863" s="4" t="n">
        <v>16</v>
      </c>
      <c r="F863" t="inlineStr">
        <is>
          <t>ООО "БРОНИРОВАНИЕ ГОСТИНИЦ" (OSTROVOK) [Чайковский]</t>
        </is>
      </c>
      <c r="G863" s="3">
        <f>ROUND(D863/(100-E863)*100,2)</f>
        <v/>
      </c>
      <c r="H863" s="5" t="n">
        <v>46244.58333333334</v>
      </c>
      <c r="I863" t="n">
        <v>1</v>
      </c>
      <c r="J863" s="3">
        <f>G863/I863</f>
        <v/>
      </c>
      <c r="K863">
        <f>IF(J863&gt;=5100,"ставка","мин.ставка")</f>
        <v/>
      </c>
      <c r="L863" s="3">
        <f>ROUND(IF(K863="мин.ставка",I863*100,G863/102*2),2)</f>
        <v/>
      </c>
      <c r="M863" s="5" t="n">
        <v>46245.5</v>
      </c>
      <c r="N863" t="inlineStr">
        <is>
          <t>TravelLine OTK</t>
        </is>
      </c>
      <c r="O863" s="2" t="inlineStr">
        <is>
          <t>УЛУЧШЕННЫЙ ДВУХМЕСТНЫЙ НОМЕР</t>
        </is>
      </c>
      <c r="P863" s="6" t="n"/>
      <c r="R863" t="inlineStr"/>
      <c r="S863" t="inlineStr">
        <is>
          <t>Основной тариф без завтрака</t>
        </is>
      </c>
      <c r="T863" t="n">
        <v>0</v>
      </c>
      <c r="U863" t="n">
        <v>9996</v>
      </c>
    </row>
    <row r="864">
      <c r="A864" t="inlineStr">
        <is>
          <t>20260901-8186-421882419</t>
        </is>
      </c>
      <c r="B864" t="n">
        <v>1</v>
      </c>
      <c r="C864" s="2" t="inlineStr">
        <is>
          <t>СЕРГЕЙ ЛОГИНОВ, АЛИСА ЛОГИНОВА</t>
        </is>
      </c>
      <c r="D864" s="3" t="n">
        <v>45390</v>
      </c>
      <c r="E864" s="4" t="n">
        <v>0</v>
      </c>
      <c r="F864" t="inlineStr">
        <is>
          <t>ООО "АЛЕАН ОТДЫХ" [Чайковский]</t>
        </is>
      </c>
      <c r="G864" s="3">
        <f>ROUND(D864/(100-E864)*100,2)</f>
        <v/>
      </c>
      <c r="H864" s="5" t="n">
        <v>46266.58333333334</v>
      </c>
      <c r="I864" t="n">
        <v>4</v>
      </c>
      <c r="J864" s="3">
        <f>G864/I864</f>
        <v/>
      </c>
      <c r="K864">
        <f>IF(J864&gt;=5100,"ставка","мин.ставка")</f>
        <v/>
      </c>
      <c r="L864" s="3">
        <f>ROUND(IF(K864="мин.ставка",I864*100,G864/102*2),2)</f>
        <v/>
      </c>
      <c r="M864" s="5" t="n">
        <v>46270.5</v>
      </c>
      <c r="N864" t="inlineStr">
        <is>
          <t>TravelLine ALN</t>
        </is>
      </c>
      <c r="O864" s="2" t="inlineStr">
        <is>
          <t>СТАНДАРТНЫЙ ДВУХМЕСТНЫЙ НОМЕР</t>
        </is>
      </c>
      <c r="P864" s="6" t="n"/>
      <c r="R864" t="inlineStr"/>
      <c r="S864" t="inlineStr">
        <is>
          <t>Тариф с завтраком</t>
        </is>
      </c>
      <c r="T864" t="n">
        <v>0</v>
      </c>
      <c r="U864" t="n">
        <v>45390</v>
      </c>
    </row>
    <row r="865">
      <c r="A865" t="inlineStr">
        <is>
          <t>20260830-8186-456795871</t>
        </is>
      </c>
      <c r="B865" t="n">
        <v>1</v>
      </c>
      <c r="C865" s="2" t="inlineStr">
        <is>
          <t>СЕРГЕЙ МАКАРОВ, Юлина Макарова</t>
        </is>
      </c>
      <c r="D865" s="3" t="n">
        <v>12015</v>
      </c>
      <c r="E865" s="4" t="n">
        <v>0</v>
      </c>
      <c r="F865" t="inlineStr">
        <is>
          <t>Прямые бронирования (стойка) [Чайковский]</t>
        </is>
      </c>
      <c r="G865" s="3">
        <f>ROUND(D865/(100-E865)*100,2)</f>
        <v/>
      </c>
      <c r="H865" s="5" t="n">
        <v>46264.58333333334</v>
      </c>
      <c r="I865" t="n">
        <v>1</v>
      </c>
      <c r="J865" s="3">
        <f>G865/I865</f>
        <v/>
      </c>
      <c r="K865">
        <f>IF(J865&gt;=5100,"ставка","мин.ставка")</f>
        <v/>
      </c>
      <c r="L865" s="3">
        <f>ROUND(IF(K865="мин.ставка",I865*100,G865/102*2),2)</f>
        <v/>
      </c>
      <c r="M865" s="5" t="n">
        <v>46265.5</v>
      </c>
      <c r="N865" t="inlineStr">
        <is>
          <t>TravelLine ресепшн</t>
        </is>
      </c>
      <c r="O865" s="2" t="inlineStr">
        <is>
          <t>СТАНДАРТНЫЙ ДВУХМЕСТНЫЙ НОМЕР</t>
        </is>
      </c>
      <c r="P865" s="6" t="n"/>
      <c r="R865" t="inlineStr"/>
      <c r="S865" t="inlineStr">
        <is>
          <t>Тариф с завтраком</t>
        </is>
      </c>
      <c r="T865" t="n">
        <v>0</v>
      </c>
      <c r="U865" t="n">
        <v>12015</v>
      </c>
    </row>
    <row r="866">
      <c r="A866" t="inlineStr">
        <is>
          <t>20260727-8186-449971712</t>
        </is>
      </c>
      <c r="B866" t="n">
        <v>1</v>
      </c>
      <c r="C866" s="2" t="inlineStr">
        <is>
          <t>Сергей Маловичко, Елена Зорина</t>
        </is>
      </c>
      <c r="D866" s="3" t="n">
        <v>40560</v>
      </c>
      <c r="E866" s="4" t="n">
        <v>18</v>
      </c>
      <c r="F866" t="inlineStr">
        <is>
          <t>Яндекс.Путешествия [Чайковский]</t>
        </is>
      </c>
      <c r="G866" s="3">
        <f>ROUND(D866/(100-E866)*100,2)</f>
        <v/>
      </c>
      <c r="H866" s="5" t="n">
        <v>46230.58333333334</v>
      </c>
      <c r="I866" t="n">
        <v>4</v>
      </c>
      <c r="J866" s="3">
        <f>G866/I866</f>
        <v/>
      </c>
      <c r="K866">
        <f>IF(J866&gt;=5100,"ставка","мин.ставка")</f>
        <v/>
      </c>
      <c r="L866" s="3">
        <f>ROUND(IF(K866="мин.ставка",I866*100,G866/102*2),2)</f>
        <v/>
      </c>
      <c r="M866" s="5" t="n">
        <v>46234.5</v>
      </c>
      <c r="N866" t="inlineStr">
        <is>
          <t>TravelLine YAX</t>
        </is>
      </c>
      <c r="O866" s="2" t="inlineStr">
        <is>
          <t>СЕМЕЙНЫЙ НОМЕР КАТЕГОРИИ "СТАНДАРТ" ВТОРОЙ КОРПУС</t>
        </is>
      </c>
      <c r="P866" s="6" t="n"/>
      <c r="R866" t="inlineStr"/>
      <c r="S866" t="inlineStr">
        <is>
          <t>Тариф с завтраком</t>
        </is>
      </c>
      <c r="T866" t="n">
        <v>0</v>
      </c>
      <c r="U866" t="n">
        <v>40560</v>
      </c>
    </row>
    <row r="867">
      <c r="A867" t="inlineStr">
        <is>
          <t>20260721-8186-426049066</t>
        </is>
      </c>
      <c r="B867" t="n">
        <v>1</v>
      </c>
      <c r="C867" s="2" t="inlineStr">
        <is>
          <t>Сергей Манченков, Анастасия Лещева</t>
        </is>
      </c>
      <c r="D867" s="3" t="n">
        <v>35112</v>
      </c>
      <c r="E867" s="4" t="n">
        <v>18</v>
      </c>
      <c r="F867" t="inlineStr">
        <is>
          <t>Яндекс.Путешествия [Чайковский]</t>
        </is>
      </c>
      <c r="G867" s="3">
        <f>ROUND(D867/(100-E867)*100,2)</f>
        <v/>
      </c>
      <c r="H867" s="5" t="n">
        <v>46224.58333333334</v>
      </c>
      <c r="I867" t="n">
        <v>3</v>
      </c>
      <c r="J867" s="3">
        <f>G867/I867</f>
        <v/>
      </c>
      <c r="K867">
        <f>IF(J867&gt;=5100,"ставка","мин.ставка")</f>
        <v/>
      </c>
      <c r="L867" s="3">
        <f>ROUND(IF(K867="мин.ставка",I867*100,G867/102*2),2)</f>
        <v/>
      </c>
      <c r="M867" s="5" t="n">
        <v>46227.5</v>
      </c>
      <c r="N867" t="inlineStr">
        <is>
          <t>TravelLine YAX</t>
        </is>
      </c>
      <c r="O867" s="2" t="inlineStr">
        <is>
          <t>УЛУЧШЕННЫЙ ДВУХМЕСТНЫЙ НОМЕР</t>
        </is>
      </c>
      <c r="P867" s="6" t="n"/>
      <c r="R867" t="inlineStr"/>
      <c r="S867" t="inlineStr">
        <is>
          <t>Тариф с завтраком</t>
        </is>
      </c>
      <c r="T867" t="n">
        <v>0</v>
      </c>
      <c r="U867" t="n">
        <v>65664</v>
      </c>
    </row>
    <row r="868">
      <c r="A868" t="inlineStr">
        <is>
          <t>20260710-8186-448702042</t>
        </is>
      </c>
      <c r="B868" t="n">
        <v>1</v>
      </c>
      <c r="C868" s="2" t="inlineStr">
        <is>
          <t>Сергей Митяев, ANASTASIYA TOROSYAN</t>
        </is>
      </c>
      <c r="D868" s="3" t="n">
        <v>17360</v>
      </c>
      <c r="E868" s="4" t="n">
        <v>20</v>
      </c>
      <c r="F868" t="inlineStr">
        <is>
          <t>ООО "ХБ-ПРО" [Чайковский]</t>
        </is>
      </c>
      <c r="G868" s="3">
        <f>ROUND(D868/(100-E868)*100,2)</f>
        <v/>
      </c>
      <c r="H868" s="5" t="n">
        <v>46213.58333333334</v>
      </c>
      <c r="I868" t="n">
        <v>2</v>
      </c>
      <c r="J868" s="3">
        <f>G868/I868</f>
        <v/>
      </c>
      <c r="K868">
        <f>IF(J868&gt;=5100,"ставка","мин.ставка")</f>
        <v/>
      </c>
      <c r="L868" s="3">
        <f>ROUND(IF(K868="мин.ставка",I868*100,G868/102*2),2)</f>
        <v/>
      </c>
      <c r="M868" s="5" t="n">
        <v>46215.5</v>
      </c>
      <c r="N868" t="inlineStr">
        <is>
          <t>TravelLine UTS</t>
        </is>
      </c>
      <c r="O868" s="2" t="inlineStr">
        <is>
          <t>СТАНДАРТНЫЙ ДВУХМЕСТНЫЙ НОМЕР</t>
        </is>
      </c>
      <c r="P868" s="6" t="n"/>
      <c r="R868" t="inlineStr"/>
      <c r="S868" t="inlineStr">
        <is>
          <t>Тариф с завтраком</t>
        </is>
      </c>
      <c r="T868" t="n">
        <v>4000</v>
      </c>
      <c r="U868" t="n">
        <v>21360</v>
      </c>
    </row>
    <row r="869">
      <c r="A869" t="inlineStr">
        <is>
          <t>20260806-8186-456267629</t>
        </is>
      </c>
      <c r="B869" t="n">
        <v>1</v>
      </c>
      <c r="C869" s="2" t="inlineStr">
        <is>
          <t>СЕРГЕЙ МИХЕЕВ, АМЕЛИЯ МИХЕЕВА</t>
        </is>
      </c>
      <c r="D869" s="3" t="n">
        <v>11214</v>
      </c>
      <c r="E869" s="4" t="n">
        <v>16</v>
      </c>
      <c r="F869" t="inlineStr">
        <is>
          <t>ООО "БРОНИРОВАНИЕ ГОСТИНИЦ" (OSTROVOK) [Чайковский]</t>
        </is>
      </c>
      <c r="G869" s="3">
        <f>ROUND(D869/(100-E869)*100,2)</f>
        <v/>
      </c>
      <c r="H869" s="5" t="n">
        <v>46240.58333333334</v>
      </c>
      <c r="I869" t="n">
        <v>1</v>
      </c>
      <c r="J869" s="3">
        <f>G869/I869</f>
        <v/>
      </c>
      <c r="K869">
        <f>IF(J869&gt;=5100,"ставка","мин.ставка")</f>
        <v/>
      </c>
      <c r="L869" s="3">
        <f>ROUND(IF(K869="мин.ставка",I869*100,G869/102*2),2)</f>
        <v/>
      </c>
      <c r="M869" s="5" t="n">
        <v>46241.5</v>
      </c>
      <c r="N869" t="inlineStr">
        <is>
          <t>TravelLine OTK</t>
        </is>
      </c>
      <c r="O869" s="2" t="inlineStr">
        <is>
          <t>СТАНДАРТНЫЙ ДВУХМЕСТНЫЙ НОМЕР</t>
        </is>
      </c>
      <c r="P869" s="6" t="n"/>
      <c r="R869" t="inlineStr"/>
      <c r="S869" t="inlineStr">
        <is>
          <t>Тариф с завтраком</t>
        </is>
      </c>
      <c r="T869" t="n">
        <v>0</v>
      </c>
      <c r="U869" t="n">
        <v>11214</v>
      </c>
    </row>
    <row r="870">
      <c r="A870" t="inlineStr">
        <is>
          <t>20260924-8186-465190017</t>
        </is>
      </c>
      <c r="B870" t="n">
        <v>1</v>
      </c>
      <c r="C870" s="2" t="inlineStr">
        <is>
          <t>СЕРГЕЙ МОКРИНСКИЙ, ИРИНА МОКРИНСКАЯ</t>
        </is>
      </c>
      <c r="D870" s="3" t="n">
        <v>13530</v>
      </c>
      <c r="E870" s="4" t="n">
        <v>0</v>
      </c>
      <c r="F870" t="inlineStr">
        <is>
          <t>Прямые бронирования (стойка) [Чайковский]</t>
        </is>
      </c>
      <c r="G870" s="3">
        <f>ROUND(D870/(100-E870)*100,2)</f>
        <v/>
      </c>
      <c r="H870" s="5" t="n">
        <v>46289.58333333334</v>
      </c>
      <c r="I870" t="n">
        <v>1</v>
      </c>
      <c r="J870" s="3">
        <f>G870/I870</f>
        <v/>
      </c>
      <c r="K870">
        <f>IF(J870&gt;=5100,"ставка","мин.ставка")</f>
        <v/>
      </c>
      <c r="L870" s="3">
        <f>ROUND(IF(K870="мин.ставка",I870*100,G870/102*2),2)</f>
        <v/>
      </c>
      <c r="M870" s="5" t="n">
        <v>46290.5</v>
      </c>
      <c r="N870" t="inlineStr">
        <is>
          <t>TravelLine CMB</t>
        </is>
      </c>
      <c r="O870" s="2" t="inlineStr">
        <is>
          <t>ПОЛУЛЮКС</t>
        </is>
      </c>
      <c r="P870" s="6" t="n"/>
      <c r="R870" t="inlineStr"/>
      <c r="S870" t="inlineStr">
        <is>
          <t>Тариф с завтраком</t>
        </is>
      </c>
      <c r="T870" t="n">
        <v>0</v>
      </c>
      <c r="U870" t="n">
        <v>13530</v>
      </c>
    </row>
    <row r="871">
      <c r="A871" t="inlineStr">
        <is>
          <t>20260707-8186-444464400</t>
        </is>
      </c>
      <c r="B871" t="n">
        <v>1</v>
      </c>
      <c r="C871" s="2" t="inlineStr">
        <is>
          <t>Сергей Морозов, Виктория Морозова</t>
        </is>
      </c>
      <c r="D871" s="3" t="n">
        <v>78540</v>
      </c>
      <c r="E871" s="4" t="n">
        <v>0</v>
      </c>
      <c r="F871" t="inlineStr">
        <is>
          <t>ООО «ХОМЛИН ЛЭНД» (ПЕГАС) [Чайковский]</t>
        </is>
      </c>
      <c r="G871" s="3">
        <f>ROUND(D871/(100-E871)*100,2)</f>
        <v/>
      </c>
      <c r="H871" s="5" t="n">
        <v>46210.58333333334</v>
      </c>
      <c r="I871" t="n">
        <v>6</v>
      </c>
      <c r="J871" s="3">
        <f>G871/I871</f>
        <v/>
      </c>
      <c r="K871">
        <f>IF(J871&gt;=5100,"ставка","мин.ставка")</f>
        <v/>
      </c>
      <c r="L871" s="3">
        <f>ROUND(IF(K871="мин.ставка",I871*100,G871/102*2),2)</f>
        <v/>
      </c>
      <c r="M871" s="5" t="n">
        <v>46216.5</v>
      </c>
      <c r="N871" t="inlineStr">
        <is>
          <t>TravelLine PGS</t>
        </is>
      </c>
      <c r="O871" s="2" t="inlineStr">
        <is>
          <t>УЛУЧШЕННЫЙ ДВУХМЕСТНЫЙ НОМЕР</t>
        </is>
      </c>
      <c r="P871" s="6" t="n"/>
      <c r="R871" t="inlineStr"/>
      <c r="S871" t="inlineStr">
        <is>
          <t>Тариф с завтраком</t>
        </is>
      </c>
      <c r="T871" t="n">
        <v>0</v>
      </c>
      <c r="U871" t="n">
        <v>78540</v>
      </c>
    </row>
    <row r="872">
      <c r="A872" t="inlineStr">
        <is>
          <t>20260716-8186-437389528</t>
        </is>
      </c>
      <c r="B872" t="n">
        <v>1</v>
      </c>
      <c r="C872" s="2" t="inlineStr">
        <is>
          <t>СЕРГЕЙ ОСИПОВ, Эвелина Смыслина</t>
        </is>
      </c>
      <c r="D872" s="3" t="n">
        <v>26400</v>
      </c>
      <c r="E872" s="4" t="n">
        <v>20</v>
      </c>
      <c r="F872" t="inlineStr">
        <is>
          <t>ООО "КОМПАНИЯ БРОНЕВИК" [Чайковский]</t>
        </is>
      </c>
      <c r="G872" s="3">
        <f>ROUND(D872/(100-E872)*100,2)</f>
        <v/>
      </c>
      <c r="H872" s="5" t="n">
        <v>46219.58333333334</v>
      </c>
      <c r="I872" t="n">
        <v>2</v>
      </c>
      <c r="J872" s="3">
        <f>G872/I872</f>
        <v/>
      </c>
      <c r="K872">
        <f>IF(J872&gt;=5100,"ставка","мин.ставка")</f>
        <v/>
      </c>
      <c r="L872" s="3">
        <f>ROUND(IF(K872="мин.ставка",I872*100,G872/102*2),2)</f>
        <v/>
      </c>
      <c r="M872" s="5" t="n">
        <v>46221.5</v>
      </c>
      <c r="N872" t="inlineStr">
        <is>
          <t>TravelLine BR2</t>
        </is>
      </c>
      <c r="O872" s="2" t="inlineStr">
        <is>
          <t>ПОЛУЛЮКС</t>
        </is>
      </c>
      <c r="P872" s="6" t="n"/>
      <c r="R872" t="inlineStr"/>
      <c r="S872" t="inlineStr">
        <is>
          <t>Тариф с завтраком</t>
        </is>
      </c>
      <c r="T872" t="n">
        <v>0</v>
      </c>
      <c r="U872" t="n">
        <v>26400</v>
      </c>
    </row>
    <row r="873">
      <c r="A873" t="inlineStr">
        <is>
          <t>20260909-8186-464462558</t>
        </is>
      </c>
      <c r="B873" t="n">
        <v>1</v>
      </c>
      <c r="C873" s="2" t="inlineStr">
        <is>
          <t>Сергей Полянский</t>
        </is>
      </c>
      <c r="D873" s="3" t="n">
        <v>20100</v>
      </c>
      <c r="E873" s="4" t="n">
        <v>18</v>
      </c>
      <c r="F873" t="inlineStr">
        <is>
          <t>Яндекс.Путешествия [Чайковский]</t>
        </is>
      </c>
      <c r="G873" s="3">
        <f>ROUND(D873/(100-E873)*100,2)</f>
        <v/>
      </c>
      <c r="H873" s="5" t="n">
        <v>46274.58333333334</v>
      </c>
      <c r="I873" t="n">
        <v>2</v>
      </c>
      <c r="J873" s="3">
        <f>G873/I873</f>
        <v/>
      </c>
      <c r="K873">
        <f>IF(J873&gt;=5100,"ставка","мин.ставка")</f>
        <v/>
      </c>
      <c r="L873" s="3">
        <f>ROUND(IF(K873="мин.ставка",I873*100,G873/102*2),2)</f>
        <v/>
      </c>
      <c r="M873" s="5" t="n">
        <v>46276.5</v>
      </c>
      <c r="N873" t="inlineStr">
        <is>
          <t>TravelLine YAX</t>
        </is>
      </c>
      <c r="O873" s="2" t="inlineStr">
        <is>
          <t>УЛУЧШЕННЫЙ ДВУХМЕСТНЫЙ НОМЕР</t>
        </is>
      </c>
      <c r="P873" s="6" t="n"/>
      <c r="R873" t="inlineStr"/>
      <c r="S873" t="inlineStr">
        <is>
          <t>Тариф с завтраком</t>
        </is>
      </c>
      <c r="T873" t="n">
        <v>0</v>
      </c>
      <c r="U873" t="n">
        <v>20100</v>
      </c>
    </row>
    <row r="874">
      <c r="A874" t="inlineStr">
        <is>
          <t>20260710-8186-449007541</t>
        </is>
      </c>
      <c r="B874" t="n">
        <v>1</v>
      </c>
      <c r="C874" s="2" t="inlineStr">
        <is>
          <t>Сергей Реутов</t>
        </is>
      </c>
      <c r="D874" s="3" t="n">
        <v>10350</v>
      </c>
      <c r="E874" s="4" t="n">
        <v>0</v>
      </c>
      <c r="F874" t="inlineStr">
        <is>
          <t>Прямые бронирования (стойка) [Чайковский]</t>
        </is>
      </c>
      <c r="G874" s="3">
        <f>ROUND(D874/(100-E874)*100,2)</f>
        <v/>
      </c>
      <c r="H874" s="5" t="n">
        <v>46213.58333333334</v>
      </c>
      <c r="I874" t="n">
        <v>1</v>
      </c>
      <c r="J874" s="3">
        <f>G874/I874</f>
        <v/>
      </c>
      <c r="K874">
        <f>IF(J874&gt;=5100,"ставка","мин.ставка")</f>
        <v/>
      </c>
      <c r="L874" s="3">
        <f>ROUND(IF(K874="мин.ставка",I874*100,G874/102*2),2)</f>
        <v/>
      </c>
      <c r="M874" s="5" t="n">
        <v>46214.5</v>
      </c>
      <c r="N874" t="inlineStr">
        <is>
          <t>TravelLine ресепшн</t>
        </is>
      </c>
      <c r="O874" s="2" t="inlineStr">
        <is>
          <t>СТАНДАРТНЫЙ ДВУХМЕСТНЫЙ НОМЕР</t>
        </is>
      </c>
      <c r="P874" s="6" t="n"/>
      <c r="R874" t="inlineStr"/>
      <c r="S874" t="inlineStr">
        <is>
          <t>Тариф с завтраком</t>
        </is>
      </c>
      <c r="T874" t="n">
        <v>0</v>
      </c>
      <c r="U874" t="n">
        <v>10350</v>
      </c>
    </row>
    <row r="875">
      <c r="A875" t="inlineStr">
        <is>
          <t>20260714-8186-450064455</t>
        </is>
      </c>
      <c r="B875" t="n">
        <v>1</v>
      </c>
      <c r="C875" s="2" t="inlineStr">
        <is>
          <t>СЕРГЕЙ САЛТЫКОВ</t>
        </is>
      </c>
      <c r="D875" s="3" t="n">
        <v>11600</v>
      </c>
      <c r="E875" s="4" t="n">
        <v>20</v>
      </c>
      <c r="F875" t="inlineStr">
        <is>
          <t>ООО "ХБ-ПРО" [Чайковский]</t>
        </is>
      </c>
      <c r="G875" s="3">
        <f>ROUND(D875/(100-E875)*100,2)</f>
        <v/>
      </c>
      <c r="H875" s="5" t="n">
        <v>46217.58333333334</v>
      </c>
      <c r="I875" t="n">
        <v>1</v>
      </c>
      <c r="J875" s="3">
        <f>G875/I875</f>
        <v/>
      </c>
      <c r="K875">
        <f>IF(J875&gt;=5100,"ставка","мин.ставка")</f>
        <v/>
      </c>
      <c r="L875" s="3">
        <f>ROUND(IF(K875="мин.ставка",I875*100,G875/102*2),2)</f>
        <v/>
      </c>
      <c r="M875" s="5" t="n">
        <v>46218.5</v>
      </c>
      <c r="N875" t="inlineStr">
        <is>
          <t>TravelLine UTS</t>
        </is>
      </c>
      <c r="O875" s="2" t="inlineStr">
        <is>
          <t>ПОЛУЛЮКС</t>
        </is>
      </c>
      <c r="P875" s="6" t="n"/>
      <c r="R875" t="inlineStr"/>
      <c r="S875" t="inlineStr">
        <is>
          <t>Тариф с завтраком</t>
        </is>
      </c>
      <c r="T875" t="n">
        <v>0</v>
      </c>
      <c r="U875" t="n">
        <v>11600</v>
      </c>
    </row>
    <row r="876">
      <c r="A876" t="inlineStr">
        <is>
          <t>20260715-8186-450213608</t>
        </is>
      </c>
      <c r="B876" t="n">
        <v>1</v>
      </c>
      <c r="C876" s="2" t="inlineStr">
        <is>
          <t>СЕРГЕЙ САЛТЫКОВ</t>
        </is>
      </c>
      <c r="D876" s="3" t="n">
        <v>11600</v>
      </c>
      <c r="E876" s="4" t="n">
        <v>20</v>
      </c>
      <c r="F876" t="inlineStr">
        <is>
          <t>ООО "ХБ-ПРО" [Чайковский]</t>
        </is>
      </c>
      <c r="G876" s="3">
        <f>ROUND(D876/(100-E876)*100,2)</f>
        <v/>
      </c>
      <c r="H876" s="5" t="n">
        <v>46218.58333333334</v>
      </c>
      <c r="I876" t="n">
        <v>1</v>
      </c>
      <c r="J876" s="3">
        <f>G876/I876</f>
        <v/>
      </c>
      <c r="K876">
        <f>IF(J876&gt;=5100,"ставка","мин.ставка")</f>
        <v/>
      </c>
      <c r="L876" s="3">
        <f>ROUND(IF(K876="мин.ставка",I876*100,G876/102*2),2)</f>
        <v/>
      </c>
      <c r="M876" s="5" t="n">
        <v>46219.5</v>
      </c>
      <c r="N876" t="inlineStr">
        <is>
          <t>TravelLine UTS</t>
        </is>
      </c>
      <c r="O876" s="2" t="inlineStr">
        <is>
          <t>ПОЛУЛЮКС</t>
        </is>
      </c>
      <c r="P876" s="6" t="n"/>
      <c r="R876" t="inlineStr"/>
      <c r="S876" t="inlineStr">
        <is>
          <t>Тариф с завтраком</t>
        </is>
      </c>
      <c r="T876" t="n">
        <v>0</v>
      </c>
      <c r="U876" t="n">
        <v>11600</v>
      </c>
    </row>
    <row r="877">
      <c r="A877" t="inlineStr">
        <is>
          <t>20260713-8186-449580597</t>
        </is>
      </c>
      <c r="B877" t="n">
        <v>1</v>
      </c>
      <c r="C877" s="2" t="inlineStr">
        <is>
          <t>СЕРГЕЙ САЛТЫКОВ</t>
        </is>
      </c>
      <c r="D877" s="3" t="n">
        <v>9647.5</v>
      </c>
      <c r="E877" s="4" t="n">
        <v>15</v>
      </c>
      <c r="F877" t="inlineStr">
        <is>
          <t>ООО "БРОНИРОВАНИЕ ГОСТИНИЦ" (OSTROVOK) [Чайковский]</t>
        </is>
      </c>
      <c r="G877" s="3">
        <f>ROUND(D877/(100-E877)*100,2)</f>
        <v/>
      </c>
      <c r="H877" s="5" t="n">
        <v>46216.58333333334</v>
      </c>
      <c r="I877" t="n">
        <v>1</v>
      </c>
      <c r="J877" s="3">
        <f>G877/I877</f>
        <v/>
      </c>
      <c r="K877">
        <f>IF(J877&gt;=5100,"ставка","мин.ставка")</f>
        <v/>
      </c>
      <c r="L877" s="3">
        <f>ROUND(IF(K877="мин.ставка",I877*100,G877/102*2),2)</f>
        <v/>
      </c>
      <c r="M877" s="5" t="n">
        <v>46217.5</v>
      </c>
      <c r="N877" t="inlineStr">
        <is>
          <t>TravelLine OTK</t>
        </is>
      </c>
      <c r="O877" s="2" t="inlineStr">
        <is>
          <t>СТАНДАРТНЫЙ ДВУХМЕСТНЫЙ НОМЕР</t>
        </is>
      </c>
      <c r="P877" s="6" t="n"/>
      <c r="R877" t="inlineStr"/>
      <c r="S877" t="inlineStr">
        <is>
          <t>Тариф с завтраком</t>
        </is>
      </c>
      <c r="T877" t="n">
        <v>0</v>
      </c>
      <c r="U877" t="n">
        <v>9647.5</v>
      </c>
    </row>
    <row r="878">
      <c r="A878" t="inlineStr">
        <is>
          <t>20260724-8186-452868322</t>
        </is>
      </c>
      <c r="B878" t="n">
        <v>1</v>
      </c>
      <c r="C878" s="2" t="inlineStr">
        <is>
          <t>СЕРГЕЙ САЛТЫКОВ</t>
        </is>
      </c>
      <c r="D878" s="3" t="n">
        <v>9647.5</v>
      </c>
      <c r="E878" s="4" t="n">
        <v>15</v>
      </c>
      <c r="F878" t="inlineStr">
        <is>
          <t>ООО "БРОНИРОВАНИЕ ГОСТИНИЦ" (OSTROVOK) [Чайковский]</t>
        </is>
      </c>
      <c r="G878" s="3">
        <f>ROUND(D878/(100-E878)*100,2)</f>
        <v/>
      </c>
      <c r="H878" s="5" t="n">
        <v>46227.58333333334</v>
      </c>
      <c r="I878" t="n">
        <v>1</v>
      </c>
      <c r="J878" s="3">
        <f>G878/I878</f>
        <v/>
      </c>
      <c r="K878">
        <f>IF(J878&gt;=5100,"ставка","мин.ставка")</f>
        <v/>
      </c>
      <c r="L878" s="3">
        <f>ROUND(IF(K878="мин.ставка",I878*100,G878/102*2),2)</f>
        <v/>
      </c>
      <c r="M878" s="5" t="n">
        <v>46228.5</v>
      </c>
      <c r="N878" t="inlineStr">
        <is>
          <t>TravelLine OTK</t>
        </is>
      </c>
      <c r="O878" s="2" t="inlineStr">
        <is>
          <t>СТАНДАРТНЫЙ ДВУХМЕСТНЫЙ НОМЕР</t>
        </is>
      </c>
      <c r="P878" s="6" t="n"/>
      <c r="R878" t="inlineStr"/>
      <c r="S878" t="inlineStr">
        <is>
          <t>Тариф с завтраком</t>
        </is>
      </c>
      <c r="T878" t="n">
        <v>0</v>
      </c>
      <c r="U878" t="n">
        <v>9647.5</v>
      </c>
    </row>
    <row r="879">
      <c r="A879" t="inlineStr">
        <is>
          <t>20260713-8186-448319484</t>
        </is>
      </c>
      <c r="B879" t="n">
        <v>1</v>
      </c>
      <c r="C879" s="2" t="inlineStr">
        <is>
          <t>Сергей Сварник</t>
        </is>
      </c>
      <c r="D879" s="3" t="n">
        <v>14596</v>
      </c>
      <c r="E879" s="4" t="n">
        <v>18</v>
      </c>
      <c r="F879" t="inlineStr">
        <is>
          <t>ООО "Эй энд Эй" [Чайковский]</t>
        </is>
      </c>
      <c r="G879" s="3">
        <f>ROUND(D879/(100-E879)*100,2)</f>
        <v/>
      </c>
      <c r="H879" s="5" t="n">
        <v>46216.58333333334</v>
      </c>
      <c r="I879" t="n">
        <v>2</v>
      </c>
      <c r="J879" s="3">
        <f>G879/I879</f>
        <v/>
      </c>
      <c r="K879">
        <f>IF(J879&gt;=5100,"ставка","мин.ставка")</f>
        <v/>
      </c>
      <c r="L879" s="3">
        <f>ROUND(IF(K879="мин.ставка",I879*100,G879/102*2),2)</f>
        <v/>
      </c>
      <c r="M879" s="5" t="n">
        <v>46218.5</v>
      </c>
      <c r="N879" t="inlineStr">
        <is>
          <t>TravelLine ANA</t>
        </is>
      </c>
      <c r="O879" s="2" t="inlineStr">
        <is>
          <t>СЕМЕЙНЫЙ НОМЕР КАТЕГОРИИ "СТАНДАРТ" ВТОРОЙ КОРПУС</t>
        </is>
      </c>
      <c r="P879" s="6" t="n"/>
      <c r="R879" t="inlineStr"/>
      <c r="S879" t="inlineStr">
        <is>
          <t>Тариф с завтраком</t>
        </is>
      </c>
      <c r="T879" t="n">
        <v>2000</v>
      </c>
      <c r="U879" t="n">
        <v>16596</v>
      </c>
    </row>
    <row r="880">
      <c r="A880" t="inlineStr">
        <is>
          <t>20260723-8186-449693468</t>
        </is>
      </c>
      <c r="B880" t="n">
        <v>1</v>
      </c>
      <c r="C880" s="2" t="inlineStr">
        <is>
          <t>Сергей Семенишин, Евгения Ермишкина</t>
        </is>
      </c>
      <c r="D880" s="3" t="n">
        <v>34042.5</v>
      </c>
      <c r="E880" s="4" t="n">
        <v>15</v>
      </c>
      <c r="F880" t="inlineStr">
        <is>
          <t>ООО "БРОНИРОВАНИЕ ГОСТИНИЦ" (OSTROVOK) [Чайковский]</t>
        </is>
      </c>
      <c r="G880" s="3">
        <f>ROUND(D880/(100-E880)*100,2)</f>
        <v/>
      </c>
      <c r="H880" s="5" t="n">
        <v>46226.58333333334</v>
      </c>
      <c r="I880" t="n">
        <v>3</v>
      </c>
      <c r="J880" s="3">
        <f>G880/I880</f>
        <v/>
      </c>
      <c r="K880">
        <f>IF(J880&gt;=5100,"ставка","мин.ставка")</f>
        <v/>
      </c>
      <c r="L880" s="3">
        <f>ROUND(IF(K880="мин.ставка",I880*100,G880/102*2),2)</f>
        <v/>
      </c>
      <c r="M880" s="5" t="n">
        <v>46229.5</v>
      </c>
      <c r="N880" t="inlineStr">
        <is>
          <t>TravelLine OTK</t>
        </is>
      </c>
      <c r="O880" s="2" t="inlineStr">
        <is>
          <t>СТАНДАРТНЫЙ ДВУХМЕСТНЫЙ НОМЕР</t>
        </is>
      </c>
      <c r="P880" s="6" t="n"/>
      <c r="R880" t="inlineStr"/>
      <c r="S880" t="inlineStr">
        <is>
          <t>Тариф с завтраком</t>
        </is>
      </c>
      <c r="T880" t="n">
        <v>0</v>
      </c>
      <c r="U880" t="n">
        <v>34042.5</v>
      </c>
    </row>
    <row r="881">
      <c r="A881" t="inlineStr">
        <is>
          <t>20260828-8186-462177609</t>
        </is>
      </c>
      <c r="B881" t="n">
        <v>1</v>
      </c>
      <c r="C881" s="2" t="inlineStr">
        <is>
          <t>СЕРГЕЙ СЕРЕГИН</t>
        </is>
      </c>
      <c r="D881" s="3" t="n">
        <v>9960</v>
      </c>
      <c r="E881" s="4" t="n">
        <v>0</v>
      </c>
      <c r="F881" t="inlineStr">
        <is>
          <t>Прямые бронирования (стойка) [Чайковский]</t>
        </is>
      </c>
      <c r="G881" s="3">
        <f>ROUND(D881/(100-E881)*100,2)</f>
        <v/>
      </c>
      <c r="H881" s="5" t="n">
        <v>46262.58333333334</v>
      </c>
      <c r="I881" t="n">
        <v>1</v>
      </c>
      <c r="J881" s="3">
        <f>G881/I881</f>
        <v/>
      </c>
      <c r="K881">
        <f>IF(J881&gt;=5100,"ставка","мин.ставка")</f>
        <v/>
      </c>
      <c r="L881" s="3">
        <f>ROUND(IF(K881="мин.ставка",I881*100,G881/102*2),2)</f>
        <v/>
      </c>
      <c r="M881" s="5" t="n">
        <v>46263.5</v>
      </c>
      <c r="N881" t="inlineStr">
        <is>
          <t>TravelLine ресепшн</t>
        </is>
      </c>
      <c r="O881" s="2" t="inlineStr">
        <is>
          <t>СЕМЕЙНЫЙ НОМЕР КАТЕГОРИИ "СТАНДАРТ" ВТОРОЙ КОРПУС</t>
        </is>
      </c>
      <c r="P881" s="6" t="n"/>
      <c r="R881" t="inlineStr"/>
      <c r="S881" t="inlineStr">
        <is>
          <t>Тариф с завтраком</t>
        </is>
      </c>
      <c r="T881" t="n">
        <v>0</v>
      </c>
      <c r="U881" t="n">
        <v>9960</v>
      </c>
    </row>
    <row r="882">
      <c r="A882" t="inlineStr">
        <is>
          <t>20260911-8186-465366665</t>
        </is>
      </c>
      <c r="B882" t="n">
        <v>1</v>
      </c>
      <c r="C882" s="2" t="inlineStr">
        <is>
          <t>СЕРГЕЙ СЕРЕГИН</t>
        </is>
      </c>
      <c r="D882" s="3" t="n">
        <v>9000</v>
      </c>
      <c r="E882" s="4" t="n">
        <v>0</v>
      </c>
      <c r="F882" t="inlineStr">
        <is>
          <t>Прямые бронирования (стойка) [Чайковский]</t>
        </is>
      </c>
      <c r="G882" s="3">
        <f>ROUND(D882/(100-E882)*100,2)</f>
        <v/>
      </c>
      <c r="H882" s="5" t="n">
        <v>46276.58333333334</v>
      </c>
      <c r="I882" t="n">
        <v>1</v>
      </c>
      <c r="J882" s="3">
        <f>G882/I882</f>
        <v/>
      </c>
      <c r="K882">
        <f>IF(J882&gt;=5100,"ставка","мин.ставка")</f>
        <v/>
      </c>
      <c r="L882" s="3">
        <f>ROUND(IF(K882="мин.ставка",I882*100,G882/102*2),2)</f>
        <v/>
      </c>
      <c r="M882" s="5" t="n">
        <v>46277.5</v>
      </c>
      <c r="N882" t="inlineStr">
        <is>
          <t>TravelLine ресепшн</t>
        </is>
      </c>
      <c r="O882" s="2" t="inlineStr">
        <is>
          <t>СЕМЕЙНЫЙ НОМЕР КАТЕГОРИИ "СТАНДАРТ" ВТОРОЙ КОРПУС</t>
        </is>
      </c>
      <c r="P882" s="6" t="n"/>
      <c r="R882" t="inlineStr"/>
      <c r="S882" t="inlineStr">
        <is>
          <t>Тариф с завтраком</t>
        </is>
      </c>
      <c r="T882" t="n">
        <v>0</v>
      </c>
      <c r="U882" t="n">
        <v>9000</v>
      </c>
    </row>
    <row r="883">
      <c r="A883" t="inlineStr">
        <is>
          <t>20260801-8186-455110906</t>
        </is>
      </c>
      <c r="B883" t="n">
        <v>1</v>
      </c>
      <c r="C883" s="2" t="inlineStr">
        <is>
          <t>СЕРГЕЙ СИВЕРИН</t>
        </is>
      </c>
      <c r="D883" s="3" t="n">
        <v>9534</v>
      </c>
      <c r="E883" s="4" t="n">
        <v>16</v>
      </c>
      <c r="F883" t="inlineStr">
        <is>
          <t>ООО "БРОНИРОВАНИЕ ГОСТИНИЦ" (OSTROVOK) [Чайковский]</t>
        </is>
      </c>
      <c r="G883" s="3">
        <f>ROUND(D883/(100-E883)*100,2)</f>
        <v/>
      </c>
      <c r="H883" s="5" t="n">
        <v>46235.58333333334</v>
      </c>
      <c r="I883" t="n">
        <v>1</v>
      </c>
      <c r="J883" s="3">
        <f>G883/I883</f>
        <v/>
      </c>
      <c r="K883">
        <f>IF(J883&gt;=5100,"ставка","мин.ставка")</f>
        <v/>
      </c>
      <c r="L883" s="3">
        <f>ROUND(IF(K883="мин.ставка",I883*100,G883/102*2),2)</f>
        <v/>
      </c>
      <c r="M883" s="5" t="n">
        <v>46236.5</v>
      </c>
      <c r="N883" t="inlineStr">
        <is>
          <t>TravelLine OTK</t>
        </is>
      </c>
      <c r="O883" s="2" t="inlineStr">
        <is>
          <t>СТАНДАРТНЫЙ ДВУХМЕСТНЫЙ НОМЕР</t>
        </is>
      </c>
      <c r="P883" s="6" t="n"/>
      <c r="R883" t="inlineStr"/>
      <c r="S883" t="inlineStr">
        <is>
          <t>Тариф с завтраком</t>
        </is>
      </c>
      <c r="T883" t="n">
        <v>0</v>
      </c>
      <c r="U883" t="n">
        <v>9534</v>
      </c>
    </row>
    <row r="884">
      <c r="A884" t="inlineStr">
        <is>
          <t>20260717-8186-450533105</t>
        </is>
      </c>
      <c r="B884" t="n">
        <v>1</v>
      </c>
      <c r="C884" s="2" t="inlineStr">
        <is>
          <t>СЕРГЕЙ Тимошенко</t>
        </is>
      </c>
      <c r="D884" s="3" t="n">
        <v>11350</v>
      </c>
      <c r="E884" s="4" t="n">
        <v>0</v>
      </c>
      <c r="F884" t="inlineStr">
        <is>
          <t>Прямые бронирования (стойка) [Чайковский]</t>
        </is>
      </c>
      <c r="G884" s="3">
        <f>ROUND(D884/(100-E884)*100,2)</f>
        <v/>
      </c>
      <c r="H884" s="5" t="n">
        <v>46220.58333333334</v>
      </c>
      <c r="I884" t="n">
        <v>1</v>
      </c>
      <c r="J884" s="3">
        <f>G884/I884</f>
        <v/>
      </c>
      <c r="K884">
        <f>IF(J884&gt;=5100,"ставка","мин.ставка")</f>
        <v/>
      </c>
      <c r="L884" s="3">
        <f>ROUND(IF(K884="мин.ставка",I884*100,G884/102*2),2)</f>
        <v/>
      </c>
      <c r="M884" s="5" t="n">
        <v>46221.5</v>
      </c>
      <c r="N884" t="inlineStr">
        <is>
          <t>TravelLine ресепшн</t>
        </is>
      </c>
      <c r="O884" s="2" t="inlineStr">
        <is>
          <t>СТАНДАРТНЫЙ ДВУХМЕСТНЫЙ НОМЕР</t>
        </is>
      </c>
      <c r="P884" s="6" t="n"/>
      <c r="R884" t="inlineStr"/>
      <c r="S884" t="inlineStr">
        <is>
          <t>Тариф с завтраком</t>
        </is>
      </c>
      <c r="T884" t="n">
        <v>0</v>
      </c>
      <c r="U884" t="n">
        <v>11350</v>
      </c>
    </row>
    <row r="885">
      <c r="A885" t="inlineStr">
        <is>
          <t>20260828-8186-430964258</t>
        </is>
      </c>
      <c r="B885" t="n">
        <v>1</v>
      </c>
      <c r="C885" s="2" t="inlineStr">
        <is>
          <t>Сергей Филяс, Виктория Хренова</t>
        </is>
      </c>
      <c r="D885" s="3" t="n">
        <v>32752.5</v>
      </c>
      <c r="E885" s="4" t="n">
        <v>4</v>
      </c>
      <c r="F885" t="inlineStr">
        <is>
          <t>TravelLine Booking Engine [Чайковский]</t>
        </is>
      </c>
      <c r="G885" s="3">
        <f>ROUND(D885/(100-E885)*100,2)</f>
        <v/>
      </c>
      <c r="H885" s="5" t="n">
        <v>46262.625</v>
      </c>
      <c r="I885" t="n">
        <v>2</v>
      </c>
      <c r="J885" s="3">
        <f>G885/I885</f>
        <v/>
      </c>
      <c r="K885">
        <f>IF(J885&gt;=5100,"ставка","мин.ставка")</f>
        <v/>
      </c>
      <c r="L885" s="3">
        <f>ROUND(IF(K885="мин.ставка",I885*100,G885/102*2),2)</f>
        <v/>
      </c>
      <c r="M885" s="5" t="n">
        <v>46264.5</v>
      </c>
      <c r="N885" t="inlineStr">
        <is>
          <t>TravelLine сайт</t>
        </is>
      </c>
      <c r="O885" s="2" t="inlineStr">
        <is>
          <t>ПОЛУЛЮКС</t>
        </is>
      </c>
      <c r="P885" s="6" t="n"/>
      <c r="R885" t="inlineStr"/>
      <c r="S885" t="inlineStr">
        <is>
          <t>Тариф с завтраком</t>
        </is>
      </c>
      <c r="T885" t="n">
        <v>0</v>
      </c>
      <c r="U885" t="n">
        <v>32752.5</v>
      </c>
    </row>
    <row r="886">
      <c r="A886" t="inlineStr">
        <is>
          <t>20260803-8186-421031747</t>
        </is>
      </c>
      <c r="B886" t="n">
        <v>1</v>
      </c>
      <c r="C886" s="2" t="inlineStr">
        <is>
          <t>Сергей Хрусталев</t>
        </is>
      </c>
      <c r="D886" s="3" t="n">
        <v>33879.75</v>
      </c>
      <c r="E886" s="4" t="n">
        <v>4</v>
      </c>
      <c r="F886" t="inlineStr">
        <is>
          <t>TravelLine Booking Engine [Чайковский]</t>
        </is>
      </c>
      <c r="G886" s="3">
        <f>ROUND(D886/(100-E886)*100,2)</f>
        <v/>
      </c>
      <c r="H886" s="5" t="n">
        <v>46237.58333333334</v>
      </c>
      <c r="I886" t="n">
        <v>3</v>
      </c>
      <c r="J886" s="3">
        <f>G886/I886</f>
        <v/>
      </c>
      <c r="K886">
        <f>IF(J886&gt;=5100,"ставка","мин.ставка")</f>
        <v/>
      </c>
      <c r="L886" s="3">
        <f>ROUND(IF(K886="мин.ставка",I886*100,G886/102*2),2)</f>
        <v/>
      </c>
      <c r="M886" s="5" t="n">
        <v>46240.5</v>
      </c>
      <c r="N886" t="inlineStr">
        <is>
          <t>TravelLine сайт</t>
        </is>
      </c>
      <c r="O886" s="2" t="inlineStr">
        <is>
          <t>СТАНДАРТНЫЙ ДВУХМЕСТНЫЙ НОМЕР</t>
        </is>
      </c>
      <c r="P886" s="6" t="n"/>
      <c r="R886" t="inlineStr"/>
      <c r="S886" t="inlineStr">
        <is>
          <t>Тариф с завтраком</t>
        </is>
      </c>
      <c r="T886" t="n">
        <v>0</v>
      </c>
      <c r="U886" t="n">
        <v>73729.5</v>
      </c>
    </row>
    <row r="887">
      <c r="A887" t="inlineStr">
        <is>
          <t>20260909-8186-464779928</t>
        </is>
      </c>
      <c r="B887" t="n">
        <v>1</v>
      </c>
      <c r="C887" s="2" t="inlineStr">
        <is>
          <t>Сергей Чеканов</t>
        </is>
      </c>
      <c r="D887" s="3" t="n">
        <v>11600</v>
      </c>
      <c r="E887" s="4" t="n">
        <v>20</v>
      </c>
      <c r="F887" t="inlineStr">
        <is>
          <t>ООО "КОМПАНИЯ БРОНЕВИК" [Чайковский]</t>
        </is>
      </c>
      <c r="G887" s="3">
        <f>ROUND(D887/(100-E887)*100,2)</f>
        <v/>
      </c>
      <c r="H887" s="5" t="n">
        <v>46274.58333333334</v>
      </c>
      <c r="I887" t="n">
        <v>1</v>
      </c>
      <c r="J887" s="3">
        <f>G887/I887</f>
        <v/>
      </c>
      <c r="K887">
        <f>IF(J887&gt;=5100,"ставка","мин.ставка")</f>
        <v/>
      </c>
      <c r="L887" s="3">
        <f>ROUND(IF(K887="мин.ставка",I887*100,G887/102*2),2)</f>
        <v/>
      </c>
      <c r="M887" s="5" t="n">
        <v>46275.5</v>
      </c>
      <c r="N887" t="inlineStr">
        <is>
          <t>TravelLine BR2</t>
        </is>
      </c>
      <c r="O887" s="2" t="inlineStr">
        <is>
          <t>ПОЛУЛЮКС</t>
        </is>
      </c>
      <c r="P887" s="6" t="n"/>
      <c r="R887" t="inlineStr"/>
      <c r="S887" t="inlineStr">
        <is>
          <t>Тариф с завтраком</t>
        </is>
      </c>
      <c r="T887" t="n">
        <v>0</v>
      </c>
      <c r="U887" t="n">
        <v>11600</v>
      </c>
    </row>
    <row r="888">
      <c r="A888" t="inlineStr">
        <is>
          <t>20260919-8186-466902324</t>
        </is>
      </c>
      <c r="B888" t="n">
        <v>1</v>
      </c>
      <c r="C888" s="2" t="inlineStr">
        <is>
          <t>Сергей Шаролапов</t>
        </is>
      </c>
      <c r="D888" s="3" t="n">
        <v>15800</v>
      </c>
      <c r="E888" s="4" t="n">
        <v>0</v>
      </c>
      <c r="F888" t="inlineStr">
        <is>
          <t>Прямые бронирования (стойка) [Чайковский]</t>
        </is>
      </c>
      <c r="G888" s="3">
        <f>ROUND(D888/(100-E888)*100,2)</f>
        <v/>
      </c>
      <c r="H888" s="5" t="n">
        <v>46284.58333333334</v>
      </c>
      <c r="I888" t="n">
        <v>1</v>
      </c>
      <c r="J888" s="3">
        <f>G888/I888</f>
        <v/>
      </c>
      <c r="K888">
        <f>IF(J888&gt;=5100,"ставка","мин.ставка")</f>
        <v/>
      </c>
      <c r="L888" s="3">
        <f>ROUND(IF(K888="мин.ставка",I888*100,G888/102*2),2)</f>
        <v/>
      </c>
      <c r="M888" s="5" t="n">
        <v>46285.5</v>
      </c>
      <c r="N888" t="inlineStr">
        <is>
          <t>TravelLine ресепшн</t>
        </is>
      </c>
      <c r="O888" s="2" t="inlineStr">
        <is>
          <t>ЛЮКС ВТОРОЙ КОРПУС</t>
        </is>
      </c>
      <c r="P888" s="6" t="n"/>
      <c r="R888" t="inlineStr"/>
      <c r="S888" t="inlineStr">
        <is>
          <t>Тариф с завтраком</t>
        </is>
      </c>
      <c r="T888" t="n">
        <v>0</v>
      </c>
      <c r="U888" t="n">
        <v>15800</v>
      </c>
    </row>
    <row r="889">
      <c r="A889" t="inlineStr">
        <is>
          <t>20260704-8186-447496041</t>
        </is>
      </c>
      <c r="B889" t="n">
        <v>1</v>
      </c>
      <c r="C889" s="2" t="inlineStr">
        <is>
          <t>Сергей Шпаков, ВАЛЕРИЯ ШПАКОВА</t>
        </is>
      </c>
      <c r="D889" s="3" t="n">
        <v>49252.5</v>
      </c>
      <c r="E889" s="4" t="n">
        <v>4</v>
      </c>
      <c r="F889" t="inlineStr">
        <is>
          <t>TravelLine Booking Engine [Чайковский]</t>
        </is>
      </c>
      <c r="G889" s="3">
        <f>ROUND(D889/(100-E889)*100,2)</f>
        <v/>
      </c>
      <c r="H889" s="5" t="n">
        <v>46207.70833333334</v>
      </c>
      <c r="I889" t="n">
        <v>3</v>
      </c>
      <c r="J889" s="3">
        <f>G889/I889</f>
        <v/>
      </c>
      <c r="K889">
        <f>IF(J889&gt;=5100,"ставка","мин.ставка")</f>
        <v/>
      </c>
      <c r="L889" s="3">
        <f>ROUND(IF(K889="мин.ставка",I889*100,G889/102*2),2)</f>
        <v/>
      </c>
      <c r="M889" s="5" t="n">
        <v>46210.66666666666</v>
      </c>
      <c r="N889" t="inlineStr">
        <is>
          <t>TravelLine сайт</t>
        </is>
      </c>
      <c r="O889" s="2" t="inlineStr">
        <is>
          <t>ЛЮКС ВТОРОЙ КОРПУС</t>
        </is>
      </c>
      <c r="P889" s="6" t="n"/>
      <c r="R889" t="inlineStr"/>
      <c r="S889" t="inlineStr">
        <is>
          <t>Тариф с завтраком</t>
        </is>
      </c>
      <c r="T889" t="n">
        <v>3440</v>
      </c>
      <c r="U889" t="n">
        <v>52692.5</v>
      </c>
    </row>
    <row r="890">
      <c r="A890" t="inlineStr">
        <is>
          <t>20260819-8186-457340079</t>
        </is>
      </c>
      <c r="B890" t="n">
        <v>1</v>
      </c>
      <c r="C890" s="2" t="inlineStr">
        <is>
          <t>София Гапаева, Юлия Тыртычева</t>
        </is>
      </c>
      <c r="D890" s="3" t="n">
        <v>29904</v>
      </c>
      <c r="E890" s="4" t="n">
        <v>16</v>
      </c>
      <c r="F890" t="inlineStr">
        <is>
          <t>ООО "БРОНИРОВАНИЕ ГОСТИНИЦ" (OSTROVOK) [Чайковский]</t>
        </is>
      </c>
      <c r="G890" s="3">
        <f>ROUND(D890/(100-E890)*100,2)</f>
        <v/>
      </c>
      <c r="H890" s="5" t="n">
        <v>46253.58333333334</v>
      </c>
      <c r="I890" t="n">
        <v>2</v>
      </c>
      <c r="J890" s="3">
        <f>G890/I890</f>
        <v/>
      </c>
      <c r="K890">
        <f>IF(J890&gt;=5100,"ставка","мин.ставка")</f>
        <v/>
      </c>
      <c r="L890" s="3">
        <f>ROUND(IF(K890="мин.ставка",I890*100,G890/102*2),2)</f>
        <v/>
      </c>
      <c r="M890" s="5" t="n">
        <v>46255.5</v>
      </c>
      <c r="N890" t="inlineStr">
        <is>
          <t>TravelLine OTK</t>
        </is>
      </c>
      <c r="O890" s="2" t="inlineStr">
        <is>
          <t>ЛЮКС ВТОРОЙ КОРПУС</t>
        </is>
      </c>
      <c r="P890" s="6" t="n"/>
      <c r="R890" t="inlineStr"/>
      <c r="S890" t="inlineStr">
        <is>
          <t>Тариф с завтраком</t>
        </is>
      </c>
      <c r="T890" t="n">
        <v>0</v>
      </c>
      <c r="U890" t="n">
        <v>29904</v>
      </c>
    </row>
    <row r="891">
      <c r="A891" t="inlineStr">
        <is>
          <t>20260810-8186-434605762</t>
        </is>
      </c>
      <c r="B891" t="n">
        <v>1</v>
      </c>
      <c r="C891" s="2" t="inlineStr">
        <is>
          <t>СОФЬЯ МАКАРОВА, МАКСИМ САЛТЫКОВ</t>
        </is>
      </c>
      <c r="D891" s="3" t="n">
        <v>58905</v>
      </c>
      <c r="E891" s="4" t="n">
        <v>0</v>
      </c>
      <c r="F891" t="inlineStr">
        <is>
          <t>ООО "АЛЕАН ОТДЫХ" [Чайковский]</t>
        </is>
      </c>
      <c r="G891" s="3">
        <f>ROUND(D891/(100-E891)*100,2)</f>
        <v/>
      </c>
      <c r="H891" s="5" t="n">
        <v>46244.58333333334</v>
      </c>
      <c r="I891" t="n">
        <v>7</v>
      </c>
      <c r="J891" s="3">
        <f>G891/I891</f>
        <v/>
      </c>
      <c r="K891">
        <f>IF(J891&gt;=5100,"ставка","мин.ставка")</f>
        <v/>
      </c>
      <c r="L891" s="3">
        <f>ROUND(IF(K891="мин.ставка",I891*100,G891/102*2),2)</f>
        <v/>
      </c>
      <c r="M891" s="5" t="n">
        <v>46251.5</v>
      </c>
      <c r="N891" t="inlineStr">
        <is>
          <t>TravelLine ALN</t>
        </is>
      </c>
      <c r="O891" s="2" t="inlineStr">
        <is>
          <t>СТАНДАРТНЫЙ ДВУХМЕСТНЫЙ НОМЕР (МАНСАРДА)</t>
        </is>
      </c>
      <c r="P891" s="6" t="n"/>
      <c r="R891" t="inlineStr"/>
      <c r="S891" t="inlineStr">
        <is>
          <t>Тариф с завтраком</t>
        </is>
      </c>
      <c r="T891" t="n">
        <v>0</v>
      </c>
      <c r="U891" t="n">
        <v>58905</v>
      </c>
    </row>
    <row r="892">
      <c r="A892" t="inlineStr">
        <is>
          <t>20260806-8186-421013488</t>
        </is>
      </c>
      <c r="B892" t="n">
        <v>1</v>
      </c>
      <c r="C892" s="2" t="inlineStr">
        <is>
          <t>Станислав Драпеза, Елена Жданович</t>
        </is>
      </c>
      <c r="D892" s="3" t="n">
        <v>89782</v>
      </c>
      <c r="E892" s="4" t="n">
        <v>17</v>
      </c>
      <c r="F892" t="inlineStr">
        <is>
          <t>ООО "ОНЛАЙН ИННОВАЦИИ" (101 Отель) [Чайковский]</t>
        </is>
      </c>
      <c r="G892" s="3">
        <f>ROUND(D892/(100-E892)*100,2)</f>
        <v/>
      </c>
      <c r="H892" s="5" t="n">
        <v>46240.58333333334</v>
      </c>
      <c r="I892" t="n">
        <v>6</v>
      </c>
      <c r="J892" s="3">
        <f>G892/I892</f>
        <v/>
      </c>
      <c r="K892">
        <f>IF(J892&gt;=5100,"ставка","мин.ставка")</f>
        <v/>
      </c>
      <c r="L892" s="3">
        <f>ROUND(IF(K892="мин.ставка",I892*100,G892/102*2),2)</f>
        <v/>
      </c>
      <c r="M892" s="5" t="n">
        <v>46246.5</v>
      </c>
      <c r="N892" t="inlineStr">
        <is>
          <t>TravelLine H1C</t>
        </is>
      </c>
      <c r="O892" s="2" t="inlineStr">
        <is>
          <t>УЛУЧШЕННЫЙ ДВУХМЕСТНЫЙ НОМЕР</t>
        </is>
      </c>
      <c r="P892" s="6" t="n"/>
      <c r="R892" t="inlineStr"/>
      <c r="S892" t="inlineStr">
        <is>
          <t>Тариф с завтраком</t>
        </is>
      </c>
      <c r="T892" t="n">
        <v>0</v>
      </c>
      <c r="U892" t="n">
        <v>89782</v>
      </c>
    </row>
    <row r="893">
      <c r="A893" t="inlineStr">
        <is>
          <t>20260725-8186-451545829</t>
        </is>
      </c>
      <c r="B893" t="n">
        <v>1</v>
      </c>
      <c r="C893" s="2" t="inlineStr">
        <is>
          <t>Станислав Ершов, Мария Мельникова</t>
        </is>
      </c>
      <c r="D893" s="3" t="n">
        <v>14240</v>
      </c>
      <c r="E893" s="4" t="n">
        <v>18</v>
      </c>
      <c r="F893" t="inlineStr">
        <is>
          <t>Яндекс.Путешествия [Чайковский]</t>
        </is>
      </c>
      <c r="G893" s="3">
        <f>ROUND(D893/(100-E893)*100,2)</f>
        <v/>
      </c>
      <c r="H893" s="5" t="n">
        <v>46234.58333333334</v>
      </c>
      <c r="I893" t="n">
        <v>1</v>
      </c>
      <c r="J893" s="3">
        <f>G893/I893</f>
        <v/>
      </c>
      <c r="K893">
        <f>IF(J893&gt;=5100,"ставка","мин.ставка")</f>
        <v/>
      </c>
      <c r="L893" s="3">
        <f>ROUND(IF(K893="мин.ставка",I893*100,G893/102*2),2)</f>
        <v/>
      </c>
      <c r="M893" s="5" t="n">
        <v>46235.79166666666</v>
      </c>
      <c r="N893" t="inlineStr">
        <is>
          <t>TravelLine YAX</t>
        </is>
      </c>
      <c r="O893" s="2" t="inlineStr">
        <is>
          <t>ЛЮКС ВТОРОЙ КОРПУС</t>
        </is>
      </c>
      <c r="P893" s="6" t="n"/>
      <c r="R893" t="inlineStr"/>
      <c r="S893" t="inlineStr">
        <is>
          <t>Тариф с завтраком</t>
        </is>
      </c>
      <c r="T893" t="n">
        <v>8900</v>
      </c>
      <c r="U893" t="n">
        <v>23140</v>
      </c>
    </row>
    <row r="894">
      <c r="A894" t="inlineStr">
        <is>
          <t>20260923-8186-467728893</t>
        </is>
      </c>
      <c r="B894" t="n">
        <v>1</v>
      </c>
      <c r="C894" s="2" t="inlineStr">
        <is>
          <t>Станислав Николаев</t>
        </is>
      </c>
      <c r="D894" s="3" t="n">
        <v>11205</v>
      </c>
      <c r="E894" s="4" t="n">
        <v>0</v>
      </c>
      <c r="F894" t="inlineStr">
        <is>
          <t>Прямые бронирования (стойка) [Чайковский]</t>
        </is>
      </c>
      <c r="G894" s="3">
        <f>ROUND(D894/(100-E894)*100,2)</f>
        <v/>
      </c>
      <c r="H894" s="5" t="n">
        <v>46288.58333333334</v>
      </c>
      <c r="I894" t="n">
        <v>1</v>
      </c>
      <c r="J894" s="3">
        <f>G894/I894</f>
        <v/>
      </c>
      <c r="K894">
        <f>IF(J894&gt;=5100,"ставка","мин.ставка")</f>
        <v/>
      </c>
      <c r="L894" s="3">
        <f>ROUND(IF(K894="мин.ставка",I894*100,G894/102*2),2)</f>
        <v/>
      </c>
      <c r="M894" s="5" t="n">
        <v>46289.5</v>
      </c>
      <c r="N894" t="inlineStr">
        <is>
          <t>TravelLine ресепшн</t>
        </is>
      </c>
      <c r="O894" s="2" t="inlineStr">
        <is>
          <t>СЕМЕЙНЫЙ НОМЕР КАТЕГОРИИ "СТАНДАРТ" ВТОРОЙ КОРПУС</t>
        </is>
      </c>
      <c r="P894" s="6" t="n"/>
      <c r="R894" t="inlineStr"/>
      <c r="S894" t="inlineStr">
        <is>
          <t>Тариф с завтраком</t>
        </is>
      </c>
      <c r="T894" t="n">
        <v>0</v>
      </c>
      <c r="U894" t="n">
        <v>11205</v>
      </c>
    </row>
    <row r="895">
      <c r="A895" t="inlineStr">
        <is>
          <t>20260916-8186-461387202</t>
        </is>
      </c>
      <c r="B895" t="n">
        <v>1</v>
      </c>
      <c r="C895" s="2" t="inlineStr">
        <is>
          <t>Станислав Шапырин</t>
        </is>
      </c>
      <c r="D895" s="3" t="n">
        <v>11600</v>
      </c>
      <c r="E895" s="4" t="n">
        <v>20</v>
      </c>
      <c r="F895" t="inlineStr">
        <is>
          <t>ООО «Дубль Гис» (OTELLO) [Чайковский]</t>
        </is>
      </c>
      <c r="G895" s="3">
        <f>ROUND(D895/(100-E895)*100,2)</f>
        <v/>
      </c>
      <c r="H895" s="5" t="n">
        <v>46281.58333333334</v>
      </c>
      <c r="I895" t="n">
        <v>1</v>
      </c>
      <c r="J895" s="3">
        <f>G895/I895</f>
        <v/>
      </c>
      <c r="K895">
        <f>IF(J895&gt;=5100,"ставка","мин.ставка")</f>
        <v/>
      </c>
      <c r="L895" s="3">
        <f>ROUND(IF(K895="мин.ставка",I895*100,G895/102*2),2)</f>
        <v/>
      </c>
      <c r="M895" s="5" t="n">
        <v>46282.5</v>
      </c>
      <c r="N895" t="inlineStr">
        <is>
          <t>TravelLine OL2</t>
        </is>
      </c>
      <c r="O895" s="2" t="inlineStr">
        <is>
          <t>ПОЛУЛЮКС</t>
        </is>
      </c>
      <c r="P895" s="6" t="n"/>
      <c r="R895" t="inlineStr"/>
      <c r="S895" t="inlineStr">
        <is>
          <t>Тариф с завтраком</t>
        </is>
      </c>
      <c r="T895" t="n">
        <v>0</v>
      </c>
      <c r="U895" t="n">
        <v>11600</v>
      </c>
    </row>
    <row r="896">
      <c r="A896" t="inlineStr">
        <is>
          <t>20260812-8186-457353835</t>
        </is>
      </c>
      <c r="B896" t="n">
        <v>1</v>
      </c>
      <c r="C896" s="2" t="inlineStr">
        <is>
          <t>Сурен Мусаелян</t>
        </is>
      </c>
      <c r="D896" s="3" t="n">
        <v>9647.5</v>
      </c>
      <c r="E896" s="4" t="n">
        <v>15</v>
      </c>
      <c r="F896" t="inlineStr">
        <is>
          <t>ООО «12Т» (ранее ONE TWO TRIP) [Чайковский]</t>
        </is>
      </c>
      <c r="G896" s="3">
        <f>ROUND(D896/(100-E896)*100,2)</f>
        <v/>
      </c>
      <c r="H896" s="5" t="n">
        <v>46246.58333333334</v>
      </c>
      <c r="I896" t="n">
        <v>1</v>
      </c>
      <c r="J896" s="3">
        <f>G896/I896</f>
        <v/>
      </c>
      <c r="K896">
        <f>IF(J896&gt;=5100,"ставка","мин.ставка")</f>
        <v/>
      </c>
      <c r="L896" s="3">
        <f>ROUND(IF(K896="мин.ставка",I896*100,G896/102*2),2)</f>
        <v/>
      </c>
      <c r="M896" s="5" t="n">
        <v>46247.5</v>
      </c>
      <c r="N896" t="inlineStr">
        <is>
          <t>TravelLine OTT</t>
        </is>
      </c>
      <c r="O896" s="2" t="inlineStr">
        <is>
          <t>СТАНДАРТНЫЙ ДВУХМЕСТНЫЙ НОМЕР</t>
        </is>
      </c>
      <c r="P896" s="6" t="n"/>
      <c r="R896" t="inlineStr"/>
      <c r="S896" t="inlineStr">
        <is>
          <t>Тариф с завтраком</t>
        </is>
      </c>
      <c r="T896" t="n">
        <v>0</v>
      </c>
      <c r="U896" t="n">
        <v>9647.5</v>
      </c>
    </row>
    <row r="897">
      <c r="A897" t="inlineStr">
        <is>
          <t>20260725-8186-451752132</t>
        </is>
      </c>
      <c r="B897" t="n">
        <v>1</v>
      </c>
      <c r="C897" s="2" t="inlineStr">
        <is>
          <t>Татьяна Августова, ПОЛИНА БУЛЛЕР</t>
        </is>
      </c>
      <c r="D897" s="3" t="n">
        <v>24805</v>
      </c>
      <c r="E897" s="4" t="n">
        <v>18</v>
      </c>
      <c r="F897" t="inlineStr">
        <is>
          <t>ООО "Эй энд Эй" [Чайковский]</t>
        </is>
      </c>
      <c r="G897" s="3">
        <f>ROUND(D897/(100-E897)*100,2)</f>
        <v/>
      </c>
      <c r="H897" s="5" t="n">
        <v>46228.58333333334</v>
      </c>
      <c r="I897" t="n">
        <v>3</v>
      </c>
      <c r="J897" s="3">
        <f>G897/I897</f>
        <v/>
      </c>
      <c r="K897">
        <f>IF(J897&gt;=5100,"ставка","мин.ставка")</f>
        <v/>
      </c>
      <c r="L897" s="3">
        <f>ROUND(IF(K897="мин.ставка",I897*100,G897/102*2),2)</f>
        <v/>
      </c>
      <c r="M897" s="5" t="n">
        <v>46231.5</v>
      </c>
      <c r="N897" t="inlineStr">
        <is>
          <t>TravelLine ANA</t>
        </is>
      </c>
      <c r="O897" s="2" t="inlineStr">
        <is>
          <t>СЕМЕЙНЫЙ НОМЕР КАТЕГОРИИ "СТАНДАРТ" ВТОРОЙ КОРПУС</t>
        </is>
      </c>
      <c r="P897" s="6" t="n"/>
      <c r="R897" t="inlineStr"/>
      <c r="S897" t="inlineStr">
        <is>
          <t>Тариф с завтраком</t>
        </is>
      </c>
      <c r="T897" t="n">
        <v>6000</v>
      </c>
      <c r="U897" t="n">
        <v>30805</v>
      </c>
    </row>
    <row r="898">
      <c r="A898" t="inlineStr">
        <is>
          <t>20260920-8186-464686169</t>
        </is>
      </c>
      <c r="B898" t="n">
        <v>1</v>
      </c>
      <c r="C898" s="2" t="inlineStr">
        <is>
          <t>Татьяна Аксиненко</t>
        </is>
      </c>
      <c r="D898" s="3" t="n">
        <v>12180</v>
      </c>
      <c r="E898" s="4" t="n">
        <v>16</v>
      </c>
      <c r="F898" t="inlineStr">
        <is>
          <t>ООО "БРОНИРОВАНИЕ ГОСТИНИЦ" (OSTROVOK) [Чайковский]</t>
        </is>
      </c>
      <c r="G898" s="3">
        <f>ROUND(D898/(100-E898)*100,2)</f>
        <v/>
      </c>
      <c r="H898" s="5" t="n">
        <v>46292.58333333334</v>
      </c>
      <c r="I898" t="n">
        <v>1</v>
      </c>
      <c r="J898" s="3">
        <f>G898/I898</f>
        <v/>
      </c>
      <c r="K898">
        <f>IF(J898&gt;=5100,"ставка","мин.ставка")</f>
        <v/>
      </c>
      <c r="L898" s="3">
        <f>ROUND(IF(K898="мин.ставка",I898*100,G898/102*2),2)</f>
        <v/>
      </c>
      <c r="M898" s="5" t="n">
        <v>46293.5</v>
      </c>
      <c r="N898" t="inlineStr">
        <is>
          <t>TravelLine OTK</t>
        </is>
      </c>
      <c r="O898" s="2" t="inlineStr">
        <is>
          <t>ПОЛУЛЮКС</t>
        </is>
      </c>
      <c r="P898" s="6" t="n"/>
      <c r="R898" t="inlineStr"/>
      <c r="S898" t="inlineStr">
        <is>
          <t>Тариф с завтраком</t>
        </is>
      </c>
      <c r="T898" t="n">
        <v>0</v>
      </c>
      <c r="U898" t="n">
        <v>12180</v>
      </c>
    </row>
    <row r="899">
      <c r="A899" t="inlineStr">
        <is>
          <t>20260907-8186-462321664</t>
        </is>
      </c>
      <c r="B899" t="n">
        <v>1</v>
      </c>
      <c r="C899" s="2" t="inlineStr">
        <is>
          <t>Татьяна Аксиненко</t>
        </is>
      </c>
      <c r="D899" s="3" t="n">
        <v>23200</v>
      </c>
      <c r="E899" s="4" t="n">
        <v>20</v>
      </c>
      <c r="F899" t="inlineStr">
        <is>
          <t>ООО "КОМПАНИЯ БРОНЕВИК" [Чайковский]</t>
        </is>
      </c>
      <c r="G899" s="3">
        <f>ROUND(D899/(100-E899)*100,2)</f>
        <v/>
      </c>
      <c r="H899" s="5" t="n">
        <v>46272.58333333334</v>
      </c>
      <c r="I899" t="n">
        <v>2</v>
      </c>
      <c r="J899" s="3">
        <f>G899/I899</f>
        <v/>
      </c>
      <c r="K899">
        <f>IF(J899&gt;=5100,"ставка","мин.ставка")</f>
        <v/>
      </c>
      <c r="L899" s="3">
        <f>ROUND(IF(K899="мин.ставка",I899*100,G899/102*2),2)</f>
        <v/>
      </c>
      <c r="M899" s="5" t="n">
        <v>46274.5</v>
      </c>
      <c r="N899" t="inlineStr">
        <is>
          <t>TravelLine BR2</t>
        </is>
      </c>
      <c r="O899" s="2" t="inlineStr">
        <is>
          <t>ПОЛУЛЮКС</t>
        </is>
      </c>
      <c r="P899" s="6" t="n"/>
      <c r="R899" t="inlineStr"/>
      <c r="S899" t="inlineStr">
        <is>
          <t>Тариф с завтраком</t>
        </is>
      </c>
      <c r="T899" t="n">
        <v>0</v>
      </c>
      <c r="U899" t="n">
        <v>23200</v>
      </c>
    </row>
    <row r="900">
      <c r="A900" t="inlineStr">
        <is>
          <t>20260729-8186-454077989</t>
        </is>
      </c>
      <c r="B900" t="n">
        <v>1</v>
      </c>
      <c r="C900" s="2" t="inlineStr">
        <is>
          <t>Татьяна Бельтюкова</t>
        </is>
      </c>
      <c r="D900" s="3" t="n">
        <v>13856.7</v>
      </c>
      <c r="E900" s="4" t="n">
        <v>4</v>
      </c>
      <c r="F900" t="inlineStr">
        <is>
          <t>TravelLine Booking Engine [Чайковский]</t>
        </is>
      </c>
      <c r="G900" s="3">
        <f>ROUND(D900/(100-E900)*100,2)</f>
        <v/>
      </c>
      <c r="H900" s="5" t="n">
        <v>46232.58333333334</v>
      </c>
      <c r="I900" t="n">
        <v>1</v>
      </c>
      <c r="J900" s="3">
        <f>G900/I900</f>
        <v/>
      </c>
      <c r="K900">
        <f>IF(J900&gt;=5100,"ставка","мин.ставка")</f>
        <v/>
      </c>
      <c r="L900" s="3">
        <f>ROUND(IF(K900="мин.ставка",I900*100,G900/102*2),2)</f>
        <v/>
      </c>
      <c r="M900" s="5" t="n">
        <v>46233.5</v>
      </c>
      <c r="N900" t="inlineStr">
        <is>
          <t>TravelLine сайт</t>
        </is>
      </c>
      <c r="O900" s="2" t="inlineStr">
        <is>
          <t>ЛЮКС ВТОРОЙ КОРПУС</t>
        </is>
      </c>
      <c r="P900" s="6" t="n"/>
      <c r="R900" t="inlineStr"/>
      <c r="S900" t="inlineStr">
        <is>
          <t>Основной тариф без завтрака</t>
        </is>
      </c>
      <c r="T900" t="n">
        <v>0</v>
      </c>
      <c r="U900" t="n">
        <v>13856.7</v>
      </c>
    </row>
    <row r="901">
      <c r="A901" t="inlineStr">
        <is>
          <t>20260828-8186-461231604</t>
        </is>
      </c>
      <c r="B901" t="n">
        <v>1</v>
      </c>
      <c r="C901" s="2" t="inlineStr">
        <is>
          <t>Татьяна Губанова, Андрей Губанов</t>
        </is>
      </c>
      <c r="D901" s="3" t="n">
        <v>28550.5</v>
      </c>
      <c r="E901" s="4" t="n">
        <v>4</v>
      </c>
      <c r="F901" t="inlineStr">
        <is>
          <t>TravelLine Booking Engine [Чайковский]</t>
        </is>
      </c>
      <c r="G901" s="3">
        <f>ROUND(D901/(100-E901)*100,2)</f>
        <v/>
      </c>
      <c r="H901" s="5" t="n">
        <v>46262.58333333334</v>
      </c>
      <c r="I901" t="n">
        <v>2</v>
      </c>
      <c r="J901" s="3">
        <f>G901/I901</f>
        <v/>
      </c>
      <c r="K901">
        <f>IF(J901&gt;=5100,"ставка","мин.ставка")</f>
        <v/>
      </c>
      <c r="L901" s="3">
        <f>ROUND(IF(K901="мин.ставка",I901*100,G901/102*2),2)</f>
        <v/>
      </c>
      <c r="M901" s="5" t="n">
        <v>46264.5</v>
      </c>
      <c r="N901" t="inlineStr">
        <is>
          <t>TravelLine сайт</t>
        </is>
      </c>
      <c r="O901" s="2" t="inlineStr">
        <is>
          <t>ЛЮКС ВТОРОЙ КОРПУС</t>
        </is>
      </c>
      <c r="P901" s="6" t="n"/>
      <c r="R901" t="inlineStr"/>
      <c r="S901" t="inlineStr">
        <is>
          <t>Основной тариф без завтрака</t>
        </is>
      </c>
      <c r="T901" t="n">
        <v>0</v>
      </c>
      <c r="U901" t="n">
        <v>28550.5</v>
      </c>
    </row>
    <row r="902">
      <c r="A902" t="inlineStr">
        <is>
          <t>20260917-8186-465196900</t>
        </is>
      </c>
      <c r="B902" t="n">
        <v>1</v>
      </c>
      <c r="C902" s="2" t="inlineStr">
        <is>
          <t>Татьяна Еремеева</t>
        </is>
      </c>
      <c r="D902" s="3" t="n">
        <v>43050.5</v>
      </c>
      <c r="E902" s="4" t="n">
        <v>4</v>
      </c>
      <c r="F902" t="inlineStr">
        <is>
          <t>TravelLine Booking Engine [Чайковский]</t>
        </is>
      </c>
      <c r="G902" s="3">
        <f>ROUND(D902/(100-E902)*100,2)</f>
        <v/>
      </c>
      <c r="H902" s="5" t="n">
        <v>46282.58333333334</v>
      </c>
      <c r="I902" t="n">
        <v>3</v>
      </c>
      <c r="J902" s="3">
        <f>G902/I902</f>
        <v/>
      </c>
      <c r="K902">
        <f>IF(J902&gt;=5100,"ставка","мин.ставка")</f>
        <v/>
      </c>
      <c r="L902" s="3">
        <f>ROUND(IF(K902="мин.ставка",I902*100,G902/102*2),2)</f>
        <v/>
      </c>
      <c r="M902" s="5" t="n">
        <v>46285.5</v>
      </c>
      <c r="N902" t="inlineStr">
        <is>
          <t>TravelLine сайт</t>
        </is>
      </c>
      <c r="O902" s="2" t="inlineStr">
        <is>
          <t>ПОЛУЛЮКС</t>
        </is>
      </c>
      <c r="P902" s="6" t="n"/>
      <c r="R902" t="inlineStr"/>
      <c r="S902" t="inlineStr">
        <is>
          <t>Тариф с завтраком</t>
        </is>
      </c>
      <c r="T902" t="n">
        <v>0</v>
      </c>
      <c r="U902" t="n">
        <v>43050.5</v>
      </c>
    </row>
    <row r="903">
      <c r="A903" t="inlineStr">
        <is>
          <t>20260715-8186-440318690</t>
        </is>
      </c>
      <c r="B903" t="n">
        <v>1</v>
      </c>
      <c r="C903" s="2" t="inlineStr">
        <is>
          <t>Татьяна Кагановская, Александра Кагановская</t>
        </is>
      </c>
      <c r="D903" s="3" t="n">
        <v>30322.6</v>
      </c>
      <c r="E903" s="4" t="n">
        <v>4</v>
      </c>
      <c r="F903" t="inlineStr">
        <is>
          <t>TravelLine Booking Engine [Чайковский]</t>
        </is>
      </c>
      <c r="G903" s="3">
        <f>ROUND(D903/(100-E903)*100,2)</f>
        <v/>
      </c>
      <c r="H903" s="5" t="n">
        <v>46218.58333333334</v>
      </c>
      <c r="I903" t="n">
        <v>2</v>
      </c>
      <c r="J903" s="3">
        <f>G903/I903</f>
        <v/>
      </c>
      <c r="K903">
        <f>IF(J903&gt;=5100,"ставка","мин.ставка")</f>
        <v/>
      </c>
      <c r="L903" s="3">
        <f>ROUND(IF(K903="мин.ставка",I903*100,G903/102*2),2)</f>
        <v/>
      </c>
      <c r="M903" s="5" t="n">
        <v>46220.5</v>
      </c>
      <c r="N903" t="inlineStr">
        <is>
          <t>TravelLine сайт</t>
        </is>
      </c>
      <c r="O903" s="2" t="inlineStr">
        <is>
          <t>УЛУЧШЕННЫЙ ДВУХМЕСТНЫЙ НОМЕР</t>
        </is>
      </c>
      <c r="P903" s="6" t="n"/>
      <c r="R903" t="inlineStr"/>
      <c r="S903" t="inlineStr">
        <is>
          <t>Тариф с завтраком</t>
        </is>
      </c>
      <c r="T903" t="n">
        <v>0</v>
      </c>
      <c r="U903" t="n">
        <v>30322.6</v>
      </c>
    </row>
    <row r="904">
      <c r="A904" t="inlineStr">
        <is>
          <t>20260907-8186-462098127</t>
        </is>
      </c>
      <c r="B904" t="n">
        <v>1</v>
      </c>
      <c r="C904" s="2" t="inlineStr">
        <is>
          <t>Татьяна Казакова</t>
        </is>
      </c>
      <c r="D904" s="3" t="n">
        <v>18160</v>
      </c>
      <c r="E904" s="4" t="n">
        <v>20</v>
      </c>
      <c r="F904" t="inlineStr">
        <is>
          <t>ООО "КОМПАНИЯ БРОНЕВИК" [Чайковский]</t>
        </is>
      </c>
      <c r="G904" s="3">
        <f>ROUND(D904/(100-E904)*100,2)</f>
        <v/>
      </c>
      <c r="H904" s="5" t="n">
        <v>46272.33333333334</v>
      </c>
      <c r="I904" t="n">
        <v>2</v>
      </c>
      <c r="J904" s="3">
        <f>G904/I904</f>
        <v/>
      </c>
      <c r="K904">
        <f>IF(J904&gt;=5100,"ставка","мин.ставка")</f>
        <v/>
      </c>
      <c r="L904" s="3">
        <f>ROUND(IF(K904="мин.ставка",I904*100,G904/102*2),2)</f>
        <v/>
      </c>
      <c r="M904" s="5" t="n">
        <v>46274.5</v>
      </c>
      <c r="N904" t="inlineStr">
        <is>
          <t>TravelLine BR2</t>
        </is>
      </c>
      <c r="O904" s="2" t="inlineStr">
        <is>
          <t>СТАНДАРТНЫЙ ДВУХМЕСТНЫЙ НОМЕР</t>
        </is>
      </c>
      <c r="P904" s="6" t="n"/>
      <c r="R904" t="inlineStr"/>
      <c r="S904" t="inlineStr">
        <is>
          <t>Тариф с завтраком</t>
        </is>
      </c>
      <c r="T904" t="n">
        <v>9080</v>
      </c>
      <c r="U904" t="n">
        <v>27240</v>
      </c>
    </row>
    <row r="905">
      <c r="A905" t="inlineStr">
        <is>
          <t>20260901-8186-461813683</t>
        </is>
      </c>
      <c r="B905" t="n">
        <v>1</v>
      </c>
      <c r="C905" s="2" t="inlineStr">
        <is>
          <t>Татьяна Коржаева</t>
        </is>
      </c>
      <c r="D905" s="3" t="n">
        <v>19295</v>
      </c>
      <c r="E905" s="4" t="n">
        <v>15</v>
      </c>
      <c r="F905" t="inlineStr">
        <is>
          <t>ООО «12Т» (ранее ONE TWO TRIP) [Чайковский]</t>
        </is>
      </c>
      <c r="G905" s="3">
        <f>ROUND(D905/(100-E905)*100,2)</f>
        <v/>
      </c>
      <c r="H905" s="5" t="n">
        <v>46266.58333333334</v>
      </c>
      <c r="I905" t="n">
        <v>2</v>
      </c>
      <c r="J905" s="3">
        <f>G905/I905</f>
        <v/>
      </c>
      <c r="K905">
        <f>IF(J905&gt;=5100,"ставка","мин.ставка")</f>
        <v/>
      </c>
      <c r="L905" s="3">
        <f>ROUND(IF(K905="мин.ставка",I905*100,G905/102*2),2)</f>
        <v/>
      </c>
      <c r="M905" s="5" t="n">
        <v>46268.5</v>
      </c>
      <c r="N905" t="inlineStr">
        <is>
          <t>TravelLine OTT</t>
        </is>
      </c>
      <c r="O905" s="2" t="inlineStr">
        <is>
          <t>УЛУЧШЕННЫЙ ДВУХМЕСТНЫЙ НОМЕР</t>
        </is>
      </c>
      <c r="P905" s="6" t="n"/>
      <c r="R905" t="inlineStr"/>
      <c r="S905" t="inlineStr">
        <is>
          <t>Тариф с завтраком</t>
        </is>
      </c>
      <c r="T905" t="n">
        <v>0</v>
      </c>
      <c r="U905" t="n">
        <v>19295</v>
      </c>
    </row>
    <row r="906">
      <c r="A906" t="inlineStr">
        <is>
          <t>20260803-8186-453518058</t>
        </is>
      </c>
      <c r="B906" t="n">
        <v>1</v>
      </c>
      <c r="C906" s="2" t="inlineStr">
        <is>
          <t>Татьяна Коржаева</t>
        </is>
      </c>
      <c r="D906" s="3" t="n">
        <v>20145</v>
      </c>
      <c r="E906" s="4" t="n">
        <v>15</v>
      </c>
      <c r="F906" t="inlineStr">
        <is>
          <t>ООО «12Т» (ранее ONE TWO TRIP) [Чайковский]</t>
        </is>
      </c>
      <c r="G906" s="3">
        <f>ROUND(D906/(100-E906)*100,2)</f>
        <v/>
      </c>
      <c r="H906" s="5" t="n">
        <v>46237.58333333334</v>
      </c>
      <c r="I906" t="n">
        <v>3</v>
      </c>
      <c r="J906" s="3">
        <f>G906/I906</f>
        <v/>
      </c>
      <c r="K906">
        <f>IF(J906&gt;=5100,"ставка","мин.ставка")</f>
        <v/>
      </c>
      <c r="L906" s="3">
        <f>ROUND(IF(K906="мин.ставка",I906*100,G906/102*2),2)</f>
        <v/>
      </c>
      <c r="M906" s="5" t="n">
        <v>46240.5</v>
      </c>
      <c r="N906" t="inlineStr">
        <is>
          <t>TravelLine OTT</t>
        </is>
      </c>
      <c r="O906" s="2" t="inlineStr">
        <is>
          <t>СТАНДАРТНЫЙ ДВУХМЕСТНЫЙ НОМЕР (МАНСАРДА)</t>
        </is>
      </c>
      <c r="P906" s="6" t="n"/>
      <c r="R906" t="inlineStr"/>
      <c r="S906" t="inlineStr">
        <is>
          <t>Тариф с завтраком</t>
        </is>
      </c>
      <c r="T906" t="n">
        <v>0</v>
      </c>
      <c r="U906" t="n">
        <v>20145</v>
      </c>
    </row>
    <row r="907">
      <c r="A907" t="inlineStr">
        <is>
          <t>20260910-8186-461133023</t>
        </is>
      </c>
      <c r="B907" t="n">
        <v>1</v>
      </c>
      <c r="C907" s="2" t="inlineStr">
        <is>
          <t>ТАТЬЯНА МЕРКУЛОВА</t>
        </is>
      </c>
      <c r="D907" s="3" t="n">
        <v>31500</v>
      </c>
      <c r="E907" s="4" t="n">
        <v>16</v>
      </c>
      <c r="F907" t="inlineStr">
        <is>
          <t>ООО "БРОНИРОВАНИЕ ГОСТИНИЦ" (OSTROVOK) [Чайковский]</t>
        </is>
      </c>
      <c r="G907" s="3">
        <f>ROUND(D907/(100-E907)*100,2)</f>
        <v/>
      </c>
      <c r="H907" s="5" t="n">
        <v>46275.58333333334</v>
      </c>
      <c r="I907" t="n">
        <v>3</v>
      </c>
      <c r="J907" s="3">
        <f>G907/I907</f>
        <v/>
      </c>
      <c r="K907">
        <f>IF(J907&gt;=5100,"ставка","мин.ставка")</f>
        <v/>
      </c>
      <c r="L907" s="3">
        <f>ROUND(IF(K907="мин.ставка",I907*100,G907/102*2),2)</f>
        <v/>
      </c>
      <c r="M907" s="5" t="n">
        <v>46278.5</v>
      </c>
      <c r="N907" t="inlineStr">
        <is>
          <t>TravelLine OTK</t>
        </is>
      </c>
      <c r="O907" s="2" t="inlineStr">
        <is>
          <t>ЛЮКС ВТОРОЙ КОРПУС</t>
        </is>
      </c>
      <c r="P907" s="6" t="n"/>
      <c r="R907" t="inlineStr"/>
      <c r="S907" t="inlineStr">
        <is>
          <t>Основной тариф без завтрака</t>
        </is>
      </c>
      <c r="T907" t="n">
        <v>0</v>
      </c>
      <c r="U907" t="n">
        <v>31500</v>
      </c>
    </row>
    <row r="908">
      <c r="A908" t="inlineStr">
        <is>
          <t>20260823-8186-460513240</t>
        </is>
      </c>
      <c r="B908" t="n">
        <v>1</v>
      </c>
      <c r="C908" s="2" t="inlineStr">
        <is>
          <t>Татьяна Мешкова</t>
        </is>
      </c>
      <c r="D908" s="3" t="n">
        <v>6930</v>
      </c>
      <c r="E908" s="4" t="n">
        <v>0</v>
      </c>
      <c r="F908" t="inlineStr">
        <is>
          <t>Прямые бронирования (стойка) [Чайковский]</t>
        </is>
      </c>
      <c r="G908" s="3">
        <f>ROUND(D908/(100-E908)*100,2)</f>
        <v/>
      </c>
      <c r="H908" s="5" t="n">
        <v>46257.58333333334</v>
      </c>
      <c r="I908" t="n">
        <v>1</v>
      </c>
      <c r="J908" s="3">
        <f>G908/I908</f>
        <v/>
      </c>
      <c r="K908">
        <f>IF(J908&gt;=5100,"ставка","мин.ставка")</f>
        <v/>
      </c>
      <c r="L908" s="3">
        <f>ROUND(IF(K908="мин.ставка",I908*100,G908/102*2),2)</f>
        <v/>
      </c>
      <c r="M908" s="5" t="n">
        <v>46258.5</v>
      </c>
      <c r="N908" t="inlineStr">
        <is>
          <t>TravelLine ресепшн</t>
        </is>
      </c>
      <c r="O908" s="2" t="inlineStr">
        <is>
          <t>СТАНДАРТНЫЙ ОДНОМЕСТНЫЙ НОМЕР</t>
        </is>
      </c>
      <c r="P908" s="6" t="n"/>
      <c r="R908" t="inlineStr"/>
      <c r="S908" t="inlineStr">
        <is>
          <t>Тариф с завтраком</t>
        </is>
      </c>
      <c r="T908" t="n">
        <v>0</v>
      </c>
      <c r="U908" t="n">
        <v>6930</v>
      </c>
    </row>
    <row r="909">
      <c r="A909" t="inlineStr">
        <is>
          <t>20260817-8186-450392040</t>
        </is>
      </c>
      <c r="B909" t="n">
        <v>1</v>
      </c>
      <c r="C909" s="2" t="inlineStr">
        <is>
          <t>Татьяна Мешкова</t>
        </is>
      </c>
      <c r="D909" s="3" t="n">
        <v>56523</v>
      </c>
      <c r="E909" s="4" t="n">
        <v>20</v>
      </c>
      <c r="F909" t="inlineStr">
        <is>
          <t>ООО «Дубль Гис» (OTELLO) [Чайковский]</t>
        </is>
      </c>
      <c r="G909" s="3">
        <f>ROUND(D909/(100-E909)*100,2)</f>
        <v/>
      </c>
      <c r="H909" s="5" t="n">
        <v>46251.58333333334</v>
      </c>
      <c r="I909" t="n">
        <v>6</v>
      </c>
      <c r="J909" s="3">
        <f>G909/I909</f>
        <v/>
      </c>
      <c r="K909">
        <f>IF(J909&gt;=5100,"ставка","мин.ставка")</f>
        <v/>
      </c>
      <c r="L909" s="3">
        <f>ROUND(IF(K909="мин.ставка",I909*100,G909/102*2),2)</f>
        <v/>
      </c>
      <c r="M909" s="5" t="n">
        <v>46257.5</v>
      </c>
      <c r="N909" t="inlineStr">
        <is>
          <t>TravelLine OL2</t>
        </is>
      </c>
      <c r="O909" s="2" t="inlineStr">
        <is>
          <t>СТАНДАРТНЫЙ ДВУХМЕСТНЫЙ НОМЕР</t>
        </is>
      </c>
      <c r="P909" s="6" t="n"/>
      <c r="R909" t="inlineStr"/>
      <c r="S909" t="inlineStr">
        <is>
          <t>Тариф с завтраком</t>
        </is>
      </c>
      <c r="T909" t="n">
        <v>0</v>
      </c>
      <c r="U909" t="n">
        <v>56523</v>
      </c>
    </row>
    <row r="910">
      <c r="A910" t="inlineStr">
        <is>
          <t>20260817-8186-450380196</t>
        </is>
      </c>
      <c r="B910" t="n">
        <v>1</v>
      </c>
      <c r="C910" s="2" t="inlineStr">
        <is>
          <t>Татьяна Мулинова</t>
        </is>
      </c>
      <c r="D910" s="3" t="n">
        <v>18614</v>
      </c>
      <c r="E910" s="4" t="n">
        <v>18</v>
      </c>
      <c r="F910" t="inlineStr">
        <is>
          <t>ООО "Эй энд Эй" [Чайковский]</t>
        </is>
      </c>
      <c r="G910" s="3">
        <f>ROUND(D910/(100-E910)*100,2)</f>
        <v/>
      </c>
      <c r="H910" s="5" t="n">
        <v>46251.58333333334</v>
      </c>
      <c r="I910" t="n">
        <v>2</v>
      </c>
      <c r="J910" s="3">
        <f>G910/I910</f>
        <v/>
      </c>
      <c r="K910">
        <f>IF(J910&gt;=5100,"ставка","мин.ставка")</f>
        <v/>
      </c>
      <c r="L910" s="3">
        <f>ROUND(IF(K910="мин.ставка",I910*100,G910/102*2),2)</f>
        <v/>
      </c>
      <c r="M910" s="5" t="n">
        <v>46253.5</v>
      </c>
      <c r="N910" t="inlineStr">
        <is>
          <t>TravelLine ANA</t>
        </is>
      </c>
      <c r="O910" s="2" t="inlineStr">
        <is>
          <t>СТАНДАРТНЫЙ ДВУХМЕСТНЫЙ НОМЕР</t>
        </is>
      </c>
      <c r="P910" s="6" t="n"/>
      <c r="R910" t="inlineStr"/>
      <c r="S910" t="inlineStr">
        <is>
          <t>Тариф с завтраком</t>
        </is>
      </c>
      <c r="T910" t="n">
        <v>0</v>
      </c>
      <c r="U910" t="n">
        <v>18614</v>
      </c>
    </row>
    <row r="911">
      <c r="A911" t="inlineStr">
        <is>
          <t>20260721-8186-445148990</t>
        </is>
      </c>
      <c r="B911" t="n">
        <v>1</v>
      </c>
      <c r="C911" s="2" t="inlineStr">
        <is>
          <t>Татьяна Парунова, Виталий Терехов</t>
        </is>
      </c>
      <c r="D911" s="3" t="n">
        <v>32040</v>
      </c>
      <c r="E911" s="4" t="n">
        <v>18</v>
      </c>
      <c r="F911" t="inlineStr">
        <is>
          <t>Яндекс.Путешествия [Чайковский]</t>
        </is>
      </c>
      <c r="G911" s="3">
        <f>ROUND(D911/(100-E911)*100,2)</f>
        <v/>
      </c>
      <c r="H911" s="5" t="n">
        <v>46224.58333333334</v>
      </c>
      <c r="I911" t="n">
        <v>3</v>
      </c>
      <c r="J911" s="3">
        <f>G911/I911</f>
        <v/>
      </c>
      <c r="K911">
        <f>IF(J911&gt;=5100,"ставка","мин.ставка")</f>
        <v/>
      </c>
      <c r="L911" s="3">
        <f>ROUND(IF(K911="мин.ставка",I911*100,G911/102*2),2)</f>
        <v/>
      </c>
      <c r="M911" s="5" t="n">
        <v>46227.5</v>
      </c>
      <c r="N911" t="inlineStr">
        <is>
          <t>TravelLine YAX</t>
        </is>
      </c>
      <c r="O911" s="2" t="inlineStr">
        <is>
          <t>СТАНДАРТНЫЙ ДВУХМЕСТНЫЙ НОМЕР</t>
        </is>
      </c>
      <c r="P911" s="6" t="n"/>
      <c r="R911" t="inlineStr"/>
      <c r="S911" t="inlineStr">
        <is>
          <t>Тариф с завтраком</t>
        </is>
      </c>
      <c r="T911" t="n">
        <v>0</v>
      </c>
      <c r="U911" t="n">
        <v>32040</v>
      </c>
    </row>
    <row r="912">
      <c r="A912" t="inlineStr">
        <is>
          <t>20260807-8186-451684061</t>
        </is>
      </c>
      <c r="B912" t="n">
        <v>1</v>
      </c>
      <c r="C912" s="2" t="inlineStr">
        <is>
          <t>ТАТЬЯНА ПЕТРОВА, ЕЛЕНА ВАЛЬТЕР</t>
        </is>
      </c>
      <c r="D912" s="3" t="n">
        <v>22695</v>
      </c>
      <c r="E912" s="4" t="n">
        <v>15</v>
      </c>
      <c r="F912" t="inlineStr">
        <is>
          <t>ООО "Библио-Глобус Туроператор" [Чайковский]</t>
        </is>
      </c>
      <c r="G912" s="3">
        <f>ROUND(D912/(100-E912)*100,2)</f>
        <v/>
      </c>
      <c r="H912" s="5" t="n">
        <v>46241.58333333334</v>
      </c>
      <c r="I912" t="n">
        <v>2</v>
      </c>
      <c r="J912" s="3">
        <f>G912/I912</f>
        <v/>
      </c>
      <c r="K912">
        <f>IF(J912&gt;=5100,"ставка","мин.ставка")</f>
        <v/>
      </c>
      <c r="L912" s="3">
        <f>ROUND(IF(K912="мин.ставка",I912*100,G912/102*2),2)</f>
        <v/>
      </c>
      <c r="M912" s="5" t="n">
        <v>46243.5</v>
      </c>
      <c r="N912" t="inlineStr">
        <is>
          <t>TravelLine BGL</t>
        </is>
      </c>
      <c r="O912" s="2" t="inlineStr">
        <is>
          <t>СТАНДАРТНЫЙ ДВУХМЕСТНЫЙ НОМЕР</t>
        </is>
      </c>
      <c r="P912" s="6" t="n"/>
      <c r="R912" t="inlineStr"/>
      <c r="S912" t="inlineStr">
        <is>
          <t>Тариф с завтраком</t>
        </is>
      </c>
      <c r="T912" t="n">
        <v>0</v>
      </c>
      <c r="U912" t="n">
        <v>22695</v>
      </c>
    </row>
    <row r="913">
      <c r="A913" t="inlineStr">
        <is>
          <t>20260829-8186-451483327</t>
        </is>
      </c>
      <c r="B913" t="n">
        <v>1</v>
      </c>
      <c r="C913" s="2" t="inlineStr">
        <is>
          <t>Татьяна Познякова, Павел Синявский</t>
        </is>
      </c>
      <c r="D913" s="3" t="n">
        <v>24651</v>
      </c>
      <c r="E913" s="4" t="n">
        <v>17</v>
      </c>
      <c r="F913" t="inlineStr">
        <is>
          <t>ООО «Интернет Трэвел» (OZON) [Чайковский]</t>
        </is>
      </c>
      <c r="G913" s="3">
        <f>ROUND(D913/(100-E913)*100,2)</f>
        <v/>
      </c>
      <c r="H913" s="5" t="n">
        <v>46263.58333333334</v>
      </c>
      <c r="I913" t="n">
        <v>3</v>
      </c>
      <c r="J913" s="3">
        <f>G913/I913</f>
        <v/>
      </c>
      <c r="K913">
        <f>IF(J913&gt;=5100,"ставка","мин.ставка")</f>
        <v/>
      </c>
      <c r="L913" s="3">
        <f>ROUND(IF(K913="мин.ставка",I913*100,G913/102*2),2)</f>
        <v/>
      </c>
      <c r="M913" s="5" t="n">
        <v>46266.5</v>
      </c>
      <c r="N913" t="inlineStr">
        <is>
          <t>TravelLine OZ2</t>
        </is>
      </c>
      <c r="O913" s="2" t="inlineStr">
        <is>
          <t>СТАНДАРТНЫЙ ДВУХМЕСТНЫЙ НОМЕР (МАНСАРДА)</t>
        </is>
      </c>
      <c r="P913" s="6" t="n"/>
      <c r="R913" t="inlineStr"/>
      <c r="S913" t="inlineStr">
        <is>
          <t>Тариф с завтраком</t>
        </is>
      </c>
      <c r="T913" t="n">
        <v>0</v>
      </c>
      <c r="U913" t="n">
        <v>24651</v>
      </c>
    </row>
    <row r="914">
      <c r="A914" t="inlineStr">
        <is>
          <t>20260911-8186-457261694</t>
        </is>
      </c>
      <c r="B914" t="n">
        <v>1</v>
      </c>
      <c r="C914" s="2" t="inlineStr">
        <is>
          <t>ТАТЬЯНА ПРУССАКОВА</t>
        </is>
      </c>
      <c r="D914" s="3" t="n">
        <v>19635</v>
      </c>
      <c r="E914" s="4" t="n">
        <v>15</v>
      </c>
      <c r="F914" t="inlineStr">
        <is>
          <t>Trip.com Group [Чайковский]</t>
        </is>
      </c>
      <c r="G914" s="3">
        <f>ROUND(D914/(100-E914)*100,2)</f>
        <v/>
      </c>
      <c r="H914" s="5" t="n">
        <v>46276.58333333334</v>
      </c>
      <c r="I914" t="n">
        <v>3</v>
      </c>
      <c r="J914" s="3">
        <f>G914/I914</f>
        <v/>
      </c>
      <c r="K914">
        <f>IF(J914&gt;=5100,"ставка","мин.ставка")</f>
        <v/>
      </c>
      <c r="L914" s="3">
        <f>ROUND(IF(K914="мин.ставка",I914*100,G914/102*2),2)</f>
        <v/>
      </c>
      <c r="M914" s="5" t="n">
        <v>46279.5</v>
      </c>
      <c r="N914" t="inlineStr">
        <is>
          <t>TravelLine CTP</t>
        </is>
      </c>
      <c r="O914" s="2" t="inlineStr">
        <is>
          <t>СТАНДАРТНЫЙ ОДНОМЕСТНЫЙ НОМЕР</t>
        </is>
      </c>
      <c r="P914" s="6" t="n"/>
      <c r="R914" t="inlineStr"/>
      <c r="S914" t="inlineStr">
        <is>
          <t>Тариф с завтраком</t>
        </is>
      </c>
      <c r="T914" t="n">
        <v>0</v>
      </c>
      <c r="U914" t="n">
        <v>19635</v>
      </c>
    </row>
    <row r="915">
      <c r="A915" t="inlineStr">
        <is>
          <t>20260919-8186-459559612</t>
        </is>
      </c>
      <c r="B915" t="n">
        <v>1</v>
      </c>
      <c r="C915" s="2" t="inlineStr">
        <is>
          <t>ТАТЬЯНА РИКАЛЕНКО</t>
        </is>
      </c>
      <c r="D915" s="3" t="n">
        <v>28602</v>
      </c>
      <c r="E915" s="4" t="n">
        <v>16</v>
      </c>
      <c r="F915" t="inlineStr">
        <is>
          <t>ООО "БРОНИРОВАНИЕ ГОСТИНИЦ" (OSTROVOK) [Чайковский]</t>
        </is>
      </c>
      <c r="G915" s="3">
        <f>ROUND(D915/(100-E915)*100,2)</f>
        <v/>
      </c>
      <c r="H915" s="5" t="n">
        <v>46284.58333333334</v>
      </c>
      <c r="I915" t="n">
        <v>3</v>
      </c>
      <c r="J915" s="3">
        <f>G915/I915</f>
        <v/>
      </c>
      <c r="K915">
        <f>IF(J915&gt;=5100,"ставка","мин.ставка")</f>
        <v/>
      </c>
      <c r="L915" s="3">
        <f>ROUND(IF(K915="мин.ставка",I915*100,G915/102*2),2)</f>
        <v/>
      </c>
      <c r="M915" s="5" t="n">
        <v>46287.5</v>
      </c>
      <c r="N915" t="inlineStr">
        <is>
          <t>TravelLine OTK</t>
        </is>
      </c>
      <c r="O915" s="2" t="inlineStr">
        <is>
          <t>СТАНДАРТНЫЙ ДВУХМЕСТНЫЙ НОМЕР</t>
        </is>
      </c>
      <c r="P915" s="6" t="n"/>
      <c r="R915" t="inlineStr"/>
      <c r="S915" t="inlineStr">
        <is>
          <t>Тариф с завтраком</t>
        </is>
      </c>
      <c r="T915" t="n">
        <v>0</v>
      </c>
      <c r="U915" t="n">
        <v>28602</v>
      </c>
    </row>
    <row r="916">
      <c r="A916" t="inlineStr">
        <is>
          <t>20260804-8186-452574889</t>
        </is>
      </c>
      <c r="B916" t="n">
        <v>1</v>
      </c>
      <c r="C916" s="2" t="inlineStr">
        <is>
          <t>Татьяна Слезко, Анна Максимова</t>
        </is>
      </c>
      <c r="D916" s="3" t="n">
        <v>26286.15</v>
      </c>
      <c r="E916" s="4" t="n">
        <v>4</v>
      </c>
      <c r="F916" t="inlineStr">
        <is>
          <t>TravelLine Booking Engine [Чайковский]</t>
        </is>
      </c>
      <c r="G916" s="3">
        <f>ROUND(D916/(100-E916)*100,2)</f>
        <v/>
      </c>
      <c r="H916" s="5" t="n">
        <v>46238.58333333334</v>
      </c>
      <c r="I916" t="n">
        <v>2</v>
      </c>
      <c r="J916" s="3">
        <f>G916/I916</f>
        <v/>
      </c>
      <c r="K916">
        <f>IF(J916&gt;=5100,"ставка","мин.ставка")</f>
        <v/>
      </c>
      <c r="L916" s="3">
        <f>ROUND(IF(K916="мин.ставка",I916*100,G916/102*2),2)</f>
        <v/>
      </c>
      <c r="M916" s="5" t="n">
        <v>46240.5</v>
      </c>
      <c r="N916" t="inlineStr">
        <is>
          <t>TravelLine сайт</t>
        </is>
      </c>
      <c r="O916" s="2" t="inlineStr">
        <is>
          <t>СТАНДАРТНЫЙ ДВУХМЕСТНЫЙ НОМЕР</t>
        </is>
      </c>
      <c r="P916" s="6" t="n"/>
      <c r="R916" t="inlineStr"/>
      <c r="S916" t="inlineStr">
        <is>
          <t>Тариф с завтраком</t>
        </is>
      </c>
      <c r="T916" t="n">
        <v>90</v>
      </c>
      <c r="U916" t="n">
        <v>26376.15</v>
      </c>
    </row>
    <row r="917">
      <c r="A917" t="inlineStr">
        <is>
          <t>20260724-8186-448711908</t>
        </is>
      </c>
      <c r="B917" t="n">
        <v>1</v>
      </c>
      <c r="C917" s="2" t="inlineStr">
        <is>
          <t>ТАТЬЯНА СЛИВНИЦЫНА, МАЙЯ СЛИВНИЦЫНА</t>
        </is>
      </c>
      <c r="D917" s="3" t="n">
        <v>22695</v>
      </c>
      <c r="E917" s="4" t="n">
        <v>15</v>
      </c>
      <c r="F917" t="inlineStr">
        <is>
          <t>ООО "БРОНИРОВАНИЕ ГОСТИНИЦ" (OSTROVOK) [Чайковский]</t>
        </is>
      </c>
      <c r="G917" s="3">
        <f>ROUND(D917/(100-E917)*100,2)</f>
        <v/>
      </c>
      <c r="H917" s="5" t="n">
        <v>46227.58333333334</v>
      </c>
      <c r="I917" t="n">
        <v>2</v>
      </c>
      <c r="J917" s="3">
        <f>G917/I917</f>
        <v/>
      </c>
      <c r="K917">
        <f>IF(J917&gt;=5100,"ставка","мин.ставка")</f>
        <v/>
      </c>
      <c r="L917" s="3">
        <f>ROUND(IF(K917="мин.ставка",I917*100,G917/102*2),2)</f>
        <v/>
      </c>
      <c r="M917" s="5" t="n">
        <v>46229.5</v>
      </c>
      <c r="N917" t="inlineStr">
        <is>
          <t>TravelLine OTK</t>
        </is>
      </c>
      <c r="O917" s="2" t="inlineStr">
        <is>
          <t>СТАНДАРТНЫЙ ДВУХМЕСТНЫЙ НОМЕР</t>
        </is>
      </c>
      <c r="P917" s="6" t="n"/>
      <c r="R917" t="inlineStr"/>
      <c r="S917" t="inlineStr">
        <is>
          <t>Тариф с завтраком</t>
        </is>
      </c>
      <c r="T917" t="n">
        <v>1300</v>
      </c>
      <c r="U917" t="n">
        <v>23995</v>
      </c>
    </row>
    <row r="918">
      <c r="A918" t="inlineStr">
        <is>
          <t>20260721-8186-429851742</t>
        </is>
      </c>
      <c r="B918" t="n">
        <v>1</v>
      </c>
      <c r="C918" s="2" t="inlineStr">
        <is>
          <t>Татьяна СМирнова, НИКИТА БОРМОТКИН</t>
        </is>
      </c>
      <c r="D918" s="3" t="n">
        <v>9593.1</v>
      </c>
      <c r="E918" s="4" t="n">
        <v>4</v>
      </c>
      <c r="F918" t="inlineStr">
        <is>
          <t>TravelLine Booking Engine [Чайковский]</t>
        </is>
      </c>
      <c r="G918" s="3">
        <f>ROUND(D918/(100-E918)*100,2)</f>
        <v/>
      </c>
      <c r="H918" s="5" t="n">
        <v>46224.58333333334</v>
      </c>
      <c r="I918" t="n">
        <v>1</v>
      </c>
      <c r="J918" s="3">
        <f>G918/I918</f>
        <v/>
      </c>
      <c r="K918">
        <f>IF(J918&gt;=5100,"ставка","мин.ставка")</f>
        <v/>
      </c>
      <c r="L918" s="3">
        <f>ROUND(IF(K918="мин.ставка",I918*100,G918/102*2),2)</f>
        <v/>
      </c>
      <c r="M918" s="5" t="n">
        <v>46225.5</v>
      </c>
      <c r="N918" t="inlineStr">
        <is>
          <t>TravelLine сайт</t>
        </is>
      </c>
      <c r="O918" s="2" t="inlineStr">
        <is>
          <t>СТАНДАРТНЫЙ ДВУХМЕСТНЫЙ НОМЕР (МАНСАРДА)</t>
        </is>
      </c>
      <c r="P918" s="6" t="n"/>
      <c r="R918" t="inlineStr"/>
      <c r="S918" t="inlineStr">
        <is>
          <t>Тариф с завтраком</t>
        </is>
      </c>
      <c r="T918" t="n">
        <v>0</v>
      </c>
      <c r="U918" t="n">
        <v>9593.1</v>
      </c>
    </row>
    <row r="919">
      <c r="A919" t="inlineStr">
        <is>
          <t>20260822-8186-438680558</t>
        </is>
      </c>
      <c r="B919" t="n">
        <v>1</v>
      </c>
      <c r="C919" s="2" t="inlineStr">
        <is>
          <t>ТАТЬЯНА ТИМАКИНА, ЮЛИЯ ТИМАКИНА</t>
        </is>
      </c>
      <c r="D919" s="3" t="n">
        <v>45390</v>
      </c>
      <c r="E919" s="4" t="n">
        <v>16</v>
      </c>
      <c r="F919" t="inlineStr">
        <is>
          <t>ООО "БРОНИРОВАНИЕ ГОСТИНИЦ" (OSTROVOK) [Чайковский]</t>
        </is>
      </c>
      <c r="G919" s="3">
        <f>ROUND(D919/(100-E919)*100,2)</f>
        <v/>
      </c>
      <c r="H919" s="5" t="n">
        <v>46256.58333333334</v>
      </c>
      <c r="I919" t="n">
        <v>4</v>
      </c>
      <c r="J919" s="3">
        <f>G919/I919</f>
        <v/>
      </c>
      <c r="K919">
        <f>IF(J919&gt;=5100,"ставка","мин.ставка")</f>
        <v/>
      </c>
      <c r="L919" s="3">
        <f>ROUND(IF(K919="мин.ставка",I919*100,G919/102*2),2)</f>
        <v/>
      </c>
      <c r="M919" s="5" t="n">
        <v>46260.5</v>
      </c>
      <c r="N919" t="inlineStr">
        <is>
          <t>TravelLine OTK</t>
        </is>
      </c>
      <c r="O919" s="2" t="inlineStr">
        <is>
          <t>СТАНДАРТНЫЙ ДВУХМЕСТНЫЙ НОМЕР</t>
        </is>
      </c>
      <c r="P919" s="6" t="n"/>
      <c r="R919" t="inlineStr"/>
      <c r="S919" t="inlineStr">
        <is>
          <t>Тариф с завтраком</t>
        </is>
      </c>
      <c r="T919" t="n">
        <v>0</v>
      </c>
      <c r="U919" t="n">
        <v>45390</v>
      </c>
    </row>
    <row r="920">
      <c r="A920" t="inlineStr">
        <is>
          <t>20260712-8186-449535687</t>
        </is>
      </c>
      <c r="B920" t="n">
        <v>1</v>
      </c>
      <c r="C920" s="2" t="inlineStr">
        <is>
          <t>теймур алиев</t>
        </is>
      </c>
      <c r="D920" s="3" t="n">
        <v>7900</v>
      </c>
      <c r="E920" s="4" t="n">
        <v>0</v>
      </c>
      <c r="F920" t="inlineStr">
        <is>
          <t>Прямые бронирования (стойка) [Чайковский]</t>
        </is>
      </c>
      <c r="G920" s="3">
        <f>ROUND(D920/(100-E920)*100,2)</f>
        <v/>
      </c>
      <c r="H920" s="5" t="n">
        <v>46215.58333333334</v>
      </c>
      <c r="I920" t="n">
        <v>1</v>
      </c>
      <c r="J920" s="3">
        <f>G920/I920</f>
        <v/>
      </c>
      <c r="K920">
        <f>IF(J920&gt;=5100,"ставка","мин.ставка")</f>
        <v/>
      </c>
      <c r="L920" s="3">
        <f>ROUND(IF(K920="мин.ставка",I920*100,G920/102*2),2)</f>
        <v/>
      </c>
      <c r="M920" s="5" t="n">
        <v>46216.5</v>
      </c>
      <c r="N920" t="inlineStr">
        <is>
          <t>TravelLine ресепшн</t>
        </is>
      </c>
      <c r="O920" s="2" t="inlineStr">
        <is>
          <t>СТАНДАРТНЫЙ ДВУХМЕСТНЫЙ НОМЕР (МАНСАРДА)</t>
        </is>
      </c>
      <c r="P920" s="6" t="n"/>
      <c r="R920" t="inlineStr"/>
      <c r="S920" t="inlineStr">
        <is>
          <t>Тариф с завтраком</t>
        </is>
      </c>
      <c r="T920" t="n">
        <v>0</v>
      </c>
      <c r="U920" t="n">
        <v>7900</v>
      </c>
    </row>
    <row r="921">
      <c r="A921" t="inlineStr">
        <is>
          <t>20260713-8186-448358432</t>
        </is>
      </c>
      <c r="B921" t="n">
        <v>1</v>
      </c>
      <c r="C921" s="2" t="inlineStr">
        <is>
          <t>Тимофей Гладков</t>
        </is>
      </c>
      <c r="D921" s="3" t="n">
        <v>37228</v>
      </c>
      <c r="E921" s="4" t="n">
        <v>18</v>
      </c>
      <c r="F921" t="inlineStr">
        <is>
          <t>ООО "Эй энд Эй" [Чайковский]</t>
        </is>
      </c>
      <c r="G921" s="3">
        <f>ROUND(D921/(100-E921)*100,2)</f>
        <v/>
      </c>
      <c r="H921" s="5" t="n">
        <v>46216.58333333334</v>
      </c>
      <c r="I921" t="n">
        <v>4</v>
      </c>
      <c r="J921" s="3">
        <f>G921/I921</f>
        <v/>
      </c>
      <c r="K921">
        <f>IF(J921&gt;=5100,"ставка","мин.ставка")</f>
        <v/>
      </c>
      <c r="L921" s="3">
        <f>ROUND(IF(K921="мин.ставка",I921*100,G921/102*2),2)</f>
        <v/>
      </c>
      <c r="M921" s="5" t="n">
        <v>46220.5</v>
      </c>
      <c r="N921" t="inlineStr">
        <is>
          <t>TravelLine ANA</t>
        </is>
      </c>
      <c r="O921" s="2" t="inlineStr">
        <is>
          <t>СТАНДАРТНЫЙ ДВУХМЕСТНЫЙ НОМЕР</t>
        </is>
      </c>
      <c r="P921" s="6" t="n"/>
      <c r="R921" t="inlineStr"/>
      <c r="S921" t="inlineStr">
        <is>
          <t>Тариф с завтраком</t>
        </is>
      </c>
      <c r="T921" t="n">
        <v>0</v>
      </c>
      <c r="U921" t="n">
        <v>37228</v>
      </c>
    </row>
    <row r="922">
      <c r="A922" t="inlineStr">
        <is>
          <t>20260720-8186-410208436</t>
        </is>
      </c>
      <c r="B922" t="n">
        <v>1</v>
      </c>
      <c r="C922" s="2" t="inlineStr">
        <is>
          <t>Тимофей Чистяков, Ольга Чистякова</t>
        </is>
      </c>
      <c r="D922" s="3" t="n">
        <v>56826</v>
      </c>
      <c r="E922" s="4" t="n">
        <v>18</v>
      </c>
      <c r="F922" t="inlineStr">
        <is>
          <t>Яндекс.Путешествия [Чайковский]</t>
        </is>
      </c>
      <c r="G922" s="3">
        <f>ROUND(D922/(100-E922)*100,2)</f>
        <v/>
      </c>
      <c r="H922" s="5" t="n">
        <v>46223.58333333334</v>
      </c>
      <c r="I922" t="n">
        <v>7</v>
      </c>
      <c r="J922" s="3">
        <f>G922/I922</f>
        <v/>
      </c>
      <c r="K922">
        <f>IF(J922&gt;=5100,"ставка","мин.ставка")</f>
        <v/>
      </c>
      <c r="L922" s="3">
        <f>ROUND(IF(K922="мин.ставка",I922*100,G922/102*2),2)</f>
        <v/>
      </c>
      <c r="M922" s="5" t="n">
        <v>46230.5</v>
      </c>
      <c r="N922" t="inlineStr">
        <is>
          <t>TravelLine YAX</t>
        </is>
      </c>
      <c r="O922" s="2" t="inlineStr">
        <is>
          <t>СТАНДАРТНЫЙ ДВУХМЕСТНЫЙ НОМЕР (МАНСАРДА)</t>
        </is>
      </c>
      <c r="P922" s="6" t="n"/>
      <c r="R922" t="inlineStr"/>
      <c r="S922" t="inlineStr">
        <is>
          <t>Тариф с завтраком</t>
        </is>
      </c>
      <c r="T922" t="n">
        <v>0</v>
      </c>
      <c r="U922" t="n">
        <v>113652</v>
      </c>
    </row>
    <row r="923">
      <c r="A923" t="inlineStr">
        <is>
          <t>20260926-8186-468560155</t>
        </is>
      </c>
      <c r="B923" t="n">
        <v>1</v>
      </c>
      <c r="C923" s="2" t="inlineStr">
        <is>
          <t>Тимур Кукусов, Алина Алейникова</t>
        </is>
      </c>
      <c r="D923" s="3" t="n">
        <v>7425</v>
      </c>
      <c r="E923" s="4" t="n">
        <v>18</v>
      </c>
      <c r="F923" t="inlineStr">
        <is>
          <t>Яндекс.Путешествия [Чайковский]</t>
        </is>
      </c>
      <c r="G923" s="3">
        <f>ROUND(D923/(100-E923)*100,2)</f>
        <v/>
      </c>
      <c r="H923" s="5" t="n">
        <v>46291.58333333334</v>
      </c>
      <c r="I923" t="n">
        <v>1</v>
      </c>
      <c r="J923" s="3">
        <f>G923/I923</f>
        <v/>
      </c>
      <c r="K923">
        <f>IF(J923&gt;=5100,"ставка","мин.ставка")</f>
        <v/>
      </c>
      <c r="L923" s="3">
        <f>ROUND(IF(K923="мин.ставка",I923*100,G923/102*2),2)</f>
        <v/>
      </c>
      <c r="M923" s="5" t="n">
        <v>46292.5</v>
      </c>
      <c r="N923" t="inlineStr">
        <is>
          <t>TravelLine YAX</t>
        </is>
      </c>
      <c r="O923" s="2" t="inlineStr">
        <is>
          <t>СТАНДАРТНЫЙ ДВУХМЕСТНЫЙ НОМЕР (МАНСАРДА)</t>
        </is>
      </c>
      <c r="P923" s="6" t="n"/>
      <c r="R923" t="inlineStr"/>
      <c r="S923" t="inlineStr">
        <is>
          <t>Тариф с завтраком</t>
        </is>
      </c>
      <c r="T923" t="n">
        <v>0</v>
      </c>
      <c r="U923" t="n">
        <v>7425</v>
      </c>
    </row>
    <row r="924">
      <c r="A924" t="inlineStr">
        <is>
          <t>20260807-8186-440649751</t>
        </is>
      </c>
      <c r="B924" t="n">
        <v>1</v>
      </c>
      <c r="C924" s="2" t="inlineStr">
        <is>
          <t>Ульяна Вердельман, Никита Запольский</t>
        </is>
      </c>
      <c r="D924" s="3" t="n">
        <v>16252.5</v>
      </c>
      <c r="E924" s="4" t="n">
        <v>4</v>
      </c>
      <c r="F924" t="inlineStr">
        <is>
          <t>TravelLine Booking Engine [Чайковский]</t>
        </is>
      </c>
      <c r="G924" s="3">
        <f>ROUND(D924/(100-E924)*100,2)</f>
        <v/>
      </c>
      <c r="H924" s="5" t="n">
        <v>46241.58333333334</v>
      </c>
      <c r="I924" t="n">
        <v>1</v>
      </c>
      <c r="J924" s="3">
        <f>G924/I924</f>
        <v/>
      </c>
      <c r="K924">
        <f>IF(J924&gt;=5100,"ставка","мин.ставка")</f>
        <v/>
      </c>
      <c r="L924" s="3">
        <f>ROUND(IF(K924="мин.ставка",I924*100,G924/102*2),2)</f>
        <v/>
      </c>
      <c r="M924" s="5" t="n">
        <v>46242.5</v>
      </c>
      <c r="N924" t="inlineStr">
        <is>
          <t>TravelLine сайт</t>
        </is>
      </c>
      <c r="O924" s="2" t="inlineStr">
        <is>
          <t>ПОЛУЛЮКС</t>
        </is>
      </c>
      <c r="P924" s="6" t="n"/>
      <c r="R924" t="inlineStr"/>
      <c r="S924" t="inlineStr">
        <is>
          <t>Тариф с завтраком</t>
        </is>
      </c>
      <c r="T924" t="n">
        <v>0</v>
      </c>
      <c r="U924" t="n">
        <v>16252.5</v>
      </c>
    </row>
    <row r="925">
      <c r="A925" t="inlineStr">
        <is>
          <t>20260819-8186-418481838</t>
        </is>
      </c>
      <c r="B925" t="n">
        <v>1</v>
      </c>
      <c r="C925" s="2" t="inlineStr">
        <is>
          <t>Ульяна Главная, Никита Копылов</t>
        </is>
      </c>
      <c r="D925" s="3" t="n">
        <v>66549.75</v>
      </c>
      <c r="E925" s="4" t="n">
        <v>4</v>
      </c>
      <c r="F925" t="inlineStr">
        <is>
          <t>TravelLine Booking Engine [Чайковский]</t>
        </is>
      </c>
      <c r="G925" s="3">
        <f>ROUND(D925/(100-E925)*100,2)</f>
        <v/>
      </c>
      <c r="H925" s="5" t="n">
        <v>46253.625</v>
      </c>
      <c r="I925" t="n">
        <v>5</v>
      </c>
      <c r="J925" s="3">
        <f>G925/I925</f>
        <v/>
      </c>
      <c r="K925">
        <f>IF(J925&gt;=5100,"ставка","мин.ставка")</f>
        <v/>
      </c>
      <c r="L925" s="3">
        <f>ROUND(IF(K925="мин.ставка",I925*100,G925/102*2),2)</f>
        <v/>
      </c>
      <c r="M925" s="5" t="n">
        <v>46258.5</v>
      </c>
      <c r="N925" t="inlineStr">
        <is>
          <t>TravelLine сайт</t>
        </is>
      </c>
      <c r="O925" s="2" t="inlineStr">
        <is>
          <t>СТАНДАРТНЫЙ ДВУХМЕСТНЫЙ НОМЕР</t>
        </is>
      </c>
      <c r="P925" s="6" t="n"/>
      <c r="R925" t="inlineStr"/>
      <c r="S925" t="inlineStr">
        <is>
          <t>Тариф с завтраком</t>
        </is>
      </c>
      <c r="T925" t="n">
        <v>0</v>
      </c>
      <c r="U925" t="n">
        <v>66549.75</v>
      </c>
    </row>
    <row r="926">
      <c r="A926" t="inlineStr">
        <is>
          <t>20260915-8186-456118917</t>
        </is>
      </c>
      <c r="B926" t="n">
        <v>1</v>
      </c>
      <c r="C926" s="2" t="inlineStr">
        <is>
          <t>УЛЬЯНА ЦОЙ</t>
        </is>
      </c>
      <c r="D926" s="3" t="n">
        <v>9080</v>
      </c>
      <c r="E926" s="4" t="n">
        <v>20</v>
      </c>
      <c r="F926" t="inlineStr">
        <is>
          <t>ООО "ХБ-ПРО" [Чайковский]</t>
        </is>
      </c>
      <c r="G926" s="3">
        <f>ROUND(D926/(100-E926)*100,2)</f>
        <v/>
      </c>
      <c r="H926" s="5" t="n">
        <v>46280.58333333334</v>
      </c>
      <c r="I926" t="n">
        <v>1</v>
      </c>
      <c r="J926" s="3">
        <f>G926/I926</f>
        <v/>
      </c>
      <c r="K926">
        <f>IF(J926&gt;=5100,"ставка","мин.ставка")</f>
        <v/>
      </c>
      <c r="L926" s="3">
        <f>ROUND(IF(K926="мин.ставка",I926*100,G926/102*2),2)</f>
        <v/>
      </c>
      <c r="M926" s="5" t="n">
        <v>46281.5</v>
      </c>
      <c r="N926" t="inlineStr">
        <is>
          <t>TravelLine UTS</t>
        </is>
      </c>
      <c r="O926" s="2" t="inlineStr">
        <is>
          <t>СТАНДАРТНЫЙ ДВУХМЕСТНЫЙ НОМЕР</t>
        </is>
      </c>
      <c r="P926" s="6" t="n"/>
      <c r="R926" t="inlineStr"/>
      <c r="S926" t="inlineStr">
        <is>
          <t>Тариф с завтраком</t>
        </is>
      </c>
      <c r="T926" t="n">
        <v>0</v>
      </c>
      <c r="U926" t="n">
        <v>9080</v>
      </c>
    </row>
    <row r="927">
      <c r="A927" t="inlineStr">
        <is>
          <t>20260630-8186-444852393</t>
        </is>
      </c>
      <c r="B927" t="n">
        <v>1</v>
      </c>
      <c r="C927" s="2" t="inlineStr">
        <is>
          <t>УМАХАН САДЫКОВ</t>
        </is>
      </c>
      <c r="D927" s="3" t="n">
        <v>19295</v>
      </c>
      <c r="E927" s="4" t="n">
        <v>15</v>
      </c>
      <c r="F927" t="inlineStr">
        <is>
          <t>ООО "АКАДЕМ-ОНЛАЙН" [Чайковский]</t>
        </is>
      </c>
      <c r="G927" s="3">
        <f>ROUND(D927/(100-E927)*100,2)</f>
        <v/>
      </c>
      <c r="H927" s="5" t="n">
        <v>46203.58333333334</v>
      </c>
      <c r="I927" t="n">
        <v>2</v>
      </c>
      <c r="J927" s="3">
        <f>G927/I927</f>
        <v/>
      </c>
      <c r="K927">
        <f>IF(J927&gt;=5100,"ставка","мин.ставка")</f>
        <v/>
      </c>
      <c r="L927" s="3">
        <f>ROUND(IF(K927="мин.ставка",I927*100,G927/102*2),2)</f>
        <v/>
      </c>
      <c r="M927" s="5" t="n">
        <v>46205.5</v>
      </c>
      <c r="N927" t="inlineStr">
        <is>
          <t>TravelLine ACS</t>
        </is>
      </c>
      <c r="O927" s="2" t="inlineStr">
        <is>
          <t>СТАНДАРТНЫЙ ДВУХМЕСТНЫЙ НОМЕР</t>
        </is>
      </c>
      <c r="P927" s="6" t="n"/>
      <c r="R927" t="inlineStr"/>
      <c r="S927" t="inlineStr">
        <is>
          <t>Тариф с завтраком</t>
        </is>
      </c>
      <c r="T927" t="n">
        <v>0</v>
      </c>
      <c r="U927" t="n">
        <v>19295</v>
      </c>
    </row>
    <row r="928">
      <c r="A928" t="inlineStr">
        <is>
          <t>20260911-8186-464105054</t>
        </is>
      </c>
      <c r="B928" t="n">
        <v>1</v>
      </c>
      <c r="C928" s="2" t="inlineStr">
        <is>
          <t>Уфук Кырмызыгедик, Полина Кырмызыгедик</t>
        </is>
      </c>
      <c r="D928" s="3" t="n">
        <v>11550</v>
      </c>
      <c r="E928" s="4" t="n">
        <v>18</v>
      </c>
      <c r="F928" t="inlineStr">
        <is>
          <t>Яндекс.Путешествия [Чайковский]</t>
        </is>
      </c>
      <c r="G928" s="3">
        <f>ROUND(D928/(100-E928)*100,2)</f>
        <v/>
      </c>
      <c r="H928" s="5" t="n">
        <v>46276.58333333334</v>
      </c>
      <c r="I928" t="n">
        <v>1</v>
      </c>
      <c r="J928" s="3">
        <f>G928/I928</f>
        <v/>
      </c>
      <c r="K928">
        <f>IF(J928&gt;=5100,"ставка","мин.ставка")</f>
        <v/>
      </c>
      <c r="L928" s="3">
        <f>ROUND(IF(K928="мин.ставка",I928*100,G928/102*2),2)</f>
        <v/>
      </c>
      <c r="M928" s="5" t="n">
        <v>46277.5</v>
      </c>
      <c r="N928" t="inlineStr">
        <is>
          <t>TravelLine YAX</t>
        </is>
      </c>
      <c r="O928" s="2" t="inlineStr">
        <is>
          <t>УЛУЧШЕННЫЙ ДВУХМЕСТНЫЙ НОМЕР</t>
        </is>
      </c>
      <c r="P928" s="6" t="n"/>
      <c r="R928" t="inlineStr"/>
      <c r="S928" t="inlineStr">
        <is>
          <t>Тариф с завтраком</t>
        </is>
      </c>
      <c r="T928" t="n">
        <v>0</v>
      </c>
      <c r="U928" t="n">
        <v>11550</v>
      </c>
    </row>
    <row r="929">
      <c r="A929" t="inlineStr">
        <is>
          <t>20260714-8186-443685155</t>
        </is>
      </c>
      <c r="B929" t="n">
        <v>1</v>
      </c>
      <c r="C929" s="2" t="inlineStr">
        <is>
          <t>Фарида Баширова, Гульнар Мингалиева</t>
        </is>
      </c>
      <c r="D929" s="3" t="n">
        <v>11347.5</v>
      </c>
      <c r="E929" s="4" t="n">
        <v>0</v>
      </c>
      <c r="F929" t="inlineStr">
        <is>
          <t>ООО «ХОМЛИН ЛЭНД» (ПЕГАС) [Чайковский]</t>
        </is>
      </c>
      <c r="G929" s="3">
        <f>ROUND(D929/(100-E929)*100,2)</f>
        <v/>
      </c>
      <c r="H929" s="5" t="n">
        <v>46217.58333333334</v>
      </c>
      <c r="I929" t="n">
        <v>1</v>
      </c>
      <c r="J929" s="3">
        <f>G929/I929</f>
        <v/>
      </c>
      <c r="K929">
        <f>IF(J929&gt;=5100,"ставка","мин.ставка")</f>
        <v/>
      </c>
      <c r="L929" s="3">
        <f>ROUND(IF(K929="мин.ставка",I929*100,G929/102*2),2)</f>
        <v/>
      </c>
      <c r="M929" s="5" t="n">
        <v>46218.5</v>
      </c>
      <c r="N929" t="inlineStr">
        <is>
          <t>TravelLine PGS</t>
        </is>
      </c>
      <c r="O929" s="2" t="inlineStr">
        <is>
          <t>СТАНДАРТНЫЙ ДВУХМЕСТНЫЙ НОМЕР</t>
        </is>
      </c>
      <c r="P929" s="6" t="n"/>
      <c r="R929" t="inlineStr"/>
      <c r="S929" t="inlineStr">
        <is>
          <t>Тариф с завтраком</t>
        </is>
      </c>
      <c r="T929" t="n">
        <v>0</v>
      </c>
      <c r="U929" t="n">
        <v>11347.5</v>
      </c>
    </row>
    <row r="930">
      <c r="A930" t="inlineStr">
        <is>
          <t>20260715-8186-408690775</t>
        </is>
      </c>
      <c r="B930" t="n">
        <v>1</v>
      </c>
      <c r="C930" s="2" t="inlineStr">
        <is>
          <t>Фарида Баширова, Гульнар Мингалиева</t>
        </is>
      </c>
      <c r="D930" s="3" t="n">
        <v>33660</v>
      </c>
      <c r="E930" s="4" t="n">
        <v>0</v>
      </c>
      <c r="F930" t="inlineStr">
        <is>
          <t>ООО «ХОМЛИН ЛЭНД» (ПЕГАС) [Чайковский]</t>
        </is>
      </c>
      <c r="G930" s="3">
        <f>ROUND(D930/(100-E930)*100,2)</f>
        <v/>
      </c>
      <c r="H930" s="5" t="n">
        <v>46218.58333333334</v>
      </c>
      <c r="I930" t="n">
        <v>4</v>
      </c>
      <c r="J930" s="3">
        <f>G930/I930</f>
        <v/>
      </c>
      <c r="K930">
        <f>IF(J930&gt;=5100,"ставка","мин.ставка")</f>
        <v/>
      </c>
      <c r="L930" s="3">
        <f>ROUND(IF(K930="мин.ставка",I930*100,G930/102*2),2)</f>
        <v/>
      </c>
      <c r="M930" s="5" t="n">
        <v>46222.5</v>
      </c>
      <c r="N930" t="inlineStr">
        <is>
          <t>TravelLine PGS</t>
        </is>
      </c>
      <c r="O930" s="2" t="inlineStr">
        <is>
          <t>СТАНДАРТНЫЙ ДВУХМЕСТНЫЙ НОМЕР (МАНСАРДА)</t>
        </is>
      </c>
      <c r="P930" s="6" t="n"/>
      <c r="R930" t="inlineStr"/>
      <c r="S930" t="inlineStr">
        <is>
          <t>Тариф с завтраком</t>
        </is>
      </c>
      <c r="T930" t="n">
        <v>0</v>
      </c>
      <c r="U930" t="n">
        <v>33660</v>
      </c>
    </row>
    <row r="931">
      <c r="A931" t="inlineStr">
        <is>
          <t>20260718-8186-440294808</t>
        </is>
      </c>
      <c r="B931" t="n">
        <v>1</v>
      </c>
      <c r="C931" s="2" t="inlineStr">
        <is>
          <t>Фарида Торубарова, Лилия Минкина</t>
        </is>
      </c>
      <c r="D931" s="3" t="n">
        <v>45390</v>
      </c>
      <c r="E931" s="4" t="n">
        <v>0</v>
      </c>
      <c r="F931" t="inlineStr">
        <is>
          <t>ООО «ХОМЛИН ЛЭНД» (ПЕГАС) [Чайковский]</t>
        </is>
      </c>
      <c r="G931" s="3">
        <f>ROUND(D931/(100-E931)*100,2)</f>
        <v/>
      </c>
      <c r="H931" s="5" t="n">
        <v>46221.58333333334</v>
      </c>
      <c r="I931" t="n">
        <v>4</v>
      </c>
      <c r="J931" s="3">
        <f>G931/I931</f>
        <v/>
      </c>
      <c r="K931">
        <f>IF(J931&gt;=5100,"ставка","мин.ставка")</f>
        <v/>
      </c>
      <c r="L931" s="3">
        <f>ROUND(IF(K931="мин.ставка",I931*100,G931/102*2),2)</f>
        <v/>
      </c>
      <c r="M931" s="5" t="n">
        <v>46225.5</v>
      </c>
      <c r="N931" t="inlineStr">
        <is>
          <t>TravelLine PGS</t>
        </is>
      </c>
      <c r="O931" s="2" t="inlineStr">
        <is>
          <t>СТАНДАРТНЫЙ ДВУХМЕСТНЫЙ НОМЕР</t>
        </is>
      </c>
      <c r="P931" s="6" t="n"/>
      <c r="R931" t="inlineStr"/>
      <c r="S931" t="inlineStr">
        <is>
          <t>Тариф с завтраком</t>
        </is>
      </c>
      <c r="T931" t="n">
        <v>0</v>
      </c>
      <c r="U931" t="n">
        <v>45390</v>
      </c>
    </row>
    <row r="932">
      <c r="A932" t="inlineStr">
        <is>
          <t>20260814-8186-455467392</t>
        </is>
      </c>
      <c r="B932" t="n">
        <v>1</v>
      </c>
      <c r="C932" s="2" t="inlineStr">
        <is>
          <t>Федор Кузичкин, Роман Рафаилов</t>
        </is>
      </c>
      <c r="D932" s="3" t="n">
        <v>22161</v>
      </c>
      <c r="E932" s="4" t="n">
        <v>18</v>
      </c>
      <c r="F932" t="inlineStr">
        <is>
          <t>Яндекс.Путешествия [Чайковский]</t>
        </is>
      </c>
      <c r="G932" s="3">
        <f>ROUND(D932/(100-E932)*100,2)</f>
        <v/>
      </c>
      <c r="H932" s="5" t="n">
        <v>46248.58333333334</v>
      </c>
      <c r="I932" t="n">
        <v>2</v>
      </c>
      <c r="J932" s="3">
        <f>G932/I932</f>
        <v/>
      </c>
      <c r="K932">
        <f>IF(J932&gt;=5100,"ставка","мин.ставка")</f>
        <v/>
      </c>
      <c r="L932" s="3">
        <f>ROUND(IF(K932="мин.ставка",I932*100,G932/102*2),2)</f>
        <v/>
      </c>
      <c r="M932" s="5" t="n">
        <v>46250.5</v>
      </c>
      <c r="N932" t="inlineStr">
        <is>
          <t>TravelLine YAX</t>
        </is>
      </c>
      <c r="O932" s="2" t="inlineStr">
        <is>
          <t>СТАНДАРТНЫЙ ДВУХМЕСТНЫЙ НОМЕР</t>
        </is>
      </c>
      <c r="P932" s="6" t="n"/>
      <c r="R932" t="inlineStr"/>
      <c r="S932" t="inlineStr">
        <is>
          <t>Тариф с завтраком</t>
        </is>
      </c>
      <c r="T932" t="n">
        <v>0</v>
      </c>
      <c r="U932" t="n">
        <v>44322</v>
      </c>
    </row>
    <row r="933">
      <c r="A933" t="inlineStr">
        <is>
          <t>20260725-8186-453252891</t>
        </is>
      </c>
      <c r="B933" t="n">
        <v>1</v>
      </c>
      <c r="C933" s="2" t="inlineStr">
        <is>
          <t>ФЛОРИАН ГИНТЕР, ДАРЬЯ БОЙКО</t>
        </is>
      </c>
      <c r="D933" s="3" t="n">
        <v>10900</v>
      </c>
      <c r="E933" s="4" t="n">
        <v>0</v>
      </c>
      <c r="F933" t="inlineStr">
        <is>
          <t>Прямые бронирования (стойка) [Чайковский]</t>
        </is>
      </c>
      <c r="G933" s="3">
        <f>ROUND(D933/(100-E933)*100,2)</f>
        <v/>
      </c>
      <c r="H933" s="5" t="n">
        <v>46228.58333333334</v>
      </c>
      <c r="I933" t="n">
        <v>1</v>
      </c>
      <c r="J933" s="3">
        <f>G933/I933</f>
        <v/>
      </c>
      <c r="K933">
        <f>IF(J933&gt;=5100,"ставка","мин.ставка")</f>
        <v/>
      </c>
      <c r="L933" s="3">
        <f>ROUND(IF(K933="мин.ставка",I933*100,G933/102*2),2)</f>
        <v/>
      </c>
      <c r="M933" s="5" t="n">
        <v>46229.5</v>
      </c>
      <c r="N933" t="inlineStr">
        <is>
          <t>TravelLine ресепшн</t>
        </is>
      </c>
      <c r="O933" s="2" t="inlineStr">
        <is>
          <t>СТАНДАРТНЫЙ ДВУХМЕСТНЫЙ НОМЕР</t>
        </is>
      </c>
      <c r="P933" s="6" t="n"/>
      <c r="R933" t="inlineStr"/>
      <c r="S933" t="inlineStr">
        <is>
          <t>Тариф с завтраком</t>
        </is>
      </c>
      <c r="T933" t="n">
        <v>0</v>
      </c>
      <c r="U933" t="n">
        <v>10900</v>
      </c>
    </row>
    <row r="934">
      <c r="A934" t="inlineStr">
        <is>
          <t>20260930-8186-469709667</t>
        </is>
      </c>
      <c r="B934" t="n">
        <v>1</v>
      </c>
      <c r="C934" s="2" t="inlineStr">
        <is>
          <t>ШАШИН ШАШИН</t>
        </is>
      </c>
      <c r="D934" s="3" t="n">
        <v>13400</v>
      </c>
      <c r="E934" s="4" t="n">
        <v>0</v>
      </c>
      <c r="F934" t="inlineStr">
        <is>
          <t>Прямые бронирования (стойка) [Чайковский]</t>
        </is>
      </c>
      <c r="G934" s="3">
        <f>ROUND(D934/(100-E934)*100,2)</f>
        <v/>
      </c>
      <c r="H934" s="5" t="n">
        <v>46295.58333333334</v>
      </c>
      <c r="I934" t="n">
        <v>1</v>
      </c>
      <c r="J934" s="3">
        <f>G934/I934</f>
        <v/>
      </c>
      <c r="K934">
        <f>IF(J934&gt;=5100,"ставка","мин.ставка")</f>
        <v/>
      </c>
      <c r="L934" s="3">
        <f>ROUND(IF(K934="мин.ставка",I934*100,G934/102*2),2)</f>
        <v/>
      </c>
      <c r="M934" s="5" t="n">
        <v>46296.5</v>
      </c>
      <c r="N934" t="inlineStr">
        <is>
          <t>TravelLine ресепшн</t>
        </is>
      </c>
      <c r="O934" s="2" t="inlineStr">
        <is>
          <t>УЛУЧШЕННЫЙ ДВУХМЕСТНЫЙ НОМЕР</t>
        </is>
      </c>
      <c r="P934" s="6" t="n"/>
      <c r="R934" t="inlineStr"/>
      <c r="S934" t="inlineStr">
        <is>
          <t>Тариф с завтраком</t>
        </is>
      </c>
      <c r="T934" t="n">
        <v>0</v>
      </c>
      <c r="U934" t="n">
        <v>13400</v>
      </c>
    </row>
    <row r="935">
      <c r="A935" t="inlineStr">
        <is>
          <t>20260718-8186-430280842</t>
        </is>
      </c>
      <c r="B935" t="n">
        <v>1</v>
      </c>
      <c r="C935" s="2" t="inlineStr">
        <is>
          <t>Эдуард Дорожкин, Марина Дорожкина</t>
        </is>
      </c>
      <c r="D935" s="3" t="n">
        <v>9751.5</v>
      </c>
      <c r="E935" s="4" t="n">
        <v>4</v>
      </c>
      <c r="F935" t="inlineStr">
        <is>
          <t>TravelLine Booking Engine [Чайковский]</t>
        </is>
      </c>
      <c r="G935" s="3">
        <f>ROUND(D935/(100-E935)*100,2)</f>
        <v/>
      </c>
      <c r="H935" s="5" t="n">
        <v>46221.58333333334</v>
      </c>
      <c r="I935" t="n">
        <v>1</v>
      </c>
      <c r="J935" s="3">
        <f>G935/I935</f>
        <v/>
      </c>
      <c r="K935">
        <f>IF(J935&gt;=5100,"ставка","мин.ставка")</f>
        <v/>
      </c>
      <c r="L935" s="3">
        <f>ROUND(IF(K935="мин.ставка",I935*100,G935/102*2),2)</f>
        <v/>
      </c>
      <c r="M935" s="5" t="n">
        <v>46222.5</v>
      </c>
      <c r="N935" t="inlineStr">
        <is>
          <t>TravelLine сайт</t>
        </is>
      </c>
      <c r="O935" s="2" t="inlineStr">
        <is>
          <t>СТАНДАРТНЫЙ ДВУХМЕСТНЫЙ НОМЕР (МАНСАРДА)</t>
        </is>
      </c>
      <c r="P935" s="6" t="n"/>
      <c r="R935" t="inlineStr"/>
      <c r="S935" t="inlineStr">
        <is>
          <t>Тариф с завтраком</t>
        </is>
      </c>
      <c r="T935" t="n">
        <v>0</v>
      </c>
      <c r="U935" t="n">
        <v>9751.5</v>
      </c>
    </row>
    <row r="936">
      <c r="A936" t="inlineStr">
        <is>
          <t>20260824-8186-458333110</t>
        </is>
      </c>
      <c r="B936" t="n">
        <v>1</v>
      </c>
      <c r="C936" s="2" t="inlineStr">
        <is>
          <t>Эдуард Исаков</t>
        </is>
      </c>
      <c r="D936" s="3" t="n">
        <v>27921</v>
      </c>
      <c r="E936" s="4" t="n">
        <v>18</v>
      </c>
      <c r="F936" t="inlineStr">
        <is>
          <t>ООО "Эй энд Эй" [Чайковский]</t>
        </is>
      </c>
      <c r="G936" s="3">
        <f>ROUND(D936/(100-E936)*100,2)</f>
        <v/>
      </c>
      <c r="H936" s="5" t="n">
        <v>46258.58333333334</v>
      </c>
      <c r="I936" t="n">
        <v>3</v>
      </c>
      <c r="J936" s="3">
        <f>G936/I936</f>
        <v/>
      </c>
      <c r="K936">
        <f>IF(J936&gt;=5100,"ставка","мин.ставка")</f>
        <v/>
      </c>
      <c r="L936" s="3">
        <f>ROUND(IF(K936="мин.ставка",I936*100,G936/102*2),2)</f>
        <v/>
      </c>
      <c r="M936" s="5" t="n">
        <v>46261.5</v>
      </c>
      <c r="N936" t="inlineStr">
        <is>
          <t>TravelLine ANA</t>
        </is>
      </c>
      <c r="O936" s="2" t="inlineStr">
        <is>
          <t>УЛУЧШЕННЫЙ ДВУХМЕСТНЫЙ НОМЕР</t>
        </is>
      </c>
      <c r="P936" s="6" t="n"/>
      <c r="R936" t="inlineStr"/>
      <c r="S936" t="inlineStr">
        <is>
          <t>Тариф с завтраком</t>
        </is>
      </c>
      <c r="T936" t="n">
        <v>0</v>
      </c>
      <c r="U936" t="n">
        <v>27921</v>
      </c>
    </row>
    <row r="937">
      <c r="A937" t="inlineStr">
        <is>
          <t>20260926-8186-468485866</t>
        </is>
      </c>
      <c r="B937" t="n">
        <v>1</v>
      </c>
      <c r="C937" s="2" t="inlineStr">
        <is>
          <t>Эка Шанава, Дарья Григорян</t>
        </is>
      </c>
      <c r="D937" s="3" t="n">
        <v>30037.5</v>
      </c>
      <c r="E937" s="4" t="n">
        <v>18</v>
      </c>
      <c r="F937" t="inlineStr">
        <is>
          <t>Яндекс.Путешествия [Чайковский]</t>
        </is>
      </c>
      <c r="G937" s="3">
        <f>ROUND(D937/(100-E937)*100,2)</f>
        <v/>
      </c>
      <c r="H937" s="5" t="n">
        <v>46291.58333333334</v>
      </c>
      <c r="I937" t="n">
        <v>3</v>
      </c>
      <c r="J937" s="3">
        <f>G937/I937</f>
        <v/>
      </c>
      <c r="K937">
        <f>IF(J937&gt;=5100,"ставка","мин.ставка")</f>
        <v/>
      </c>
      <c r="L937" s="3">
        <f>ROUND(IF(K937="мин.ставка",I937*100,G937/102*2),2)</f>
        <v/>
      </c>
      <c r="M937" s="5" t="n">
        <v>46294.5</v>
      </c>
      <c r="N937" t="inlineStr">
        <is>
          <t>TravelLine YAX</t>
        </is>
      </c>
      <c r="O937" s="2" t="inlineStr">
        <is>
          <t>СТАНДАРТНЫЙ ДВУХМЕСТНЫЙ НОМЕР</t>
        </is>
      </c>
      <c r="P937" s="6" t="n"/>
      <c r="R937" t="inlineStr"/>
      <c r="S937" t="inlineStr">
        <is>
          <t>Тариф с завтраком</t>
        </is>
      </c>
      <c r="T937" t="n">
        <v>0</v>
      </c>
      <c r="U937" t="n">
        <v>30037.5</v>
      </c>
    </row>
    <row r="938">
      <c r="A938" t="inlineStr">
        <is>
          <t>20260917-8186-461649705</t>
        </is>
      </c>
      <c r="B938" t="n">
        <v>1</v>
      </c>
      <c r="C938" s="2" t="inlineStr">
        <is>
          <t>Экатеринэ Лобжанидзе</t>
        </is>
      </c>
      <c r="D938" s="3" t="n">
        <v>6320</v>
      </c>
      <c r="E938" s="4" t="n">
        <v>20</v>
      </c>
      <c r="F938" t="inlineStr">
        <is>
          <t>ООО "ХБ-ПРО" [Чайковский]</t>
        </is>
      </c>
      <c r="G938" s="3">
        <f>ROUND(D938/(100-E938)*100,2)</f>
        <v/>
      </c>
      <c r="H938" s="5" t="n">
        <v>46282.58333333334</v>
      </c>
      <c r="I938" t="n">
        <v>1</v>
      </c>
      <c r="J938" s="3">
        <f>G938/I938</f>
        <v/>
      </c>
      <c r="K938">
        <f>IF(J938&gt;=5100,"ставка","мин.ставка")</f>
        <v/>
      </c>
      <c r="L938" s="3">
        <f>ROUND(IF(K938="мин.ставка",I938*100,G938/102*2),2)</f>
        <v/>
      </c>
      <c r="M938" s="5" t="n">
        <v>46283.5</v>
      </c>
      <c r="N938" t="inlineStr">
        <is>
          <t>TravelLine UTS</t>
        </is>
      </c>
      <c r="O938" s="2" t="inlineStr">
        <is>
          <t>СТАНДАРТНЫЙ ДВУХМЕСТНЫЙ НОМЕР (МАНСАРДА)</t>
        </is>
      </c>
      <c r="P938" s="6" t="n"/>
      <c r="R938" t="inlineStr"/>
      <c r="S938" t="inlineStr">
        <is>
          <t>Тариф с завтраком</t>
        </is>
      </c>
      <c r="T938" t="n">
        <v>0</v>
      </c>
      <c r="U938" t="n">
        <v>6320</v>
      </c>
    </row>
    <row r="939">
      <c r="A939" t="inlineStr">
        <is>
          <t>20260713-8186-447978413</t>
        </is>
      </c>
      <c r="B939" t="n">
        <v>1</v>
      </c>
      <c r="C939" s="2" t="inlineStr">
        <is>
          <t>ЭЛЕН АКОПОВА</t>
        </is>
      </c>
      <c r="D939" s="3" t="n">
        <v>27240</v>
      </c>
      <c r="E939" s="4" t="n">
        <v>18</v>
      </c>
      <c r="F939" t="inlineStr">
        <is>
          <t>Яндекс.Путешествия [Чайковский]</t>
        </is>
      </c>
      <c r="G939" s="3">
        <f>ROUND(D939/(100-E939)*100,2)</f>
        <v/>
      </c>
      <c r="H939" s="5" t="n">
        <v>46216.58333333334</v>
      </c>
      <c r="I939" t="n">
        <v>3</v>
      </c>
      <c r="J939" s="3">
        <f>G939/I939</f>
        <v/>
      </c>
      <c r="K939">
        <f>IF(J939&gt;=5100,"ставка","мин.ставка")</f>
        <v/>
      </c>
      <c r="L939" s="3">
        <f>ROUND(IF(K939="мин.ставка",I939*100,G939/102*2),2)</f>
        <v/>
      </c>
      <c r="M939" s="5" t="n">
        <v>46219.5</v>
      </c>
      <c r="N939" t="inlineStr">
        <is>
          <t>TravelLine YAX</t>
        </is>
      </c>
      <c r="O939" s="2" t="inlineStr">
        <is>
          <t>СТАНДАРТНЫЙ ДВУХМЕСТНЫЙ НОМЕР</t>
        </is>
      </c>
      <c r="P939" s="6" t="n"/>
      <c r="R939" t="inlineStr"/>
      <c r="S939" t="inlineStr">
        <is>
          <t>Тариф с завтраком</t>
        </is>
      </c>
      <c r="T939" t="n">
        <v>0</v>
      </c>
      <c r="U939" t="n">
        <v>27240</v>
      </c>
    </row>
    <row r="940">
      <c r="A940" t="inlineStr">
        <is>
          <t>20260713-8186-434449741</t>
        </is>
      </c>
      <c r="B940" t="n">
        <v>1</v>
      </c>
      <c r="C940" s="2" t="inlineStr">
        <is>
          <t>ЭЛЬЗА ХАМЗИНА, НАФИСА КУЛУЕВА</t>
        </is>
      </c>
      <c r="D940" s="3" t="n">
        <v>56737.5</v>
      </c>
      <c r="E940" s="4" t="n">
        <v>0</v>
      </c>
      <c r="F940" t="inlineStr">
        <is>
          <t>ООО "АЛЕАН ОТДЫХ" [Чайковский]</t>
        </is>
      </c>
      <c r="G940" s="3">
        <f>ROUND(D940/(100-E940)*100,2)</f>
        <v/>
      </c>
      <c r="H940" s="5" t="n">
        <v>46216.58333333334</v>
      </c>
      <c r="I940" t="n">
        <v>5</v>
      </c>
      <c r="J940" s="3">
        <f>G940/I940</f>
        <v/>
      </c>
      <c r="K940">
        <f>IF(J940&gt;=5100,"ставка","мин.ставка")</f>
        <v/>
      </c>
      <c r="L940" s="3">
        <f>ROUND(IF(K940="мин.ставка",I940*100,G940/102*2),2)</f>
        <v/>
      </c>
      <c r="M940" s="5" t="n">
        <v>46221.5</v>
      </c>
      <c r="N940" t="inlineStr">
        <is>
          <t>TravelLine ALN</t>
        </is>
      </c>
      <c r="O940" s="2" t="inlineStr">
        <is>
          <t>СТАНДАРТНЫЙ ДВУХМЕСТНЫЙ НОМЕР</t>
        </is>
      </c>
      <c r="P940" s="6" t="n"/>
      <c r="R940" t="inlineStr"/>
      <c r="S940" t="inlineStr">
        <is>
          <t>Тариф с завтраком</t>
        </is>
      </c>
      <c r="T940" t="n">
        <v>0</v>
      </c>
      <c r="U940" t="n">
        <v>56737.5</v>
      </c>
    </row>
    <row r="941">
      <c r="A941" t="inlineStr">
        <is>
          <t>20260708-8186-448529248</t>
        </is>
      </c>
      <c r="B941" t="n">
        <v>1</v>
      </c>
      <c r="C941" s="2" t="inlineStr">
        <is>
          <t>ЮЛИЯ БАКШЕЕВА, МАТВЕЙ ЗИМАЙЛО</t>
        </is>
      </c>
      <c r="D941" s="3" t="n">
        <v>27700</v>
      </c>
      <c r="E941" s="4" t="n">
        <v>0</v>
      </c>
      <c r="F941" t="inlineStr">
        <is>
          <t>Прямые бронирования (стойка) [Чайковский]</t>
        </is>
      </c>
      <c r="G941" s="3">
        <f>ROUND(D941/(100-E941)*100,2)</f>
        <v/>
      </c>
      <c r="H941" s="5" t="n">
        <v>46211.58333333334</v>
      </c>
      <c r="I941" t="n">
        <v>2</v>
      </c>
      <c r="J941" s="3">
        <f>G941/I941</f>
        <v/>
      </c>
      <c r="K941">
        <f>IF(J941&gt;=5100,"ставка","мин.ставка")</f>
        <v/>
      </c>
      <c r="L941" s="3">
        <f>ROUND(IF(K941="мин.ставка",I941*100,G941/102*2),2)</f>
        <v/>
      </c>
      <c r="M941" s="5" t="n">
        <v>46213.70833333334</v>
      </c>
      <c r="N941" t="inlineStr">
        <is>
          <t>TravelLine ресепшн</t>
        </is>
      </c>
      <c r="O941" s="2" t="inlineStr">
        <is>
          <t>ПОЛУЛЮКС</t>
        </is>
      </c>
      <c r="P941" s="6" t="n"/>
      <c r="R941" t="inlineStr"/>
      <c r="S941" t="inlineStr">
        <is>
          <t>Тариф с завтраком</t>
        </is>
      </c>
      <c r="T941" t="n">
        <v>3445</v>
      </c>
      <c r="U941" t="n">
        <v>31145</v>
      </c>
    </row>
    <row r="942">
      <c r="A942" t="inlineStr">
        <is>
          <t>20260818-8186-459679856</t>
        </is>
      </c>
      <c r="B942" t="n">
        <v>1</v>
      </c>
      <c r="C942" s="2" t="inlineStr">
        <is>
          <t>Юлия Болгова</t>
        </is>
      </c>
      <c r="D942" s="3" t="n">
        <v>10215</v>
      </c>
      <c r="E942" s="4" t="n">
        <v>0</v>
      </c>
      <c r="F942" t="inlineStr">
        <is>
          <t>Прямые бронирования (стойка) [Чайковский]</t>
        </is>
      </c>
      <c r="G942" s="3">
        <f>ROUND(D942/(100-E942)*100,2)</f>
        <v/>
      </c>
      <c r="H942" s="5" t="n">
        <v>46252.58333333334</v>
      </c>
      <c r="I942" t="n">
        <v>1</v>
      </c>
      <c r="J942" s="3">
        <f>G942/I942</f>
        <v/>
      </c>
      <c r="K942">
        <f>IF(J942&gt;=5100,"ставка","мин.ставка")</f>
        <v/>
      </c>
      <c r="L942" s="3">
        <f>ROUND(IF(K942="мин.ставка",I942*100,G942/102*2),2)</f>
        <v/>
      </c>
      <c r="M942" s="5" t="n">
        <v>46253.5</v>
      </c>
      <c r="N942" t="inlineStr">
        <is>
          <t>TravelLine ресепшн</t>
        </is>
      </c>
      <c r="O942" s="2" t="inlineStr">
        <is>
          <t>СТАНДАРТНЫЙ ДВУХМЕСТНЫЙ НОМЕР</t>
        </is>
      </c>
      <c r="P942" s="6" t="n"/>
      <c r="R942" t="inlineStr"/>
      <c r="S942" t="inlineStr">
        <is>
          <t>Тариф с завтраком</t>
        </is>
      </c>
      <c r="T942" t="n">
        <v>0</v>
      </c>
      <c r="U942" t="n">
        <v>10215</v>
      </c>
    </row>
    <row r="943">
      <c r="A943" t="inlineStr">
        <is>
          <t>20260815-8186-458412797</t>
        </is>
      </c>
      <c r="B943" t="n">
        <v>1</v>
      </c>
      <c r="C943" s="2" t="inlineStr">
        <is>
          <t>Юлия Болгова</t>
        </is>
      </c>
      <c r="D943" s="3" t="n">
        <v>9960</v>
      </c>
      <c r="E943" s="4" t="n">
        <v>20</v>
      </c>
      <c r="F943" t="inlineStr">
        <is>
          <t>ООО «Дубль Гис» (OTELLO) [Чайковский]</t>
        </is>
      </c>
      <c r="G943" s="3">
        <f>ROUND(D943/(100-E943)*100,2)</f>
        <v/>
      </c>
      <c r="H943" s="5" t="n">
        <v>46249.58333333334</v>
      </c>
      <c r="I943" t="n">
        <v>1</v>
      </c>
      <c r="J943" s="3">
        <f>G943/I943</f>
        <v/>
      </c>
      <c r="K943">
        <f>IF(J943&gt;=5100,"ставка","мин.ставка")</f>
        <v/>
      </c>
      <c r="L943" s="3">
        <f>ROUND(IF(K943="мин.ставка",I943*100,G943/102*2),2)</f>
        <v/>
      </c>
      <c r="M943" s="5" t="n">
        <v>46250.58333333334</v>
      </c>
      <c r="N943" t="inlineStr">
        <is>
          <t>TravelLine OL2</t>
        </is>
      </c>
      <c r="O943" s="2" t="inlineStr">
        <is>
          <t>СЕМЕЙНЫЙ НОМЕР КАТЕГОРИИ "СТАНДАРТ" ВТОРОЙ КОРПУС</t>
        </is>
      </c>
      <c r="P943" s="6" t="n"/>
      <c r="R943" t="inlineStr"/>
      <c r="S943" t="inlineStr">
        <is>
          <t>Тариф с завтраком</t>
        </is>
      </c>
      <c r="T943" t="n">
        <v>0</v>
      </c>
      <c r="U943" t="n">
        <v>29880</v>
      </c>
    </row>
    <row r="944">
      <c r="A944" t="inlineStr">
        <is>
          <t>20260815-8186-458412797</t>
        </is>
      </c>
      <c r="B944" t="n">
        <v>1</v>
      </c>
      <c r="C944" s="2" t="inlineStr">
        <is>
          <t>Юлия Болгова</t>
        </is>
      </c>
      <c r="D944" s="3" t="n">
        <v>19920</v>
      </c>
      <c r="E944" s="4" t="n">
        <v>20</v>
      </c>
      <c r="F944" t="inlineStr">
        <is>
          <t>ООО «Дубль Гис» (OTELLO) [Чайковский]</t>
        </is>
      </c>
      <c r="G944" s="3">
        <f>ROUND(D944/(100-E944)*100,2)</f>
        <v/>
      </c>
      <c r="H944" s="5" t="n">
        <v>46250.58333333334</v>
      </c>
      <c r="I944" t="n">
        <v>2</v>
      </c>
      <c r="J944" s="3">
        <f>G944/I944</f>
        <v/>
      </c>
      <c r="K944">
        <f>IF(J944&gt;=5100,"ставка","мин.ставка")</f>
        <v/>
      </c>
      <c r="L944" s="3">
        <f>ROUND(IF(K944="мин.ставка",I944*100,G944/102*2),2)</f>
        <v/>
      </c>
      <c r="M944" s="5" t="n">
        <v>46252.5</v>
      </c>
      <c r="N944" t="inlineStr">
        <is>
          <t>TravelLine OL2</t>
        </is>
      </c>
      <c r="O944" s="2" t="inlineStr">
        <is>
          <t>СЕМЕЙНЫЙ НОМЕР КАТЕГОРИИ "СТАНДАРТ" ВТОРОЙ КОРПУС</t>
        </is>
      </c>
      <c r="P944" s="6" t="n"/>
      <c r="R944" t="inlineStr"/>
      <c r="S944" t="inlineStr">
        <is>
          <t>Тариф с завтраком</t>
        </is>
      </c>
      <c r="T944" t="n">
        <v>0</v>
      </c>
      <c r="U944" t="n">
        <v>29880</v>
      </c>
    </row>
    <row r="945">
      <c r="A945" t="inlineStr">
        <is>
          <t>20260716-8186-438301820</t>
        </is>
      </c>
      <c r="B945" t="n">
        <v>1</v>
      </c>
      <c r="C945" s="2" t="inlineStr">
        <is>
          <t>Юлия Вирц, СОФИЯ ЗАМИРАЛОВА</t>
        </is>
      </c>
      <c r="D945" s="3" t="n">
        <v>36045</v>
      </c>
      <c r="E945" s="4" t="n">
        <v>0</v>
      </c>
      <c r="F945" t="inlineStr">
        <is>
          <t>Прямые бронирования (стойка) [Чайковский]</t>
        </is>
      </c>
      <c r="G945" s="3">
        <f>ROUND(D945/(100-E945)*100,2)</f>
        <v/>
      </c>
      <c r="H945" s="5" t="n">
        <v>46219.58333333334</v>
      </c>
      <c r="I945" t="n">
        <v>3</v>
      </c>
      <c r="J945" s="3">
        <f>G945/I945</f>
        <v/>
      </c>
      <c r="K945">
        <f>IF(J945&gt;=5100,"ставка","мин.ставка")</f>
        <v/>
      </c>
      <c r="L945" s="3">
        <f>ROUND(IF(K945="мин.ставка",I945*100,G945/102*2),2)</f>
        <v/>
      </c>
      <c r="M945" s="5" t="n">
        <v>46222.5</v>
      </c>
      <c r="N945" t="inlineStr">
        <is>
          <t>TravelLine ресепшн</t>
        </is>
      </c>
      <c r="O945" s="2" t="inlineStr">
        <is>
          <t>СТАНДАРТНЫЙ ДВУХМЕСТНЫЙ НОМЕР</t>
        </is>
      </c>
      <c r="P945" s="6" t="n"/>
      <c r="R945" t="inlineStr"/>
      <c r="S945" t="inlineStr">
        <is>
          <t>Тариф с завтраком</t>
        </is>
      </c>
      <c r="T945" t="n">
        <v>0</v>
      </c>
      <c r="U945" t="n">
        <v>36045</v>
      </c>
    </row>
    <row r="946">
      <c r="A946" t="inlineStr">
        <is>
          <t>20260929-8186-467455141</t>
        </is>
      </c>
      <c r="B946" t="n">
        <v>1</v>
      </c>
      <c r="C946" s="2" t="inlineStr">
        <is>
          <t>Юлия Захарова</t>
        </is>
      </c>
      <c r="D946" s="3" t="n">
        <v>25720</v>
      </c>
      <c r="E946" s="4" t="n">
        <v>20</v>
      </c>
      <c r="F946" t="inlineStr">
        <is>
          <t>ООО "КОМПАНИЯ БРОНЕВИК" [Чайковский]</t>
        </is>
      </c>
      <c r="G946" s="3">
        <f>ROUND(D946/(100-E946)*100,2)</f>
        <v/>
      </c>
      <c r="H946" s="5" t="n">
        <v>46294.58333333334</v>
      </c>
      <c r="I946" t="n">
        <v>3</v>
      </c>
      <c r="J946" s="3">
        <f>G946/I946</f>
        <v/>
      </c>
      <c r="K946">
        <f>IF(J946&gt;=5100,"ставка","мин.ставка")</f>
        <v/>
      </c>
      <c r="L946" s="3">
        <f>ROUND(IF(K946="мин.ставка",I946*100,G946/102*2),2)</f>
        <v/>
      </c>
      <c r="M946" s="5" t="n">
        <v>46297.5</v>
      </c>
      <c r="N946" t="inlineStr">
        <is>
          <t>TravelLine BR2</t>
        </is>
      </c>
      <c r="O946" s="2" t="inlineStr">
        <is>
          <t>СТАНДАРТНЫЙ ДВУХМЕСТНЫЙ НОМЕР</t>
        </is>
      </c>
      <c r="P946" s="6" t="n"/>
      <c r="R946" t="inlineStr"/>
      <c r="S946" t="inlineStr">
        <is>
          <t>Тариф с завтраком</t>
        </is>
      </c>
      <c r="T946" t="n">
        <v>0</v>
      </c>
      <c r="U946" t="n">
        <v>25720</v>
      </c>
    </row>
    <row r="947">
      <c r="A947" t="inlineStr">
        <is>
          <t>20260706-8186-446293807</t>
        </is>
      </c>
      <c r="B947" t="n">
        <v>1</v>
      </c>
      <c r="C947" s="2" t="inlineStr">
        <is>
          <t>Юлия Ковалева</t>
        </is>
      </c>
      <c r="D947" s="3" t="n">
        <v>30000</v>
      </c>
      <c r="E947" s="4" t="n">
        <v>0</v>
      </c>
      <c r="F947" t="inlineStr">
        <is>
          <t>Прямые бронирования (стойка) [Чайковский]</t>
        </is>
      </c>
      <c r="G947" s="3">
        <f>ROUND(D947/(100-E947)*100,2)</f>
        <v/>
      </c>
      <c r="H947" s="5" t="n">
        <v>46209.58333333334</v>
      </c>
      <c r="I947" t="n">
        <v>2</v>
      </c>
      <c r="J947" s="3">
        <f>G947/I947</f>
        <v/>
      </c>
      <c r="K947">
        <f>IF(J947&gt;=5100,"ставка","мин.ставка")</f>
        <v/>
      </c>
      <c r="L947" s="3">
        <f>ROUND(IF(K947="мин.ставка",I947*100,G947/102*2),2)</f>
        <v/>
      </c>
      <c r="M947" s="5" t="n">
        <v>46211.5</v>
      </c>
      <c r="N947" t="inlineStr">
        <is>
          <t>TravelLine ресепшн</t>
        </is>
      </c>
      <c r="O947" s="2" t="inlineStr">
        <is>
          <t>СТАНДАРТНЫЙ ДВУХМЕСТНЫЙ НОМЕР</t>
        </is>
      </c>
      <c r="P947" s="6" t="n"/>
      <c r="R947" t="inlineStr"/>
      <c r="S947" t="inlineStr">
        <is>
          <t>Тариф с завтраком</t>
        </is>
      </c>
      <c r="T947" t="n">
        <v>0</v>
      </c>
      <c r="U947" t="n">
        <v>30000</v>
      </c>
    </row>
    <row r="948">
      <c r="A948" t="inlineStr">
        <is>
          <t>20260708-8186-447095529</t>
        </is>
      </c>
      <c r="B948" t="n">
        <v>1</v>
      </c>
      <c r="C948" s="2" t="inlineStr">
        <is>
          <t>Юлия Корастелева</t>
        </is>
      </c>
      <c r="D948" s="3" t="n">
        <v>18160</v>
      </c>
      <c r="E948" s="4" t="n">
        <v>20</v>
      </c>
      <c r="F948" t="inlineStr">
        <is>
          <t>ООО "КОМПАНИЯ БРОНЕВИК" [Чайковский]</t>
        </is>
      </c>
      <c r="G948" s="3">
        <f>ROUND(D948/(100-E948)*100,2)</f>
        <v/>
      </c>
      <c r="H948" s="5" t="n">
        <v>46211.58333333334</v>
      </c>
      <c r="I948" t="n">
        <v>2</v>
      </c>
      <c r="J948" s="3">
        <f>G948/I948</f>
        <v/>
      </c>
      <c r="K948">
        <f>IF(J948&gt;=5100,"ставка","мин.ставка")</f>
        <v/>
      </c>
      <c r="L948" s="3">
        <f>ROUND(IF(K948="мин.ставка",I948*100,G948/102*2),2)</f>
        <v/>
      </c>
      <c r="M948" s="5" t="n">
        <v>46213.5</v>
      </c>
      <c r="N948" t="inlineStr">
        <is>
          <t>TravelLine BR2</t>
        </is>
      </c>
      <c r="O948" s="2" t="inlineStr">
        <is>
          <t>СТАНДАРТНЫЙ ДВУХМЕСТНЫЙ НОМЕР</t>
        </is>
      </c>
      <c r="P948" s="6" t="n"/>
      <c r="R948" t="inlineStr"/>
      <c r="S948" t="inlineStr">
        <is>
          <t>Тариф с завтраком</t>
        </is>
      </c>
      <c r="T948" t="n">
        <v>0</v>
      </c>
      <c r="U948" t="n">
        <v>18160</v>
      </c>
    </row>
    <row r="949">
      <c r="A949" t="inlineStr">
        <is>
          <t>20260729-8186-451924244</t>
        </is>
      </c>
      <c r="B949" t="n">
        <v>1</v>
      </c>
      <c r="C949" s="2" t="inlineStr">
        <is>
          <t>ЮЛИЯ КУЗИЧЕВА, Александр Кузичев</t>
        </is>
      </c>
      <c r="D949" s="3" t="n">
        <v>61122.6</v>
      </c>
      <c r="E949" s="4" t="n">
        <v>4</v>
      </c>
      <c r="F949" t="inlineStr">
        <is>
          <t>TravelLine Booking Engine [Чайковский]</t>
        </is>
      </c>
      <c r="G949" s="3">
        <f>ROUND(D949/(100-E949)*100,2)</f>
        <v/>
      </c>
      <c r="H949" s="5" t="n">
        <v>46232.85416666666</v>
      </c>
      <c r="I949" t="n">
        <v>4</v>
      </c>
      <c r="J949" s="3">
        <f>G949/I949</f>
        <v/>
      </c>
      <c r="K949">
        <f>IF(J949&gt;=5100,"ставка","мин.ставка")</f>
        <v/>
      </c>
      <c r="L949" s="3">
        <f>ROUND(IF(K949="мин.ставка",I949*100,G949/102*2),2)</f>
        <v/>
      </c>
      <c r="M949" s="5" t="n">
        <v>46236.5</v>
      </c>
      <c r="N949" t="inlineStr">
        <is>
          <t>TravelLine сайт</t>
        </is>
      </c>
      <c r="O949" s="2" t="inlineStr">
        <is>
          <t>УЛУЧШЕННЫЙ ДВУХМЕСТНЫЙ НОМЕР</t>
        </is>
      </c>
      <c r="P949" s="6" t="n"/>
      <c r="R949" t="inlineStr"/>
      <c r="S949" t="inlineStr">
        <is>
          <t>Тариф с завтраком</t>
        </is>
      </c>
      <c r="T949" t="n">
        <v>0</v>
      </c>
      <c r="U949" t="n">
        <v>61122.6</v>
      </c>
    </row>
    <row r="950">
      <c r="A950" t="inlineStr">
        <is>
          <t>20260916-8186-460139139</t>
        </is>
      </c>
      <c r="B950" t="n">
        <v>1</v>
      </c>
      <c r="C950" s="2" t="inlineStr">
        <is>
          <t>ЮЛИЯ КУЗНЕЦОВА</t>
        </is>
      </c>
      <c r="D950" s="3" t="n">
        <v>9080</v>
      </c>
      <c r="E950" s="4" t="n">
        <v>20</v>
      </c>
      <c r="F950" t="inlineStr">
        <is>
          <t>ООО "ХБ-ПРО" [Чайковский]</t>
        </is>
      </c>
      <c r="G950" s="3">
        <f>ROUND(D950/(100-E950)*100,2)</f>
        <v/>
      </c>
      <c r="H950" s="5" t="n">
        <v>46281.58333333334</v>
      </c>
      <c r="I950" t="n">
        <v>1</v>
      </c>
      <c r="J950" s="3">
        <f>G950/I950</f>
        <v/>
      </c>
      <c r="K950">
        <f>IF(J950&gt;=5100,"ставка","мин.ставка")</f>
        <v/>
      </c>
      <c r="L950" s="3">
        <f>ROUND(IF(K950="мин.ставка",I950*100,G950/102*2),2)</f>
        <v/>
      </c>
      <c r="M950" s="5" t="n">
        <v>46282.5</v>
      </c>
      <c r="N950" t="inlineStr">
        <is>
          <t>TravelLine UTS</t>
        </is>
      </c>
      <c r="O950" s="2" t="inlineStr">
        <is>
          <t>СТАНДАРТНЫЙ ДВУХМЕСТНЫЙ НОМЕР</t>
        </is>
      </c>
      <c r="P950" s="6" t="n"/>
      <c r="R950" t="inlineStr"/>
      <c r="S950" t="inlineStr">
        <is>
          <t>Тариф с завтраком</t>
        </is>
      </c>
      <c r="T950" t="n">
        <v>0</v>
      </c>
      <c r="U950" t="n">
        <v>9080</v>
      </c>
    </row>
    <row r="951">
      <c r="A951" t="inlineStr">
        <is>
          <t>20260717-8186-442283023</t>
        </is>
      </c>
      <c r="B951" t="n">
        <v>1</v>
      </c>
      <c r="C951" s="2" t="inlineStr">
        <is>
          <t>Юлия Кускова, Павел Трегуб</t>
        </is>
      </c>
      <c r="D951" s="3" t="n">
        <v>32040</v>
      </c>
      <c r="E951" s="4" t="n">
        <v>18</v>
      </c>
      <c r="F951" t="inlineStr">
        <is>
          <t>Яндекс.Путешествия [Чайковский]</t>
        </is>
      </c>
      <c r="G951" s="3">
        <f>ROUND(D951/(100-E951)*100,2)</f>
        <v/>
      </c>
      <c r="H951" s="5" t="n">
        <v>46220.58333333334</v>
      </c>
      <c r="I951" t="n">
        <v>3</v>
      </c>
      <c r="J951" s="3">
        <f>G951/I951</f>
        <v/>
      </c>
      <c r="K951">
        <f>IF(J951&gt;=5100,"ставка","мин.ставка")</f>
        <v/>
      </c>
      <c r="L951" s="3">
        <f>ROUND(IF(K951="мин.ставка",I951*100,G951/102*2),2)</f>
        <v/>
      </c>
      <c r="M951" s="5" t="n">
        <v>46223.5</v>
      </c>
      <c r="N951" t="inlineStr">
        <is>
          <t>TravelLine YAX</t>
        </is>
      </c>
      <c r="O951" s="2" t="inlineStr">
        <is>
          <t>СТАНДАРТНЫЙ ДВУХМЕСТНЫЙ НОМЕР</t>
        </is>
      </c>
      <c r="P951" s="6" t="n"/>
      <c r="R951" t="inlineStr"/>
      <c r="S951" t="inlineStr">
        <is>
          <t>Тариф с завтраком</t>
        </is>
      </c>
      <c r="T951" t="n">
        <v>0</v>
      </c>
      <c r="U951" t="n">
        <v>32040</v>
      </c>
    </row>
    <row r="952">
      <c r="A952" t="inlineStr">
        <is>
          <t>20260919-8186-466759616</t>
        </is>
      </c>
      <c r="B952" t="n">
        <v>1</v>
      </c>
      <c r="C952" s="2" t="inlineStr">
        <is>
          <t>ЮЛИЯ ЛЕУТИНА, НИКИТА ЛЕУТИН</t>
        </is>
      </c>
      <c r="D952" s="3" t="n">
        <v>11214</v>
      </c>
      <c r="E952" s="4" t="n">
        <v>16</v>
      </c>
      <c r="F952" t="inlineStr">
        <is>
          <t>ООО "БРОНИРОВАНИЕ ГОСТИНИЦ" (OSTROVOK) [Чайковский]</t>
        </is>
      </c>
      <c r="G952" s="3">
        <f>ROUND(D952/(100-E952)*100,2)</f>
        <v/>
      </c>
      <c r="H952" s="5" t="n">
        <v>46284.58333333334</v>
      </c>
      <c r="I952" t="n">
        <v>1</v>
      </c>
      <c r="J952" s="3">
        <f>G952/I952</f>
        <v/>
      </c>
      <c r="K952">
        <f>IF(J952&gt;=5100,"ставка","мин.ставка")</f>
        <v/>
      </c>
      <c r="L952" s="3">
        <f>ROUND(IF(K952="мин.ставка",I952*100,G952/102*2),2)</f>
        <v/>
      </c>
      <c r="M952" s="5" t="n">
        <v>46285.5</v>
      </c>
      <c r="N952" t="inlineStr">
        <is>
          <t>TravelLine OTK</t>
        </is>
      </c>
      <c r="O952" s="2" t="inlineStr">
        <is>
          <t>СТАНДАРТНЫЙ ДВУХМЕСТНЫЙ НОМЕР</t>
        </is>
      </c>
      <c r="P952" s="6" t="n"/>
      <c r="R952" t="inlineStr"/>
      <c r="S952" t="inlineStr">
        <is>
          <t>Тариф с завтраком</t>
        </is>
      </c>
      <c r="T952" t="n">
        <v>0</v>
      </c>
      <c r="U952" t="n">
        <v>31962</v>
      </c>
    </row>
    <row r="953">
      <c r="A953" t="inlineStr">
        <is>
          <t>20260725-8186-451524573</t>
        </is>
      </c>
      <c r="B953" t="n">
        <v>1</v>
      </c>
      <c r="C953" s="2" t="inlineStr">
        <is>
          <t>Юлия Ликаренко</t>
        </is>
      </c>
      <c r="D953" s="3" t="n">
        <v>19754</v>
      </c>
      <c r="E953" s="4" t="n">
        <v>17</v>
      </c>
      <c r="F953" t="inlineStr">
        <is>
          <t>ООО «Интернет Трэвел» (OZON) [Чайковский]</t>
        </is>
      </c>
      <c r="G953" s="3">
        <f>ROUND(D953/(100-E953)*100,2)</f>
        <v/>
      </c>
      <c r="H953" s="5" t="n">
        <v>46228.58333333334</v>
      </c>
      <c r="I953" t="n">
        <v>2</v>
      </c>
      <c r="J953" s="3">
        <f>G953/I953</f>
        <v/>
      </c>
      <c r="K953">
        <f>IF(J953&gt;=5100,"ставка","мин.ставка")</f>
        <v/>
      </c>
      <c r="L953" s="3">
        <f>ROUND(IF(K953="мин.ставка",I953*100,G953/102*2),2)</f>
        <v/>
      </c>
      <c r="M953" s="5" t="n">
        <v>46230.70833333334</v>
      </c>
      <c r="N953" t="inlineStr">
        <is>
          <t>TravelLine OZ2</t>
        </is>
      </c>
      <c r="O953" s="2" t="inlineStr">
        <is>
          <t>УЛУЧШЕННЫЙ ДВУХМЕСТНЫЙ НОМЕР</t>
        </is>
      </c>
      <c r="P953" s="6" t="n"/>
      <c r="R953" t="inlineStr"/>
      <c r="S953" t="inlineStr">
        <is>
          <t>Основной тариф без завтрака</t>
        </is>
      </c>
      <c r="T953" t="n">
        <v>2480</v>
      </c>
      <c r="U953" t="n">
        <v>22234</v>
      </c>
    </row>
    <row r="954">
      <c r="A954" t="inlineStr">
        <is>
          <t>20260820-8186-454554202</t>
        </is>
      </c>
      <c r="B954" t="n">
        <v>1</v>
      </c>
      <c r="C954" s="2" t="inlineStr">
        <is>
          <t>Юлия Любомирова</t>
        </is>
      </c>
      <c r="D954" s="3" t="n">
        <v>14850</v>
      </c>
      <c r="E954" s="4" t="n">
        <v>0</v>
      </c>
      <c r="F954" t="inlineStr">
        <is>
          <t>Прямые бронирования (стойка) [Чайковский]</t>
        </is>
      </c>
      <c r="G954" s="3">
        <f>ROUND(D954/(100-E954)*100,2)</f>
        <v/>
      </c>
      <c r="H954" s="5" t="n">
        <v>46254.58333333334</v>
      </c>
      <c r="I954" t="n">
        <v>1</v>
      </c>
      <c r="J954" s="3">
        <f>G954/I954</f>
        <v/>
      </c>
      <c r="K954">
        <f>IF(J954&gt;=5100,"ставка","мин.ставка")</f>
        <v/>
      </c>
      <c r="L954" s="3">
        <f>ROUND(IF(K954="мин.ставка",I954*100,G954/102*2),2)</f>
        <v/>
      </c>
      <c r="M954" s="5" t="n">
        <v>46255.5</v>
      </c>
      <c r="N954" t="inlineStr">
        <is>
          <t>TravelLine ресепшн</t>
        </is>
      </c>
      <c r="O954" s="2" t="inlineStr">
        <is>
          <t>ПОЛУЛЮКС</t>
        </is>
      </c>
      <c r="P954" s="6" t="n"/>
      <c r="R954" t="inlineStr"/>
      <c r="S954" t="inlineStr">
        <is>
          <t>Тариф с завтраком</t>
        </is>
      </c>
      <c r="T954" t="n">
        <v>0</v>
      </c>
      <c r="U954" t="n">
        <v>14850</v>
      </c>
    </row>
    <row r="955">
      <c r="A955" t="inlineStr">
        <is>
          <t>20260705-8186-447705881</t>
        </is>
      </c>
      <c r="B955" t="n">
        <v>1</v>
      </c>
      <c r="C955" s="2" t="inlineStr">
        <is>
          <t>ЮЛИЯ МЕДВЕДЕВА, МАРИЯ МЕДВЕДЕВА</t>
        </is>
      </c>
      <c r="D955" s="3" t="n">
        <v>6247.5</v>
      </c>
      <c r="E955" s="4" t="n">
        <v>15</v>
      </c>
      <c r="F955" t="inlineStr">
        <is>
          <t>ООО "БРОНИРОВАНИЕ ГОСТИНИЦ" (OSTROVOK) [Чайковский]</t>
        </is>
      </c>
      <c r="G955" s="3">
        <f>ROUND(D955/(100-E955)*100,2)</f>
        <v/>
      </c>
      <c r="H955" s="5" t="n">
        <v>46208.58333333334</v>
      </c>
      <c r="I955" t="n">
        <v>1</v>
      </c>
      <c r="J955" s="3">
        <f>G955/I955</f>
        <v/>
      </c>
      <c r="K955">
        <f>IF(J955&gt;=5100,"ставка","мин.ставка")</f>
        <v/>
      </c>
      <c r="L955" s="3">
        <f>ROUND(IF(K955="мин.ставка",I955*100,G955/102*2),2)</f>
        <v/>
      </c>
      <c r="M955" s="5" t="n">
        <v>46209.5</v>
      </c>
      <c r="N955" t="inlineStr">
        <is>
          <t>TravelLine OTK</t>
        </is>
      </c>
      <c r="O955" s="2" t="inlineStr">
        <is>
          <t>СЕМЕЙНЫЙ НОМЕР КАТЕГОРИИ "СТАНДАРТ" ВТОРОЙ КОРПУС</t>
        </is>
      </c>
      <c r="P955" s="6" t="n"/>
      <c r="R955" t="inlineStr"/>
      <c r="S955" t="inlineStr">
        <is>
          <t>Основной тариф без завтрака</t>
        </is>
      </c>
      <c r="T955" t="n">
        <v>0</v>
      </c>
      <c r="U955" t="n">
        <v>6247.5</v>
      </c>
    </row>
    <row r="956">
      <c r="A956" t="inlineStr">
        <is>
          <t>20260930-8186-468765445</t>
        </is>
      </c>
      <c r="B956" t="n">
        <v>1</v>
      </c>
      <c r="C956" s="2" t="inlineStr">
        <is>
          <t>Юлия Митина, Сергей Митин</t>
        </is>
      </c>
      <c r="D956" s="3" t="n">
        <v>69600</v>
      </c>
      <c r="E956" s="4" t="n">
        <v>20</v>
      </c>
      <c r="F956" t="inlineStr">
        <is>
          <t>ООО «Дубль Гис» (OTELLO) [Чайковский]</t>
        </is>
      </c>
      <c r="G956" s="3">
        <f>ROUND(D956/(100-E956)*100,2)</f>
        <v/>
      </c>
      <c r="H956" s="5" t="n">
        <v>46295.58333333334</v>
      </c>
      <c r="I956" t="n">
        <v>6</v>
      </c>
      <c r="J956" s="3">
        <f>G956/I956</f>
        <v/>
      </c>
      <c r="K956">
        <f>IF(J956&gt;=5100,"ставка","мин.ставка")</f>
        <v/>
      </c>
      <c r="L956" s="3">
        <f>ROUND(IF(K956="мин.ставка",I956*100,G956/102*2),2)</f>
        <v/>
      </c>
      <c r="M956" s="5" t="n">
        <v>46301.5</v>
      </c>
      <c r="N956" t="inlineStr">
        <is>
          <t>TravelLine OL2</t>
        </is>
      </c>
      <c r="O956" s="2" t="inlineStr">
        <is>
          <t>ПОЛУЛЮКС</t>
        </is>
      </c>
      <c r="P956" s="6" t="n"/>
      <c r="R956" t="inlineStr"/>
      <c r="S956" t="inlineStr">
        <is>
          <t>Тариф с завтраком</t>
        </is>
      </c>
      <c r="T956" t="n">
        <v>0</v>
      </c>
      <c r="U956" t="n">
        <v>139200</v>
      </c>
    </row>
    <row r="957">
      <c r="A957" t="inlineStr">
        <is>
          <t>20260814-8186-456123804</t>
        </is>
      </c>
      <c r="B957" t="n">
        <v>1</v>
      </c>
      <c r="C957" s="2" t="inlineStr">
        <is>
          <t>ЮЛИЯ ПАЛИЙ, ВАЛЕРИЯ ПАЛИЙ</t>
        </is>
      </c>
      <c r="D957" s="3" t="n">
        <v>21360</v>
      </c>
      <c r="E957" s="4" t="n">
        <v>0</v>
      </c>
      <c r="F957" t="inlineStr">
        <is>
          <t>Прямые бронирования (стойка) [Чайковский]</t>
        </is>
      </c>
      <c r="G957" s="3">
        <f>ROUND(D957/(100-E957)*100,2)</f>
        <v/>
      </c>
      <c r="H957" s="5" t="n">
        <v>46248.58333333334</v>
      </c>
      <c r="I957" t="n">
        <v>2</v>
      </c>
      <c r="J957" s="3">
        <f>G957/I957</f>
        <v/>
      </c>
      <c r="K957">
        <f>IF(J957&gt;=5100,"ставка","мин.ставка")</f>
        <v/>
      </c>
      <c r="L957" s="3">
        <f>ROUND(IF(K957="мин.ставка",I957*100,G957/102*2),2)</f>
        <v/>
      </c>
      <c r="M957" s="5" t="n">
        <v>46250.5</v>
      </c>
      <c r="N957" t="inlineStr">
        <is>
          <t>TravelLine ресепшн</t>
        </is>
      </c>
      <c r="O957" s="2" t="inlineStr">
        <is>
          <t>СТАНДАРТНЫЙ ДВУХМЕСТНЫЙ НОМЕР</t>
        </is>
      </c>
      <c r="P957" s="6" t="n"/>
      <c r="R957" t="inlineStr"/>
      <c r="S957" t="inlineStr">
        <is>
          <t>Тариф с завтраком</t>
        </is>
      </c>
      <c r="T957" t="n">
        <v>0</v>
      </c>
      <c r="U957" t="n">
        <v>21360</v>
      </c>
    </row>
    <row r="958">
      <c r="A958" t="inlineStr">
        <is>
          <t>20260906-8186-461883708</t>
        </is>
      </c>
      <c r="B958" t="n">
        <v>1</v>
      </c>
      <c r="C958" s="2" t="inlineStr">
        <is>
          <t>ЮЛИЯ САЛАТА</t>
        </is>
      </c>
      <c r="D958" s="3" t="n">
        <v>6468</v>
      </c>
      <c r="E958" s="4" t="n">
        <v>16</v>
      </c>
      <c r="F958" t="inlineStr">
        <is>
          <t>ООО "БРОНИРОВАНИЕ ГОСТИНИЦ" (OSTROVOK) [Чайковский]</t>
        </is>
      </c>
      <c r="G958" s="3">
        <f>ROUND(D958/(100-E958)*100,2)</f>
        <v/>
      </c>
      <c r="H958" s="5" t="n">
        <v>46271.58333333334</v>
      </c>
      <c r="I958" t="n">
        <v>1</v>
      </c>
      <c r="J958" s="3">
        <f>G958/I958</f>
        <v/>
      </c>
      <c r="K958">
        <f>IF(J958&gt;=5100,"ставка","мин.ставка")</f>
        <v/>
      </c>
      <c r="L958" s="3">
        <f>ROUND(IF(K958="мин.ставка",I958*100,G958/102*2),2)</f>
        <v/>
      </c>
      <c r="M958" s="5" t="n">
        <v>46272.5</v>
      </c>
      <c r="N958" t="inlineStr">
        <is>
          <t>TravelLine OTK</t>
        </is>
      </c>
      <c r="O958" s="2" t="inlineStr">
        <is>
          <t>СТАНДАРТНЫЙ ОДНОМЕСТНЫЙ НОМЕР</t>
        </is>
      </c>
      <c r="P958" s="6" t="n"/>
      <c r="R958" t="inlineStr"/>
      <c r="S958" t="inlineStr">
        <is>
          <t>Тариф с завтраком</t>
        </is>
      </c>
      <c r="T958" t="n">
        <v>0</v>
      </c>
      <c r="U958" t="n">
        <v>6468</v>
      </c>
    </row>
    <row r="959">
      <c r="A959" t="inlineStr">
        <is>
          <t>20260904-8186-461445761</t>
        </is>
      </c>
      <c r="B959" t="n">
        <v>1</v>
      </c>
      <c r="C959" s="2" t="inlineStr">
        <is>
          <t>Юлия Чемакина, Андрей Мамаев</t>
        </is>
      </c>
      <c r="D959" s="3" t="n">
        <v>11214</v>
      </c>
      <c r="E959" s="4" t="n">
        <v>16</v>
      </c>
      <c r="F959" t="inlineStr">
        <is>
          <t>ООО "БРОНИРОВАНИЕ ГОСТИНИЦ" (OSTROVOK) [Чайковский]</t>
        </is>
      </c>
      <c r="G959" s="3">
        <f>ROUND(D959/(100-E959)*100,2)</f>
        <v/>
      </c>
      <c r="H959" s="5" t="n">
        <v>46269.58333333334</v>
      </c>
      <c r="I959" t="n">
        <v>1</v>
      </c>
      <c r="J959" s="3">
        <f>G959/I959</f>
        <v/>
      </c>
      <c r="K959">
        <f>IF(J959&gt;=5100,"ставка","мин.ставка")</f>
        <v/>
      </c>
      <c r="L959" s="3">
        <f>ROUND(IF(K959="мин.ставка",I959*100,G959/102*2),2)</f>
        <v/>
      </c>
      <c r="M959" s="5" t="n">
        <v>46270.5</v>
      </c>
      <c r="N959" t="inlineStr">
        <is>
          <t>TravelLine OTK</t>
        </is>
      </c>
      <c r="O959" s="2" t="inlineStr">
        <is>
          <t>СТАНДАРТНЫЙ ДВУХМЕСТНЫЙ НОМЕР</t>
        </is>
      </c>
      <c r="P959" s="6" t="n"/>
      <c r="R959" t="inlineStr"/>
      <c r="S959" t="inlineStr">
        <is>
          <t>Тариф с завтраком</t>
        </is>
      </c>
      <c r="T959" t="n">
        <v>0</v>
      </c>
      <c r="U959" t="n">
        <v>11214</v>
      </c>
    </row>
    <row r="960">
      <c r="A960" t="inlineStr">
        <is>
          <t>20260918-8186-459511897</t>
        </is>
      </c>
      <c r="B960" t="n">
        <v>1</v>
      </c>
      <c r="C960" s="2" t="inlineStr">
        <is>
          <t>Юлия Эмануэль</t>
        </is>
      </c>
      <c r="D960" s="3" t="n">
        <v>9080</v>
      </c>
      <c r="E960" s="4" t="n">
        <v>20</v>
      </c>
      <c r="F960" t="inlineStr">
        <is>
          <t>ООО "ХБ-ПРО" [Чайковский]</t>
        </is>
      </c>
      <c r="G960" s="3">
        <f>ROUND(D960/(100-E960)*100,2)</f>
        <v/>
      </c>
      <c r="H960" s="5" t="n">
        <v>46283.58333333334</v>
      </c>
      <c r="I960" t="n">
        <v>1</v>
      </c>
      <c r="J960" s="3">
        <f>G960/I960</f>
        <v/>
      </c>
      <c r="K960">
        <f>IF(J960&gt;=5100,"ставка","мин.ставка")</f>
        <v/>
      </c>
      <c r="L960" s="3">
        <f>ROUND(IF(K960="мин.ставка",I960*100,G960/102*2),2)</f>
        <v/>
      </c>
      <c r="M960" s="5" t="n">
        <v>46284.5</v>
      </c>
      <c r="N960" t="inlineStr">
        <is>
          <t>TravelLine UTS</t>
        </is>
      </c>
      <c r="O960" s="2" t="inlineStr">
        <is>
          <t>СТАНДАРТНЫЙ ДВУХМЕСТНЫЙ НОМЕР</t>
        </is>
      </c>
      <c r="P960" s="6" t="n"/>
      <c r="R960" t="inlineStr"/>
      <c r="S960" t="inlineStr">
        <is>
          <t>Тариф с завтраком</t>
        </is>
      </c>
      <c r="T960" t="n">
        <v>0</v>
      </c>
      <c r="U960" t="n">
        <v>9080</v>
      </c>
    </row>
    <row r="961">
      <c r="A961" t="inlineStr">
        <is>
          <t>20260925-8186-465181123</t>
        </is>
      </c>
      <c r="B961" t="n">
        <v>1</v>
      </c>
      <c r="C961" s="2" t="inlineStr">
        <is>
          <t>Юния Сафронова</t>
        </is>
      </c>
      <c r="D961" s="3" t="n">
        <v>9080</v>
      </c>
      <c r="E961" s="4" t="n">
        <v>20</v>
      </c>
      <c r="F961" t="inlineStr">
        <is>
          <t>ООО "КОМПАНИЯ БРОНЕВИК" [Чайковский]</t>
        </is>
      </c>
      <c r="G961" s="3">
        <f>ROUND(D961/(100-E961)*100,2)</f>
        <v/>
      </c>
      <c r="H961" s="5" t="n">
        <v>46290.58333333334</v>
      </c>
      <c r="I961" t="n">
        <v>1</v>
      </c>
      <c r="J961" s="3">
        <f>G961/I961</f>
        <v/>
      </c>
      <c r="K961">
        <f>IF(J961&gt;=5100,"ставка","мин.ставка")</f>
        <v/>
      </c>
      <c r="L961" s="3">
        <f>ROUND(IF(K961="мин.ставка",I961*100,G961/102*2),2)</f>
        <v/>
      </c>
      <c r="M961" s="5" t="n">
        <v>46291.5</v>
      </c>
      <c r="N961" t="inlineStr">
        <is>
          <t>TravelLine BR2</t>
        </is>
      </c>
      <c r="O961" s="2" t="inlineStr">
        <is>
          <t>СТАНДАРТНЫЙ ДВУХМЕСТНЫЙ НОМЕР</t>
        </is>
      </c>
      <c r="P961" s="6" t="n"/>
      <c r="R961" t="inlineStr"/>
      <c r="S961" t="inlineStr">
        <is>
          <t>Тариф с завтраком</t>
        </is>
      </c>
      <c r="T961" t="n">
        <v>0</v>
      </c>
      <c r="U961" t="n">
        <v>9080</v>
      </c>
    </row>
    <row r="962">
      <c r="A962" t="inlineStr">
        <is>
          <t>20260903-8186-463521602</t>
        </is>
      </c>
      <c r="B962" t="n">
        <v>1</v>
      </c>
      <c r="C962" s="2" t="inlineStr">
        <is>
          <t>ЮРИЙ БОРИСЕНКО, НАТАЛИЯ БУРЦЕВА</t>
        </is>
      </c>
      <c r="D962" s="3" t="n">
        <v>12138</v>
      </c>
      <c r="E962" s="4" t="n">
        <v>16</v>
      </c>
      <c r="F962" t="inlineStr">
        <is>
          <t>ООО "БРОНИРОВАНИЕ ГОСТИНИЦ" (OSTROVOK) [Чайковский]</t>
        </is>
      </c>
      <c r="G962" s="3">
        <f>ROUND(D962/(100-E962)*100,2)</f>
        <v/>
      </c>
      <c r="H962" s="5" t="n">
        <v>46268.58333333334</v>
      </c>
      <c r="I962" t="n">
        <v>1</v>
      </c>
      <c r="J962" s="3">
        <f>G962/I962</f>
        <v/>
      </c>
      <c r="K962">
        <f>IF(J962&gt;=5100,"ставка","мин.ставка")</f>
        <v/>
      </c>
      <c r="L962" s="3">
        <f>ROUND(IF(K962="мин.ставка",I962*100,G962/102*2),2)</f>
        <v/>
      </c>
      <c r="M962" s="5" t="n">
        <v>46269.5</v>
      </c>
      <c r="N962" t="inlineStr">
        <is>
          <t>TravelLine OTK</t>
        </is>
      </c>
      <c r="O962" s="2" t="inlineStr">
        <is>
          <t>СЕМЕЙНЫЙ НОМЕР КАТЕГОРИИ "СТАНДАРТ" ВТОРОЙ КОРПУС</t>
        </is>
      </c>
      <c r="P962" s="6" t="n"/>
      <c r="R962" t="inlineStr"/>
      <c r="S962" t="inlineStr">
        <is>
          <t>Тариф с завтраком</t>
        </is>
      </c>
      <c r="T962" t="n">
        <v>0</v>
      </c>
      <c r="U962" t="n">
        <v>12138</v>
      </c>
    </row>
    <row r="963">
      <c r="A963" t="inlineStr">
        <is>
          <t>20260904-8186-455342242</t>
        </is>
      </c>
      <c r="B963" t="n">
        <v>1</v>
      </c>
      <c r="C963" s="2" t="inlineStr">
        <is>
          <t>Юрий Борисенко, Наталия Бурцева</t>
        </is>
      </c>
      <c r="D963" s="3" t="n">
        <v>22428</v>
      </c>
      <c r="E963" s="4" t="n">
        <v>16</v>
      </c>
      <c r="F963" t="inlineStr">
        <is>
          <t>ООО "БРОНИРОВАНИЕ ГОСТИНИЦ" (OSTROVOK) [Чайковский]</t>
        </is>
      </c>
      <c r="G963" s="3">
        <f>ROUND(D963/(100-E963)*100,2)</f>
        <v/>
      </c>
      <c r="H963" s="5" t="n">
        <v>46269.58333333334</v>
      </c>
      <c r="I963" t="n">
        <v>2</v>
      </c>
      <c r="J963" s="3">
        <f>G963/I963</f>
        <v/>
      </c>
      <c r="K963">
        <f>IF(J963&gt;=5100,"ставка","мин.ставка")</f>
        <v/>
      </c>
      <c r="L963" s="3">
        <f>ROUND(IF(K963="мин.ставка",I963*100,G963/102*2),2)</f>
        <v/>
      </c>
      <c r="M963" s="5" t="n">
        <v>46271.5</v>
      </c>
      <c r="N963" t="inlineStr">
        <is>
          <t>TravelLine OTK</t>
        </is>
      </c>
      <c r="O963" s="2" t="inlineStr">
        <is>
          <t>СТАНДАРТНЫЙ ДВУХМЕСТНЫЙ НОМЕР</t>
        </is>
      </c>
      <c r="P963" s="6" t="n"/>
      <c r="R963" t="inlineStr"/>
      <c r="S963" t="inlineStr">
        <is>
          <t>Тариф с завтраком</t>
        </is>
      </c>
      <c r="T963" t="n">
        <v>0</v>
      </c>
      <c r="U963" t="n">
        <v>22428</v>
      </c>
    </row>
    <row r="964">
      <c r="A964" t="inlineStr">
        <is>
          <t>20260811-8186-417991409</t>
        </is>
      </c>
      <c r="B964" t="n">
        <v>1</v>
      </c>
      <c r="C964" s="2" t="inlineStr">
        <is>
          <t>Юрий Губарев, СВЕТЛАНА ГУБАРЕВА</t>
        </is>
      </c>
      <c r="D964" s="3" t="n">
        <v>170880</v>
      </c>
      <c r="E964" s="4" t="n">
        <v>0</v>
      </c>
      <c r="F964" t="inlineStr">
        <is>
          <t>Прямые бронирования (стойка) [Чайковский]</t>
        </is>
      </c>
      <c r="G964" s="3">
        <f>ROUND(D964/(100-E964)*100,2)</f>
        <v/>
      </c>
      <c r="H964" s="5" t="n">
        <v>46245.58333333334</v>
      </c>
      <c r="I964" t="n">
        <v>12</v>
      </c>
      <c r="J964" s="3">
        <f>G964/I964</f>
        <v/>
      </c>
      <c r="K964">
        <f>IF(J964&gt;=5100,"ставка","мин.ставка")</f>
        <v/>
      </c>
      <c r="L964" s="3">
        <f>ROUND(IF(K964="мин.ставка",I964*100,G964/102*2),2)</f>
        <v/>
      </c>
      <c r="M964" s="5" t="n">
        <v>46257.5</v>
      </c>
      <c r="N964" t="inlineStr">
        <is>
          <t>TravelLine ресепшн</t>
        </is>
      </c>
      <c r="O964" s="2" t="inlineStr">
        <is>
          <t>ЛЮКС</t>
        </is>
      </c>
      <c r="P964" s="6" t="n"/>
      <c r="R964" t="inlineStr"/>
      <c r="S964" t="inlineStr">
        <is>
          <t>Тариф с завтраком</t>
        </is>
      </c>
      <c r="T964" t="n">
        <v>0</v>
      </c>
      <c r="U964" t="n">
        <v>170880</v>
      </c>
    </row>
    <row r="965">
      <c r="A965" t="inlineStr">
        <is>
          <t>20260818-8186-454003492</t>
        </is>
      </c>
      <c r="B965" t="n">
        <v>1</v>
      </c>
      <c r="C965" s="2" t="inlineStr">
        <is>
          <t>Юрий Митюков, Анна Мекина</t>
        </is>
      </c>
      <c r="D965" s="3" t="n">
        <v>61600</v>
      </c>
      <c r="E965" s="4" t="n">
        <v>20</v>
      </c>
      <c r="F965" t="inlineStr">
        <is>
          <t>ООО "КОМПАНИЯ БРОНЕВИК" [Чайковский]</t>
        </is>
      </c>
      <c r="G965" s="3">
        <f>ROUND(D965/(100-E965)*100,2)</f>
        <v/>
      </c>
      <c r="H965" s="5" t="n">
        <v>46252.58333333334</v>
      </c>
      <c r="I965" t="n">
        <v>5</v>
      </c>
      <c r="J965" s="3">
        <f>G965/I965</f>
        <v/>
      </c>
      <c r="K965">
        <f>IF(J965&gt;=5100,"ставка","мин.ставка")</f>
        <v/>
      </c>
      <c r="L965" s="3">
        <f>ROUND(IF(K965="мин.ставка",I965*100,G965/102*2),2)</f>
        <v/>
      </c>
      <c r="M965" s="5" t="n">
        <v>46257.5</v>
      </c>
      <c r="N965" t="inlineStr">
        <is>
          <t>TravelLine BR2</t>
        </is>
      </c>
      <c r="O965" s="2" t="inlineStr">
        <is>
          <t>УЛУЧШЕННЫЙ ДВУХМЕСТНЫЙ НОМЕР</t>
        </is>
      </c>
      <c r="P965" s="6" t="n"/>
      <c r="R965" t="inlineStr"/>
      <c r="S965" t="inlineStr">
        <is>
          <t>Тариф с завтраком</t>
        </is>
      </c>
      <c r="T965" t="n">
        <v>0</v>
      </c>
      <c r="U965" t="n">
        <v>61600</v>
      </c>
    </row>
    <row r="966">
      <c r="A966" t="inlineStr">
        <is>
          <t>20260802-8186-450372690</t>
        </is>
      </c>
      <c r="B966" t="n">
        <v>1</v>
      </c>
      <c r="C966" s="2" t="inlineStr">
        <is>
          <t>Юрий Эпоев, Юстина Гусейнова</t>
        </is>
      </c>
      <c r="D966" s="3" t="n">
        <v>40584</v>
      </c>
      <c r="E966" s="4" t="n">
        <v>18</v>
      </c>
      <c r="F966" t="inlineStr">
        <is>
          <t>Яндекс.Путешествия [Чайковский]</t>
        </is>
      </c>
      <c r="G966" s="3">
        <f>ROUND(D966/(100-E966)*100,2)</f>
        <v/>
      </c>
      <c r="H966" s="5" t="n">
        <v>46236.58333333334</v>
      </c>
      <c r="I966" t="n">
        <v>4</v>
      </c>
      <c r="J966" s="3">
        <f>G966/I966</f>
        <v/>
      </c>
      <c r="K966">
        <f>IF(J966&gt;=5100,"ставка","мин.ставка")</f>
        <v/>
      </c>
      <c r="L966" s="3">
        <f>ROUND(IF(K966="мин.ставка",I966*100,G966/102*2),2)</f>
        <v/>
      </c>
      <c r="M966" s="5" t="n">
        <v>46240.5</v>
      </c>
      <c r="N966" t="inlineStr">
        <is>
          <t>TravelLine YAX</t>
        </is>
      </c>
      <c r="O966" s="2" t="inlineStr">
        <is>
          <t>СТАНДАРТНЫЙ ДВУХМЕСТНЫЙ НОМЕР</t>
        </is>
      </c>
      <c r="P966" s="6" t="n"/>
      <c r="R966" t="inlineStr"/>
      <c r="S966" t="inlineStr">
        <is>
          <t>Тариф с завтраком</t>
        </is>
      </c>
      <c r="T966" t="n">
        <v>0</v>
      </c>
      <c r="U966" t="n">
        <v>40584</v>
      </c>
    </row>
    <row r="967">
      <c r="A967" t="inlineStr">
        <is>
          <t>20260727-8186-441733245</t>
        </is>
      </c>
      <c r="B967" t="n">
        <v>1</v>
      </c>
      <c r="C967" s="2" t="inlineStr">
        <is>
          <t>Юрия Соколов, Валентина Соловьева</t>
        </is>
      </c>
      <c r="D967" s="3" t="n">
        <v>45390</v>
      </c>
      <c r="E967" s="4" t="n">
        <v>15</v>
      </c>
      <c r="F967" t="inlineStr">
        <is>
          <t>Trip.com Group [Чайковский]</t>
        </is>
      </c>
      <c r="G967" s="3">
        <f>ROUND(D967/(100-E967)*100,2)</f>
        <v/>
      </c>
      <c r="H967" s="5" t="n">
        <v>46230.58333333334</v>
      </c>
      <c r="I967" t="n">
        <v>4</v>
      </c>
      <c r="J967" s="3">
        <f>G967/I967</f>
        <v/>
      </c>
      <c r="K967">
        <f>IF(J967&gt;=5100,"ставка","мин.ставка")</f>
        <v/>
      </c>
      <c r="L967" s="3">
        <f>ROUND(IF(K967="мин.ставка",I967*100,G967/102*2),2)</f>
        <v/>
      </c>
      <c r="M967" s="5" t="n">
        <v>46234.5</v>
      </c>
      <c r="N967" t="inlineStr">
        <is>
          <t>TravelLine CTP</t>
        </is>
      </c>
      <c r="O967" s="2" t="inlineStr">
        <is>
          <t>СТАНДАРТНЫЙ ДВУХМЕСТНЫЙ НОМЕР</t>
        </is>
      </c>
      <c r="P967" s="6" t="n"/>
      <c r="R967" t="inlineStr"/>
      <c r="S967" t="inlineStr">
        <is>
          <t>Тариф с завтраком</t>
        </is>
      </c>
      <c r="T967" t="n">
        <v>0</v>
      </c>
      <c r="U967" t="n">
        <v>45390</v>
      </c>
    </row>
    <row r="968">
      <c r="A968" t="inlineStr">
        <is>
          <t>20260825-8186-452662018</t>
        </is>
      </c>
      <c r="B968" t="n">
        <v>1</v>
      </c>
      <c r="C968" s="2" t="inlineStr">
        <is>
          <t>Ядвига Кирсанова</t>
        </is>
      </c>
      <c r="D968" s="3" t="n">
        <v>12320</v>
      </c>
      <c r="E968" s="4" t="n">
        <v>20</v>
      </c>
      <c r="F968" t="inlineStr">
        <is>
          <t>ООО "КОМПАНИЯ БРОНЕВИК" [Чайковский]</t>
        </is>
      </c>
      <c r="G968" s="3">
        <f>ROUND(D968/(100-E968)*100,2)</f>
        <v/>
      </c>
      <c r="H968" s="5" t="n">
        <v>46259.58333333334</v>
      </c>
      <c r="I968" t="n">
        <v>2</v>
      </c>
      <c r="J968" s="3">
        <f>G968/I968</f>
        <v/>
      </c>
      <c r="K968">
        <f>IF(J968&gt;=5100,"ставка","мин.ставка")</f>
        <v/>
      </c>
      <c r="L968" s="3">
        <f>ROUND(IF(K968="мин.ставка",I968*100,G968/102*2),2)</f>
        <v/>
      </c>
      <c r="M968" s="5" t="n">
        <v>46261.5</v>
      </c>
      <c r="N968" t="inlineStr">
        <is>
          <t>TravelLine BR2</t>
        </is>
      </c>
      <c r="O968" s="2" t="inlineStr">
        <is>
          <t>СТАНДАРТНЫЙ ОДНОМЕСТНЫЙ НОМЕР</t>
        </is>
      </c>
      <c r="P968" s="6" t="n"/>
      <c r="R968" t="inlineStr"/>
      <c r="S968" t="inlineStr">
        <is>
          <t>Тариф с завтраком</t>
        </is>
      </c>
      <c r="T968" t="n">
        <v>0</v>
      </c>
      <c r="U968" t="n">
        <v>12320</v>
      </c>
    </row>
    <row r="969">
      <c r="A969" t="inlineStr">
        <is>
          <t>20260724-8186-451950013</t>
        </is>
      </c>
      <c r="B969" t="n">
        <v>1</v>
      </c>
      <c r="C969" s="2" t="inlineStr">
        <is>
          <t>ЯКОВ НИКОНОВ</t>
        </is>
      </c>
      <c r="D969" s="3" t="n">
        <v>17800</v>
      </c>
      <c r="E969" s="4" t="n">
        <v>0</v>
      </c>
      <c r="F969" t="inlineStr">
        <is>
          <t>Прямые бронирования (стойка) [Чайковский]</t>
        </is>
      </c>
      <c r="G969" s="3">
        <f>ROUND(D969/(100-E969)*100,2)</f>
        <v/>
      </c>
      <c r="H969" s="5" t="n">
        <v>46227.58333333334</v>
      </c>
      <c r="I969" t="n">
        <v>1</v>
      </c>
      <c r="J969" s="3">
        <f>G969/I969</f>
        <v/>
      </c>
      <c r="K969">
        <f>IF(J969&gt;=5100,"ставка","мин.ставка")</f>
        <v/>
      </c>
      <c r="L969" s="3">
        <f>ROUND(IF(K969="мин.ставка",I969*100,G969/102*2),2)</f>
        <v/>
      </c>
      <c r="M969" s="5" t="n">
        <v>46228.5</v>
      </c>
      <c r="N969" t="inlineStr">
        <is>
          <t>TravelLine ресепшн</t>
        </is>
      </c>
      <c r="O969" s="2" t="inlineStr">
        <is>
          <t>ЛЮКС ВТОРОЙ КОРПУС</t>
        </is>
      </c>
      <c r="P969" s="6" t="n"/>
      <c r="R969" t="inlineStr"/>
      <c r="S969" t="inlineStr">
        <is>
          <t>Тариф с завтраком</t>
        </is>
      </c>
      <c r="T969" t="n">
        <v>0</v>
      </c>
      <c r="U969" t="n">
        <v>17800</v>
      </c>
    </row>
    <row r="970">
      <c r="A970" t="inlineStr">
        <is>
          <t>20260707-8186-448033269</t>
        </is>
      </c>
      <c r="B970" t="n">
        <v>1</v>
      </c>
      <c r="C970" s="2" t="inlineStr">
        <is>
          <t>Яков Никонов</t>
        </is>
      </c>
      <c r="D970" s="3" t="n">
        <v>9240</v>
      </c>
      <c r="E970" s="4" t="n">
        <v>20</v>
      </c>
      <c r="F970" t="inlineStr">
        <is>
          <t>ООО "ХБ-ПРО" [Чайковский]</t>
        </is>
      </c>
      <c r="G970" s="3">
        <f>ROUND(D970/(100-E970)*100,2)</f>
        <v/>
      </c>
      <c r="H970" s="5" t="n">
        <v>46210.58333333334</v>
      </c>
      <c r="I970" t="n">
        <v>1</v>
      </c>
      <c r="J970" s="3">
        <f>G970/I970</f>
        <v/>
      </c>
      <c r="K970">
        <f>IF(J970&gt;=5100,"ставка","мин.ставка")</f>
        <v/>
      </c>
      <c r="L970" s="3">
        <f>ROUND(IF(K970="мин.ставка",I970*100,G970/102*2),2)</f>
        <v/>
      </c>
      <c r="M970" s="5" t="n">
        <v>46211.5</v>
      </c>
      <c r="N970" t="inlineStr">
        <is>
          <t>TravelLine UTS</t>
        </is>
      </c>
      <c r="O970" s="2" t="inlineStr">
        <is>
          <t>ПОЛУЛЮКС</t>
        </is>
      </c>
      <c r="P970" s="6" t="n"/>
      <c r="R970" t="inlineStr"/>
      <c r="S970" t="inlineStr">
        <is>
          <t>Тариф с завтраком</t>
        </is>
      </c>
      <c r="T970" t="n">
        <v>1812</v>
      </c>
      <c r="U970" t="n">
        <v>11052</v>
      </c>
    </row>
    <row r="971">
      <c r="A971" t="inlineStr">
        <is>
          <t>20260813-8186-457325306</t>
        </is>
      </c>
      <c r="B971" t="n">
        <v>1</v>
      </c>
      <c r="C971" s="2" t="inlineStr">
        <is>
          <t>Ян Метринский</t>
        </is>
      </c>
      <c r="D971" s="3" t="n">
        <v>27240</v>
      </c>
      <c r="E971" s="4" t="n">
        <v>20</v>
      </c>
      <c r="F971" t="inlineStr">
        <is>
          <t>ООО "КОМПАНИЯ БРОНЕВИК" [Чайковский]</t>
        </is>
      </c>
      <c r="G971" s="3">
        <f>ROUND(D971/(100-E971)*100,2)</f>
        <v/>
      </c>
      <c r="H971" s="5" t="n">
        <v>46247.58333333334</v>
      </c>
      <c r="I971" t="n">
        <v>3</v>
      </c>
      <c r="J971" s="3">
        <f>G971/I971</f>
        <v/>
      </c>
      <c r="K971">
        <f>IF(J971&gt;=5100,"ставка","мин.ставка")</f>
        <v/>
      </c>
      <c r="L971" s="3">
        <f>ROUND(IF(K971="мин.ставка",I971*100,G971/102*2),2)</f>
        <v/>
      </c>
      <c r="M971" s="5" t="n">
        <v>46250.5</v>
      </c>
      <c r="N971" t="inlineStr">
        <is>
          <t>TravelLine BR2</t>
        </is>
      </c>
      <c r="O971" s="2" t="inlineStr">
        <is>
          <t>СТАНДАРТНЫЙ ДВУХМЕСТНЫЙ НОМЕР</t>
        </is>
      </c>
      <c r="P971" s="6" t="n"/>
      <c r="R971" t="inlineStr"/>
      <c r="S971" t="inlineStr">
        <is>
          <t>Тариф с завтраком</t>
        </is>
      </c>
      <c r="T971" t="n">
        <v>0</v>
      </c>
      <c r="U971" t="n">
        <v>27240</v>
      </c>
    </row>
    <row r="972">
      <c r="A972" t="inlineStr">
        <is>
          <t>20260911-8186-429106837</t>
        </is>
      </c>
      <c r="B972" t="n">
        <v>1</v>
      </c>
      <c r="C972" s="2" t="inlineStr">
        <is>
          <t>Ян Элксниньш, Лилия Элксниньш</t>
        </is>
      </c>
      <c r="D972" s="3" t="n">
        <v>47520</v>
      </c>
      <c r="E972" s="4" t="n">
        <v>18</v>
      </c>
      <c r="F972" t="inlineStr">
        <is>
          <t>Яндекс.Путешествия [Чайковский]</t>
        </is>
      </c>
      <c r="G972" s="3">
        <f>ROUND(D972/(100-E972)*100,2)</f>
        <v/>
      </c>
      <c r="H972" s="5" t="n">
        <v>46276.58333333334</v>
      </c>
      <c r="I972" t="n">
        <v>6</v>
      </c>
      <c r="J972" s="3">
        <f>G972/I972</f>
        <v/>
      </c>
      <c r="K972">
        <f>IF(J972&gt;=5100,"ставка","мин.ставка")</f>
        <v/>
      </c>
      <c r="L972" s="3">
        <f>ROUND(IF(K972="мин.ставка",I972*100,G972/102*2),2)</f>
        <v/>
      </c>
      <c r="M972" s="5" t="n">
        <v>46282.5</v>
      </c>
      <c r="N972" t="inlineStr">
        <is>
          <t>TravelLine YAX</t>
        </is>
      </c>
      <c r="O972" s="2" t="inlineStr">
        <is>
          <t>СТАНДАРТНЫЙ ДВУХМЕСТНЫЙ НОМЕР (МАНСАРДА)</t>
        </is>
      </c>
      <c r="P972" s="6" t="n"/>
      <c r="R972" t="inlineStr"/>
      <c r="S972" t="inlineStr">
        <is>
          <t>Тариф с завтраком</t>
        </is>
      </c>
      <c r="T972" t="n">
        <v>0</v>
      </c>
      <c r="U972" t="n">
        <v>47520</v>
      </c>
    </row>
    <row r="973">
      <c r="A973" t="inlineStr">
        <is>
          <t>20260629-8186-440728066</t>
        </is>
      </c>
      <c r="B973" t="n">
        <v>1</v>
      </c>
      <c r="C973" s="2" t="inlineStr">
        <is>
          <t>Яна ЛИБЕРМАН</t>
        </is>
      </c>
      <c r="D973" s="3" t="n">
        <v>27921</v>
      </c>
      <c r="E973" s="4" t="n">
        <v>18</v>
      </c>
      <c r="F973" t="inlineStr">
        <is>
          <t>ООО "Эй энд Эй" [Чайковский]</t>
        </is>
      </c>
      <c r="G973" s="3">
        <f>ROUND(D973/(100-E973)*100,2)</f>
        <v/>
      </c>
      <c r="H973" s="5" t="n">
        <v>46202.58333333334</v>
      </c>
      <c r="I973" t="n">
        <v>3</v>
      </c>
      <c r="J973" s="3">
        <f>G973/I973</f>
        <v/>
      </c>
      <c r="K973">
        <f>IF(J973&gt;=5100,"ставка","мин.ставка")</f>
        <v/>
      </c>
      <c r="L973" s="3">
        <f>ROUND(IF(K973="мин.ставка",I973*100,G973/102*2),2)</f>
        <v/>
      </c>
      <c r="M973" s="5" t="n">
        <v>46205.5</v>
      </c>
      <c r="N973" t="inlineStr">
        <is>
          <t>TravelLine ANA</t>
        </is>
      </c>
      <c r="O973" s="2" t="inlineStr">
        <is>
          <t>СТАНДАРТНЫЙ ДВУХМЕСТНЫЙ НОМЕР</t>
        </is>
      </c>
      <c r="P973" s="6" t="n"/>
      <c r="R973" t="inlineStr"/>
      <c r="S973" t="inlineStr">
        <is>
          <t>Тариф с завтраком</t>
        </is>
      </c>
      <c r="T973" t="n">
        <v>0</v>
      </c>
      <c r="U973" t="n">
        <v>27921</v>
      </c>
    </row>
    <row r="974">
      <c r="A974" t="inlineStr">
        <is>
          <t>20260809-8186-419208245</t>
        </is>
      </c>
      <c r="B974" t="n">
        <v>1</v>
      </c>
      <c r="C974" s="2" t="inlineStr">
        <is>
          <t>ЯНА МАКАРОВА, АЛЕКСАНДР МИХАЛЕВА</t>
        </is>
      </c>
      <c r="D974" s="3" t="n">
        <v>68085</v>
      </c>
      <c r="E974" s="4" t="n">
        <v>16</v>
      </c>
      <c r="F974" t="inlineStr">
        <is>
          <t>ООО "БРОНИРОВАНИЕ ГОСТИНИЦ" (OSTROVOK) [Чайковский]</t>
        </is>
      </c>
      <c r="G974" s="3">
        <f>ROUND(D974/(100-E974)*100,2)</f>
        <v/>
      </c>
      <c r="H974" s="5" t="n">
        <v>46243.58333333334</v>
      </c>
      <c r="I974" t="n">
        <v>6</v>
      </c>
      <c r="J974" s="3">
        <f>G974/I974</f>
        <v/>
      </c>
      <c r="K974">
        <f>IF(J974&gt;=5100,"ставка","мин.ставка")</f>
        <v/>
      </c>
      <c r="L974" s="3">
        <f>ROUND(IF(K974="мин.ставка",I974*100,G974/102*2),2)</f>
        <v/>
      </c>
      <c r="M974" s="5" t="n">
        <v>46249.5</v>
      </c>
      <c r="N974" t="inlineStr">
        <is>
          <t>TravelLine OTK</t>
        </is>
      </c>
      <c r="O974" s="2" t="inlineStr">
        <is>
          <t>СТАНДАРТНЫЙ ДВУХМЕСТНЫЙ НОМЕР</t>
        </is>
      </c>
      <c r="P974" s="6" t="n"/>
      <c r="R974" t="inlineStr"/>
      <c r="S974" t="inlineStr">
        <is>
          <t>Тариф с завтраком</t>
        </is>
      </c>
      <c r="T974" t="n">
        <v>0</v>
      </c>
      <c r="U974" t="n">
        <v>136170</v>
      </c>
    </row>
    <row r="975">
      <c r="A975" t="inlineStr">
        <is>
          <t>20260813-8186-456022228</t>
        </is>
      </c>
      <c r="B975" t="n">
        <v>1</v>
      </c>
      <c r="C975" s="2" t="inlineStr">
        <is>
          <t>ЯНИНА АНУЩЕНКОВА</t>
        </is>
      </c>
      <c r="D975" s="3" t="n">
        <v>39816</v>
      </c>
      <c r="E975" s="4" t="n">
        <v>16</v>
      </c>
      <c r="F975" t="inlineStr">
        <is>
          <t>ООО "БРОНИРОВАНИЕ ГОСТИНИЦ" (OSTROVOK) [Чайковский]</t>
        </is>
      </c>
      <c r="G975" s="3">
        <f>ROUND(D975/(100-E975)*100,2)</f>
        <v/>
      </c>
      <c r="H975" s="5" t="n">
        <v>46247.58333333334</v>
      </c>
      <c r="I975" t="n">
        <v>3</v>
      </c>
      <c r="J975" s="3">
        <f>G975/I975</f>
        <v/>
      </c>
      <c r="K975">
        <f>IF(J975&gt;=5100,"ставка","мин.ставка")</f>
        <v/>
      </c>
      <c r="L975" s="3">
        <f>ROUND(IF(K975="мин.ставка",I975*100,G975/102*2),2)</f>
        <v/>
      </c>
      <c r="M975" s="5" t="n">
        <v>46250.70833333334</v>
      </c>
      <c r="N975" t="inlineStr">
        <is>
          <t>TravelLine OTK</t>
        </is>
      </c>
      <c r="O975" s="2" t="inlineStr">
        <is>
          <t>ЛЮКС ВТОРОЙ КОРПУС</t>
        </is>
      </c>
      <c r="P975" s="6" t="n"/>
      <c r="R975" t="inlineStr"/>
      <c r="S975" t="inlineStr">
        <is>
          <t>Тариф с завтраком</t>
        </is>
      </c>
      <c r="T975" t="n">
        <v>3300</v>
      </c>
      <c r="U975" t="n">
        <v>43116</v>
      </c>
    </row>
    <row r="976">
      <c r="A976" t="inlineStr">
        <is>
          <t>20260705-8186-444990056</t>
        </is>
      </c>
      <c r="B976" t="n">
        <v>1</v>
      </c>
      <c r="C976" s="2" t="inlineStr">
        <is>
          <t>ЯРОСЛАВ МОРОЗОВ, ЕВГЕНИЯ ШУБИНА</t>
        </is>
      </c>
      <c r="D976" s="3" t="n">
        <v>34042.5</v>
      </c>
      <c r="E976" s="4" t="n">
        <v>0</v>
      </c>
      <c r="F976" t="inlineStr">
        <is>
          <t>ООО «ХОМЛИН ЛЭНД» (ПЕГАС) [Чайковский]</t>
        </is>
      </c>
      <c r="G976" s="3">
        <f>ROUND(D976/(100-E976)*100,2)</f>
        <v/>
      </c>
      <c r="H976" s="5" t="n">
        <v>46208.58333333334</v>
      </c>
      <c r="I976" t="n">
        <v>3</v>
      </c>
      <c r="J976" s="3">
        <f>G976/I976</f>
        <v/>
      </c>
      <c r="K976">
        <f>IF(J976&gt;=5100,"ставка","мин.ставка")</f>
        <v/>
      </c>
      <c r="L976" s="3">
        <f>ROUND(IF(K976="мин.ставка",I976*100,G976/102*2),2)</f>
        <v/>
      </c>
      <c r="M976" s="5" t="n">
        <v>46211.5</v>
      </c>
      <c r="N976" t="inlineStr">
        <is>
          <t>TravelLine PGS</t>
        </is>
      </c>
      <c r="O976" s="2" t="inlineStr">
        <is>
          <t>СТАНДАРТНЫЙ ДВУХМЕСТНЫЙ НОМЕР</t>
        </is>
      </c>
      <c r="P976" s="6" t="n"/>
      <c r="R976" t="inlineStr"/>
      <c r="S976" t="inlineStr">
        <is>
          <t>Тариф с завтраком</t>
        </is>
      </c>
      <c r="T976" t="n">
        <v>0</v>
      </c>
      <c r="U976" t="n">
        <v>34042.5</v>
      </c>
    </row>
    <row r="977">
      <c r="A977" t="inlineStr">
        <is>
          <t>20260701-8186-442331708</t>
        </is>
      </c>
      <c r="B977" t="n">
        <v>1</v>
      </c>
      <c r="C977" s="2" t="inlineStr">
        <is>
          <t>ЯРОСЛАВ СЕМЕНОВ</t>
        </is>
      </c>
      <c r="D977" s="3" t="n">
        <v>7900</v>
      </c>
      <c r="E977" s="4" t="n">
        <v>0</v>
      </c>
      <c r="F977" t="inlineStr">
        <is>
          <t>Прямые бронирования (стойка) [Чайковский]</t>
        </is>
      </c>
      <c r="G977" s="3">
        <f>ROUND(D977/(100-E977)*100,2)</f>
        <v/>
      </c>
      <c r="H977" s="5" t="n">
        <v>46204.58333333334</v>
      </c>
      <c r="I977" t="n">
        <v>1</v>
      </c>
      <c r="J977" s="3">
        <f>G977/I977</f>
        <v/>
      </c>
      <c r="K977">
        <f>IF(J977&gt;=5100,"ставка","мин.ставка")</f>
        <v/>
      </c>
      <c r="L977" s="3">
        <f>ROUND(IF(K977="мин.ставка",I977*100,G977/102*2),2)</f>
        <v/>
      </c>
      <c r="M977" s="5" t="n">
        <v>46205.5</v>
      </c>
      <c r="N977" t="inlineStr">
        <is>
          <t>TravelLine ресепшн</t>
        </is>
      </c>
      <c r="O977" s="2" t="inlineStr">
        <is>
          <t>СТАНДАРТНЫЙ ДВУХМЕСТНЫЙ НОМЕР (МАНСАРДА)</t>
        </is>
      </c>
      <c r="P977" s="6" t="n"/>
      <c r="R977" t="inlineStr"/>
      <c r="S977" t="inlineStr">
        <is>
          <t>Тариф с завтраком</t>
        </is>
      </c>
      <c r="T977" t="n">
        <v>0</v>
      </c>
      <c r="U977" t="n">
        <v>7900</v>
      </c>
    </row>
    <row r="978">
      <c r="A978" s="7" t="n"/>
      <c r="B978" s="7">
        <f>SUM(B2:B977)</f>
        <v/>
      </c>
      <c r="C978" s="7" t="inlineStr">
        <is>
          <t>ИТОГО:</t>
        </is>
      </c>
      <c r="D978" s="7">
        <f>SUM(D2:D977)</f>
        <v/>
      </c>
      <c r="E978" s="7" t="n"/>
      <c r="F978" s="7" t="n"/>
      <c r="G978" s="7">
        <f>SUM(G2:G977)</f>
        <v/>
      </c>
      <c r="H978" s="7" t="n"/>
      <c r="I978" s="7">
        <f>SUM(I2:I977)</f>
        <v/>
      </c>
      <c r="J978" s="7" t="n"/>
      <c r="K978" s="7" t="n"/>
      <c r="L978" s="7">
        <f>SUM(L2:L977)</f>
        <v/>
      </c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7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2" customWidth="1" min="4" max="4"/>
    <col width="10" customWidth="1" min="5" max="5"/>
    <col width="32" customWidth="1" min="6" max="6"/>
    <col width="20" customWidth="1" min="7" max="7"/>
    <col width="17" customWidth="1" min="8" max="8"/>
    <col width="8" customWidth="1" min="9" max="9"/>
    <col width="11" customWidth="1" min="10" max="10"/>
    <col width="12" customWidth="1" min="11" max="11"/>
    <col width="11" customWidth="1" min="12" max="12"/>
    <col width="17" customWidth="1" min="13" max="13"/>
    <col width="25" customWidth="1" min="14" max="14"/>
    <col width="30" customWidth="1" min="15" max="15"/>
    <col width="10" customWidth="1" min="16" max="16"/>
    <col width="8" customWidth="1" min="17" max="17"/>
    <col width="45" customWidth="1" min="18" max="18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Заезд</t>
        </is>
      </c>
      <c r="I1" s="1" t="inlineStr">
        <is>
          <t>Ночей</t>
        </is>
      </c>
      <c r="J1" s="1" t="inlineStr">
        <is>
          <t>Сут.ставка</t>
        </is>
      </c>
      <c r="K1" s="1" t="inlineStr">
        <is>
          <t>Метод</t>
        </is>
      </c>
      <c r="L1" s="1" t="inlineStr">
        <is>
          <t>Налог</t>
        </is>
      </c>
      <c r="M1" s="1" t="inlineStr">
        <is>
          <t>Выезд</t>
        </is>
      </c>
      <c r="N1" s="1" t="inlineStr">
        <is>
          <t>Источник</t>
        </is>
      </c>
      <c r="O1" s="1" t="inlineStr">
        <is>
          <t>Категория номера</t>
        </is>
      </c>
      <c r="P1" s="1" t="inlineStr">
        <is>
          <t>№ комнаты</t>
        </is>
      </c>
      <c r="Q1" s="1" t="inlineStr">
        <is>
          <t>корпус</t>
        </is>
      </c>
      <c r="R1" s="1" t="inlineStr">
        <is>
          <t>Примечание</t>
        </is>
      </c>
      <c r="S1" s="1" t="inlineStr">
        <is>
          <t>Тариф</t>
        </is>
      </c>
      <c r="T1" s="1" t="inlineStr">
        <is>
          <t>Допуслуги</t>
        </is>
      </c>
      <c r="U1" s="1" t="inlineStr">
        <is>
          <t>Итог брони</t>
        </is>
      </c>
    </row>
    <row r="2">
      <c r="A2" t="inlineStr">
        <is>
          <t>20260701-8186-446674393</t>
        </is>
      </c>
      <c r="B2" t="n">
        <v>1</v>
      </c>
      <c r="C2" s="2" t="inlineStr">
        <is>
          <t>55 САВОЧКИН</t>
        </is>
      </c>
      <c r="D2" s="3" t="n">
        <v>10900</v>
      </c>
      <c r="E2" s="4" t="n">
        <v>0</v>
      </c>
      <c r="F2" t="inlineStr">
        <is>
          <t>Прямые бронирования (стойка) [Чайковский]</t>
        </is>
      </c>
      <c r="G2" s="3">
        <f>ROUND(D2/(100-E2)*100,2)</f>
        <v/>
      </c>
      <c r="H2" s="5" t="n">
        <v>46204.58333333334</v>
      </c>
      <c r="I2" t="n">
        <v>1</v>
      </c>
      <c r="J2" s="3">
        <f>G2/I2</f>
        <v/>
      </c>
      <c r="K2">
        <f>IF(J2&gt;=5100,"ставка","мин.ставка")</f>
        <v/>
      </c>
      <c r="L2" s="3">
        <f>ROUND(IF(K2="мин.ставка",I2*100,G2/102*2),2)</f>
        <v/>
      </c>
      <c r="M2" s="5" t="n">
        <v>46205.5</v>
      </c>
      <c r="N2" t="inlineStr">
        <is>
          <t>TravelLine ресепшн</t>
        </is>
      </c>
      <c r="O2" s="2" t="inlineStr">
        <is>
          <t>УЛУЧШЕННЫЙ ДВУХМЕСТНЫЙ НОМЕР</t>
        </is>
      </c>
      <c r="P2" s="6" t="n"/>
      <c r="R2" t="inlineStr"/>
      <c r="S2" t="inlineStr">
        <is>
          <t>Основной тариф без завтрака</t>
        </is>
      </c>
      <c r="T2" t="n">
        <v>0</v>
      </c>
      <c r="U2" t="n">
        <v>10900</v>
      </c>
    </row>
    <row r="3">
      <c r="A3" t="inlineStr">
        <is>
          <t>20260720-8186-450480368</t>
        </is>
      </c>
      <c r="B3" t="n">
        <v>1</v>
      </c>
      <c r="C3" s="2" t="inlineStr">
        <is>
          <t>ADAM GASTAN</t>
        </is>
      </c>
      <c r="D3" s="3" t="n">
        <v>26800</v>
      </c>
      <c r="E3" s="4" t="n">
        <v>0</v>
      </c>
      <c r="F3" t="inlineStr">
        <is>
          <t>Прямые бронирования (стойка) [Чайковский]</t>
        </is>
      </c>
      <c r="G3" s="3">
        <f>ROUND(D3/(100-E3)*100,2)</f>
        <v/>
      </c>
      <c r="H3" s="5" t="n">
        <v>46223.58333333334</v>
      </c>
      <c r="I3" t="n">
        <v>2</v>
      </c>
      <c r="J3" s="3">
        <f>G3/I3</f>
        <v/>
      </c>
      <c r="K3">
        <f>IF(J3&gt;=5100,"ставка","мин.ставка")</f>
        <v/>
      </c>
      <c r="L3" s="3">
        <f>ROUND(IF(K3="мин.ставка",I3*100,G3/102*2),2)</f>
        <v/>
      </c>
      <c r="M3" s="5" t="n">
        <v>46225.5</v>
      </c>
      <c r="N3" t="inlineStr">
        <is>
          <t>TravelLine ресепшн</t>
        </is>
      </c>
      <c r="O3" s="2" t="inlineStr">
        <is>
          <t>УЛУЧШЕННЫЙ ДВУХМЕСТНЫЙ НОМЕР</t>
        </is>
      </c>
      <c r="P3" s="6" t="n"/>
      <c r="R3" t="inlineStr"/>
      <c r="S3" t="inlineStr">
        <is>
          <t>Тариф с завтраком</t>
        </is>
      </c>
      <c r="T3" t="n">
        <v>0</v>
      </c>
      <c r="U3" t="n">
        <v>26800</v>
      </c>
    </row>
    <row r="4">
      <c r="A4" t="inlineStr">
        <is>
          <t>20260825-8186-461137645</t>
        </is>
      </c>
      <c r="B4" t="n">
        <v>1</v>
      </c>
      <c r="C4" s="2" t="inlineStr">
        <is>
          <t>ALEKSEJS VAZENINS</t>
        </is>
      </c>
      <c r="D4" s="3" t="n">
        <v>13860</v>
      </c>
      <c r="E4" s="4" t="n">
        <v>0</v>
      </c>
      <c r="F4" t="inlineStr">
        <is>
          <t>Прямые бронирования (стойка) [Чайковский]</t>
        </is>
      </c>
      <c r="G4" s="3">
        <f>ROUND(D4/(100-E4)*100,2)</f>
        <v/>
      </c>
      <c r="H4" s="5" t="n">
        <v>46259.58333333334</v>
      </c>
      <c r="I4" t="n">
        <v>1</v>
      </c>
      <c r="J4" s="3">
        <f>G4/I4</f>
        <v/>
      </c>
      <c r="K4">
        <f>IF(J4&gt;=5100,"ставка","мин.ставка")</f>
        <v/>
      </c>
      <c r="L4" s="3">
        <f>ROUND(IF(K4="мин.ставка",I4*100,G4/102*2),2)</f>
        <v/>
      </c>
      <c r="M4" s="5" t="n">
        <v>46260.5</v>
      </c>
      <c r="N4" t="inlineStr">
        <is>
          <t>TravelLine ресепшн</t>
        </is>
      </c>
      <c r="O4" s="2" t="inlineStr">
        <is>
          <t>УЛУЧШЕННЫЙ ДВУХМЕСТНЫЙ НОМЕР</t>
        </is>
      </c>
      <c r="P4" s="6" t="n"/>
      <c r="R4" t="inlineStr"/>
      <c r="S4" t="inlineStr">
        <is>
          <t>Тариф с завтраком</t>
        </is>
      </c>
      <c r="T4" t="n">
        <v>0</v>
      </c>
      <c r="U4" t="n">
        <v>13860</v>
      </c>
    </row>
    <row r="5">
      <c r="A5" t="inlineStr">
        <is>
          <t>20260807-8186-433561161</t>
        </is>
      </c>
      <c r="B5" t="n">
        <v>1</v>
      </c>
      <c r="C5" s="2" t="inlineStr">
        <is>
          <t>ALEXANDER SCHNEIDER, Кристина Винтер</t>
        </is>
      </c>
      <c r="D5" s="3" t="n">
        <v>7920</v>
      </c>
      <c r="E5" s="4" t="n">
        <v>18</v>
      </c>
      <c r="F5" t="inlineStr">
        <is>
          <t>Яндекс.Путешествия [Чайковский]</t>
        </is>
      </c>
      <c r="G5" s="3">
        <f>ROUND(D5/(100-E5)*100,2)</f>
        <v/>
      </c>
      <c r="H5" s="5" t="n">
        <v>46241.58333333334</v>
      </c>
      <c r="I5" t="n">
        <v>1</v>
      </c>
      <c r="J5" s="3">
        <f>G5/I5</f>
        <v/>
      </c>
      <c r="K5">
        <f>IF(J5&gt;=5100,"ставка","мин.ставка")</f>
        <v/>
      </c>
      <c r="L5" s="3">
        <f>ROUND(IF(K5="мин.ставка",I5*100,G5/102*2),2)</f>
        <v/>
      </c>
      <c r="M5" s="5" t="n">
        <v>46242.5</v>
      </c>
      <c r="N5" t="inlineStr">
        <is>
          <t>TravelLine YAX</t>
        </is>
      </c>
      <c r="O5" s="2" t="inlineStr">
        <is>
          <t>СТАНДАРТНЫЙ ДВУХМЕСТНЫЙ НОМЕР (МАНСАРДА)</t>
        </is>
      </c>
      <c r="P5" s="6" t="n"/>
      <c r="R5" t="inlineStr"/>
      <c r="S5" t="inlineStr">
        <is>
          <t>Тариф с завтраком</t>
        </is>
      </c>
      <c r="T5" t="n">
        <v>0</v>
      </c>
      <c r="U5" t="n">
        <v>7920</v>
      </c>
    </row>
    <row r="6">
      <c r="A6" t="inlineStr">
        <is>
          <t>20260717-8186-393996392</t>
        </is>
      </c>
      <c r="B6" t="n">
        <v>1</v>
      </c>
      <c r="C6" s="2" t="inlineStr">
        <is>
          <t>Anastasiya Chumanova, Михаил Сагаев</t>
        </is>
      </c>
      <c r="D6" s="3" t="n">
        <v>15130</v>
      </c>
      <c r="E6" s="4" t="n">
        <v>15</v>
      </c>
      <c r="F6" t="inlineStr">
        <is>
          <t>ООО "БРОНИРОВАНИЕ ГОСТИНИЦ" (OSTROVOK) [Чайковский]</t>
        </is>
      </c>
      <c r="G6" s="3">
        <f>ROUND(D6/(100-E6)*100,2)</f>
        <v/>
      </c>
      <c r="H6" s="5" t="n">
        <v>46220.58333333334</v>
      </c>
      <c r="I6" t="n">
        <v>1</v>
      </c>
      <c r="J6" s="3">
        <f>G6/I6</f>
        <v/>
      </c>
      <c r="K6">
        <f>IF(J6&gt;=5100,"ставка","мин.ставка")</f>
        <v/>
      </c>
      <c r="L6" s="3">
        <f>ROUND(IF(K6="мин.ставка",I6*100,G6/102*2),2)</f>
        <v/>
      </c>
      <c r="M6" s="5" t="n">
        <v>46221.5</v>
      </c>
      <c r="N6" t="inlineStr">
        <is>
          <t>TravelLine OTK</t>
        </is>
      </c>
      <c r="O6" s="2" t="inlineStr">
        <is>
          <t>ЛЮКС</t>
        </is>
      </c>
      <c r="P6" s="6" t="n"/>
      <c r="R6" t="inlineStr"/>
      <c r="S6" t="inlineStr">
        <is>
          <t>Тариф с завтраком</t>
        </is>
      </c>
      <c r="T6" t="n">
        <v>0</v>
      </c>
      <c r="U6" t="n">
        <v>15130</v>
      </c>
    </row>
    <row r="7">
      <c r="A7" t="inlineStr">
        <is>
          <t>20260708-8186-448665817</t>
        </is>
      </c>
      <c r="B7" t="n">
        <v>1</v>
      </c>
      <c r="C7" s="2" t="inlineStr">
        <is>
          <t>Anastassiya Dobrovolskaya</t>
        </is>
      </c>
      <c r="D7" s="3" t="n">
        <v>7866</v>
      </c>
      <c r="E7" s="4" t="n">
        <v>18</v>
      </c>
      <c r="F7" t="inlineStr">
        <is>
          <t>Яндекс.Путешествия [Чайковский]</t>
        </is>
      </c>
      <c r="G7" s="3">
        <f>ROUND(D7/(100-E7)*100,2)</f>
        <v/>
      </c>
      <c r="H7" s="5" t="n">
        <v>46211.58333333334</v>
      </c>
      <c r="I7" t="n">
        <v>1</v>
      </c>
      <c r="J7" s="3">
        <f>G7/I7</f>
        <v/>
      </c>
      <c r="K7">
        <f>IF(J7&gt;=5100,"ставка","мин.ставка")</f>
        <v/>
      </c>
      <c r="L7" s="3">
        <f>ROUND(IF(K7="мин.ставка",I7*100,G7/102*2),2)</f>
        <v/>
      </c>
      <c r="M7" s="5" t="n">
        <v>46212.5</v>
      </c>
      <c r="N7" t="inlineStr">
        <is>
          <t>TravelLine YAX</t>
        </is>
      </c>
      <c r="O7" s="2" t="inlineStr">
        <is>
          <t>СТАНДАРТНЫЙ ДВУХМЕСТНЫЙ НОМЕР</t>
        </is>
      </c>
      <c r="P7" s="6" t="n"/>
      <c r="R7" t="inlineStr"/>
      <c r="S7" t="inlineStr">
        <is>
          <t>Тариф с завтраком</t>
        </is>
      </c>
      <c r="T7" t="n">
        <v>0</v>
      </c>
      <c r="U7" t="n">
        <v>7866</v>
      </c>
    </row>
    <row r="8">
      <c r="A8" t="inlineStr">
        <is>
          <t>20260712-8186-449535323</t>
        </is>
      </c>
      <c r="B8" t="n">
        <v>1</v>
      </c>
      <c r="C8" s="2" t="inlineStr">
        <is>
          <t>ANDREAS POPP</t>
        </is>
      </c>
      <c r="D8" s="3" t="n">
        <v>6557</v>
      </c>
      <c r="E8" s="4" t="n">
        <v>0</v>
      </c>
      <c r="F8" t="inlineStr">
        <is>
          <t>Прямые бронирования (стойка) [Чайковский]</t>
        </is>
      </c>
      <c r="G8" s="3">
        <f>ROUND(D8/(100-E8)*100,2)</f>
        <v/>
      </c>
      <c r="H8" s="5" t="n">
        <v>46215.58333333334</v>
      </c>
      <c r="I8" t="n">
        <v>1</v>
      </c>
      <c r="J8" s="3">
        <f>G8/I8</f>
        <v/>
      </c>
      <c r="K8">
        <f>IF(J8&gt;=5100,"ставка","мин.ставка")</f>
        <v/>
      </c>
      <c r="L8" s="3">
        <f>ROUND(IF(K8="мин.ставка",I8*100,G8/102*2),2)</f>
        <v/>
      </c>
      <c r="M8" s="5" t="n">
        <v>46216.5</v>
      </c>
      <c r="N8" t="inlineStr">
        <is>
          <t>TravelLine CMB</t>
        </is>
      </c>
      <c r="O8" s="2" t="inlineStr">
        <is>
          <t>СТАНДАРТНЫЙ ДВУХМЕСТНЫЙ НОМЕР (МАНСАРДА)</t>
        </is>
      </c>
      <c r="P8" s="6" t="n"/>
      <c r="R8" t="inlineStr"/>
      <c r="S8" t="inlineStr">
        <is>
          <t>Тариф с завтраком</t>
        </is>
      </c>
      <c r="T8" t="n">
        <v>0</v>
      </c>
      <c r="U8" t="n">
        <v>6557</v>
      </c>
    </row>
    <row r="9">
      <c r="A9" t="inlineStr">
        <is>
          <t>20260724-8186-452456263</t>
        </is>
      </c>
      <c r="B9" t="n">
        <v>1</v>
      </c>
      <c r="C9" s="2" t="inlineStr">
        <is>
          <t>Andrei Lukashenko</t>
        </is>
      </c>
      <c r="D9" s="3" t="n">
        <v>24310</v>
      </c>
      <c r="E9" s="4" t="n">
        <v>15</v>
      </c>
      <c r="F9" t="inlineStr">
        <is>
          <t>ООО "БРОНИРОВАНИЕ ГОСТИНИЦ" (OSTROVOK) [Чайковский]</t>
        </is>
      </c>
      <c r="G9" s="3">
        <f>ROUND(D9/(100-E9)*100,2)</f>
        <v/>
      </c>
      <c r="H9" s="5" t="n">
        <v>46227.58333333334</v>
      </c>
      <c r="I9" t="n">
        <v>2</v>
      </c>
      <c r="J9" s="3">
        <f>G9/I9</f>
        <v/>
      </c>
      <c r="K9">
        <f>IF(J9&gt;=5100,"ставка","мин.ставка")</f>
        <v/>
      </c>
      <c r="L9" s="3">
        <f>ROUND(IF(K9="мин.ставка",I9*100,G9/102*2),2)</f>
        <v/>
      </c>
      <c r="M9" s="5" t="n">
        <v>46229.5</v>
      </c>
      <c r="N9" t="inlineStr">
        <is>
          <t>TravelLine OTK</t>
        </is>
      </c>
      <c r="O9" s="2" t="inlineStr">
        <is>
          <t>ЛЮКС ВТОРОЙ КОРПУС</t>
        </is>
      </c>
      <c r="P9" s="6" t="n"/>
      <c r="R9" t="inlineStr"/>
      <c r="S9" t="inlineStr">
        <is>
          <t>Основной тариф без завтрака</t>
        </is>
      </c>
      <c r="T9" t="n">
        <v>0</v>
      </c>
      <c r="U9" t="n">
        <v>24310</v>
      </c>
    </row>
    <row r="10">
      <c r="A10" t="inlineStr">
        <is>
          <t>20260823-8186-458773575</t>
        </is>
      </c>
      <c r="B10" t="n">
        <v>1</v>
      </c>
      <c r="C10" s="2" t="inlineStr">
        <is>
          <t>ANDREJS ANOSKO, LUCIJA ANOSKO</t>
        </is>
      </c>
      <c r="D10" s="3" t="n">
        <v>39600</v>
      </c>
      <c r="E10" s="4" t="n">
        <v>20</v>
      </c>
      <c r="F10" t="inlineStr">
        <is>
          <t>ООО "КОМПАНИЯ БРОНЕВИК" [Чайковский]</t>
        </is>
      </c>
      <c r="G10" s="3">
        <f>ROUND(D10/(100-E10)*100,2)</f>
        <v/>
      </c>
      <c r="H10" s="5" t="n">
        <v>46257.58333333334</v>
      </c>
      <c r="I10" t="n">
        <v>3</v>
      </c>
      <c r="J10" s="3">
        <f>G10/I10</f>
        <v/>
      </c>
      <c r="K10">
        <f>IF(J10&gt;=5100,"ставка","мин.ставка")</f>
        <v/>
      </c>
      <c r="L10" s="3">
        <f>ROUND(IF(K10="мин.ставка",I10*100,G10/102*2),2)</f>
        <v/>
      </c>
      <c r="M10" s="5" t="n">
        <v>46260.5</v>
      </c>
      <c r="N10" t="inlineStr">
        <is>
          <t>TravelLine BR2</t>
        </is>
      </c>
      <c r="O10" s="2" t="inlineStr">
        <is>
          <t>ПОЛУЛЮКС</t>
        </is>
      </c>
      <c r="P10" s="6" t="n"/>
      <c r="R10" t="inlineStr"/>
      <c r="S10" t="inlineStr">
        <is>
          <t>Тариф с завтраком</t>
        </is>
      </c>
      <c r="T10" t="n">
        <v>0</v>
      </c>
      <c r="U10" t="n">
        <v>39600</v>
      </c>
    </row>
    <row r="11">
      <c r="A11" t="inlineStr">
        <is>
          <t>20260702-8186-441737998</t>
        </is>
      </c>
      <c r="B11" t="n">
        <v>1</v>
      </c>
      <c r="C11" s="2" t="inlineStr">
        <is>
          <t>ANDREJS VOLKOVS, Мария Волкова</t>
        </is>
      </c>
      <c r="D11" s="3" t="n">
        <v>22695</v>
      </c>
      <c r="E11" s="4" t="n">
        <v>15</v>
      </c>
      <c r="F11" t="inlineStr">
        <is>
          <t>ООО Тинькофф Путешествия [Чайковский]</t>
        </is>
      </c>
      <c r="G11" s="3">
        <f>ROUND(D11/(100-E11)*100,2)</f>
        <v/>
      </c>
      <c r="H11" s="5" t="n">
        <v>46205.58333333334</v>
      </c>
      <c r="I11" t="n">
        <v>2</v>
      </c>
      <c r="J11" s="3">
        <f>G11/I11</f>
        <v/>
      </c>
      <c r="K11">
        <f>IF(J11&gt;=5100,"ставка","мин.ставка")</f>
        <v/>
      </c>
      <c r="L11" s="3">
        <f>ROUND(IF(K11="мин.ставка",I11*100,G11/102*2),2)</f>
        <v/>
      </c>
      <c r="M11" s="5" t="n">
        <v>46207.5</v>
      </c>
      <c r="N11" t="inlineStr">
        <is>
          <t>TravelLine TNK</t>
        </is>
      </c>
      <c r="O11" s="2" t="inlineStr">
        <is>
          <t>СТАНДАРТНЫЙ ДВУХМЕСТНЫЙ НОМЕР</t>
        </is>
      </c>
      <c r="P11" s="6" t="n"/>
      <c r="R11" t="inlineStr"/>
      <c r="S11" t="inlineStr">
        <is>
          <t>Тариф с завтраком</t>
        </is>
      </c>
      <c r="T11" t="n">
        <v>0</v>
      </c>
      <c r="U11" t="n">
        <v>22695</v>
      </c>
    </row>
    <row r="12">
      <c r="A12" t="inlineStr">
        <is>
          <t>20260924-8186-466763458</t>
        </is>
      </c>
      <c r="B12" t="n">
        <v>1</v>
      </c>
      <c r="C12" s="2" t="inlineStr">
        <is>
          <t>Annerose HILDA DORA Bannach</t>
        </is>
      </c>
      <c r="D12" s="3" t="n">
        <v>87112.5</v>
      </c>
      <c r="E12" s="4" t="n">
        <v>4</v>
      </c>
      <c r="F12" t="inlineStr">
        <is>
          <t>TravelLine Booking Engine [Чайковский]</t>
        </is>
      </c>
      <c r="G12" s="3">
        <f>ROUND(D12/(100-E12)*100,2)</f>
        <v/>
      </c>
      <c r="H12" s="5" t="n">
        <v>46289.58333333334</v>
      </c>
      <c r="I12" t="n">
        <v>7</v>
      </c>
      <c r="J12" s="3">
        <f>G12/I12</f>
        <v/>
      </c>
      <c r="K12">
        <f>IF(J12&gt;=5100,"ставка","мин.ставка")</f>
        <v/>
      </c>
      <c r="L12" s="3">
        <f>ROUND(IF(K12="мин.ставка",I12*100,G12/102*2),2)</f>
        <v/>
      </c>
      <c r="M12" s="5" t="n">
        <v>46296.5</v>
      </c>
      <c r="N12" t="inlineStr">
        <is>
          <t>TravelLine сайт</t>
        </is>
      </c>
      <c r="O12" s="2" t="inlineStr">
        <is>
          <t>ЛЮКС ВТОРОЙ КОРПУС</t>
        </is>
      </c>
      <c r="P12" s="6" t="n"/>
      <c r="R12" t="inlineStr"/>
      <c r="S12" t="inlineStr">
        <is>
          <t>Основной тариф без завтрака</t>
        </is>
      </c>
      <c r="T12" t="n">
        <v>0</v>
      </c>
      <c r="U12" t="n">
        <v>87112.5</v>
      </c>
    </row>
    <row r="13">
      <c r="A13" t="inlineStr">
        <is>
          <t>20260727-8186-452690380</t>
        </is>
      </c>
      <c r="B13" t="n">
        <v>1</v>
      </c>
      <c r="C13" s="2" t="inlineStr">
        <is>
          <t>ARKADIUSZ PLEWA</t>
        </is>
      </c>
      <c r="D13" s="3" t="n">
        <v>7700</v>
      </c>
      <c r="E13" s="4" t="n">
        <v>0</v>
      </c>
      <c r="F13" t="inlineStr">
        <is>
          <t>Прямые бронирования (стойка) [Чайковский]</t>
        </is>
      </c>
      <c r="G13" s="3">
        <f>ROUND(D13/(100-E13)*100,2)</f>
        <v/>
      </c>
      <c r="H13" s="5" t="n">
        <v>46230.58333333334</v>
      </c>
      <c r="I13" t="n">
        <v>1</v>
      </c>
      <c r="J13" s="3">
        <f>G13/I13</f>
        <v/>
      </c>
      <c r="K13">
        <f>IF(J13&gt;=5100,"ставка","мин.ставка")</f>
        <v/>
      </c>
      <c r="L13" s="3">
        <f>ROUND(IF(K13="мин.ставка",I13*100,G13/102*2),2)</f>
        <v/>
      </c>
      <c r="M13" s="5" t="n">
        <v>46231.5</v>
      </c>
      <c r="N13" t="inlineStr">
        <is>
          <t>TravelLine ресепшн</t>
        </is>
      </c>
      <c r="O13" s="2" t="inlineStr">
        <is>
          <t>СТАНДАРТНЫЙ ОДНОМЕСТНЫЙ НОМЕР</t>
        </is>
      </c>
      <c r="P13" s="6" t="n"/>
      <c r="R13" t="inlineStr"/>
      <c r="S13" t="inlineStr">
        <is>
          <t>Тариф с завтраком</t>
        </is>
      </c>
      <c r="T13" t="n">
        <v>0</v>
      </c>
      <c r="U13" t="n">
        <v>7700</v>
      </c>
    </row>
    <row r="14">
      <c r="A14" t="inlineStr">
        <is>
          <t>20260720-8186-451844710</t>
        </is>
      </c>
      <c r="B14" t="n">
        <v>1</v>
      </c>
      <c r="C14" s="2" t="inlineStr">
        <is>
          <t>ARTUR SWIESZEK</t>
        </is>
      </c>
      <c r="D14" s="3" t="n">
        <v>7900</v>
      </c>
      <c r="E14" s="4" t="n">
        <v>0</v>
      </c>
      <c r="F14" t="inlineStr">
        <is>
          <t>Прямые бронирования (стойка) [Чайковский]</t>
        </is>
      </c>
      <c r="G14" s="3">
        <f>ROUND(D14/(100-E14)*100,2)</f>
        <v/>
      </c>
      <c r="H14" s="5" t="n">
        <v>46223.58333333334</v>
      </c>
      <c r="I14" t="n">
        <v>1</v>
      </c>
      <c r="J14" s="3">
        <f>G14/I14</f>
        <v/>
      </c>
      <c r="K14">
        <f>IF(J14&gt;=5100,"ставка","мин.ставка")</f>
        <v/>
      </c>
      <c r="L14" s="3">
        <f>ROUND(IF(K14="мин.ставка",I14*100,G14/102*2),2)</f>
        <v/>
      </c>
      <c r="M14" s="5" t="n">
        <v>46224.5</v>
      </c>
      <c r="N14" t="inlineStr">
        <is>
          <t>TravelLine ресепшн</t>
        </is>
      </c>
      <c r="O14" s="2" t="inlineStr">
        <is>
          <t>СТАНДАРТНЫЙ ДВУХМЕСТНЫЙ НОМЕР</t>
        </is>
      </c>
      <c r="P14" s="6" t="n"/>
      <c r="R14" t="inlineStr"/>
      <c r="S14" t="inlineStr">
        <is>
          <t>Тариф с завтраком</t>
        </is>
      </c>
      <c r="T14" t="n">
        <v>0</v>
      </c>
      <c r="U14" t="n">
        <v>7900</v>
      </c>
    </row>
    <row r="15">
      <c r="A15" t="inlineStr">
        <is>
          <t>20260817-8186-453479249</t>
        </is>
      </c>
      <c r="B15" t="n">
        <v>1</v>
      </c>
      <c r="C15" s="2" t="inlineStr">
        <is>
          <t>ARTUR WLODARCZYK</t>
        </is>
      </c>
      <c r="D15" s="3" t="n">
        <v>11350</v>
      </c>
      <c r="E15" s="4" t="n">
        <v>4</v>
      </c>
      <c r="F15" t="inlineStr">
        <is>
          <t>TravelLine Booking Engine [Чайковский]</t>
        </is>
      </c>
      <c r="G15" s="3">
        <f>ROUND(D15/(100-E15)*100,2)</f>
        <v/>
      </c>
      <c r="H15" s="5" t="n">
        <v>46251.58333333334</v>
      </c>
      <c r="I15" t="n">
        <v>1</v>
      </c>
      <c r="J15" s="3">
        <f>G15/I15</f>
        <v/>
      </c>
      <c r="K15">
        <f>IF(J15&gt;=5100,"ставка","мин.ставка")</f>
        <v/>
      </c>
      <c r="L15" s="3">
        <f>ROUND(IF(K15="мин.ставка",I15*100,G15/102*2),2)</f>
        <v/>
      </c>
      <c r="M15" s="5" t="n">
        <v>46252.5</v>
      </c>
      <c r="N15" t="inlineStr">
        <is>
          <t>TravelLine сайт</t>
        </is>
      </c>
      <c r="O15" s="2" t="inlineStr">
        <is>
          <t>СТАНДАРТНЫЙ ДВУХМЕСТНЫЙ НОМЕР</t>
        </is>
      </c>
      <c r="P15" s="6" t="n"/>
      <c r="R15" t="inlineStr"/>
      <c r="S15" t="inlineStr">
        <is>
          <t>Тариф с завтраком</t>
        </is>
      </c>
      <c r="T15" t="n">
        <v>0</v>
      </c>
      <c r="U15" t="n">
        <v>11350</v>
      </c>
    </row>
    <row r="16">
      <c r="A16" t="inlineStr">
        <is>
          <t>20260715-8186-450135316</t>
        </is>
      </c>
      <c r="B16" t="n">
        <v>1</v>
      </c>
      <c r="C16" s="2" t="inlineStr">
        <is>
          <t>BARIS OTYAKMAZ</t>
        </is>
      </c>
      <c r="D16" s="3" t="n">
        <v>29000</v>
      </c>
      <c r="E16" s="4" t="n">
        <v>0</v>
      </c>
      <c r="F16" t="inlineStr">
        <is>
          <t>Прямые бронирования (стойка) [Чайковский]</t>
        </is>
      </c>
      <c r="G16" s="3">
        <f>ROUND(D16/(100-E16)*100,2)</f>
        <v/>
      </c>
      <c r="H16" s="5" t="n">
        <v>46218.58333333334</v>
      </c>
      <c r="I16" t="n">
        <v>2</v>
      </c>
      <c r="J16" s="3">
        <f>G16/I16</f>
        <v/>
      </c>
      <c r="K16">
        <f>IF(J16&gt;=5100,"ставка","мин.ставка")</f>
        <v/>
      </c>
      <c r="L16" s="3">
        <f>ROUND(IF(K16="мин.ставка",I16*100,G16/102*2),2)</f>
        <v/>
      </c>
      <c r="M16" s="5" t="n">
        <v>46220.5</v>
      </c>
      <c r="N16" t="inlineStr">
        <is>
          <t>TravelLine ресепшн</t>
        </is>
      </c>
      <c r="O16" s="2" t="inlineStr">
        <is>
          <t>ПОЛУЛЮКС</t>
        </is>
      </c>
      <c r="P16" s="6" t="n"/>
      <c r="R16" t="inlineStr"/>
      <c r="S16" t="inlineStr">
        <is>
          <t>Тариф с завтраком</t>
        </is>
      </c>
      <c r="T16" t="n">
        <v>0</v>
      </c>
      <c r="U16" t="n">
        <v>29000</v>
      </c>
    </row>
    <row r="17">
      <c r="A17" t="inlineStr">
        <is>
          <t>20260813-8186-458193673</t>
        </is>
      </c>
      <c r="B17" t="n">
        <v>1</v>
      </c>
      <c r="C17" s="2" t="inlineStr">
        <is>
          <t>Dmitrij Serov</t>
        </is>
      </c>
      <c r="D17" s="3" t="n">
        <v>9534</v>
      </c>
      <c r="E17" s="4" t="n">
        <v>16</v>
      </c>
      <c r="F17" t="inlineStr">
        <is>
          <t>ООО "БРОНИРОВАНИЕ ГОСТИНИЦ" (OSTROVOK) [Чайковский]</t>
        </is>
      </c>
      <c r="G17" s="3">
        <f>ROUND(D17/(100-E17)*100,2)</f>
        <v/>
      </c>
      <c r="H17" s="5" t="n">
        <v>46247.58333333334</v>
      </c>
      <c r="I17" t="n">
        <v>1</v>
      </c>
      <c r="J17" s="3">
        <f>G17/I17</f>
        <v/>
      </c>
      <c r="K17">
        <f>IF(J17&gt;=5100,"ставка","мин.ставка")</f>
        <v/>
      </c>
      <c r="L17" s="3">
        <f>ROUND(IF(K17="мин.ставка",I17*100,G17/102*2),2)</f>
        <v/>
      </c>
      <c r="M17" s="5" t="n">
        <v>46248.5</v>
      </c>
      <c r="N17" t="inlineStr">
        <is>
          <t>TravelLine OTK</t>
        </is>
      </c>
      <c r="O17" s="2" t="inlineStr">
        <is>
          <t>СТАНДАРТНЫЙ ДВУХМЕСТНЫЙ НОМЕР</t>
        </is>
      </c>
      <c r="P17" s="6" t="n"/>
      <c r="R17" t="inlineStr"/>
      <c r="S17" t="inlineStr">
        <is>
          <t>Тариф с завтраком</t>
        </is>
      </c>
      <c r="T17" t="n">
        <v>0</v>
      </c>
      <c r="U17" t="n">
        <v>9534</v>
      </c>
    </row>
    <row r="18">
      <c r="A18" t="inlineStr">
        <is>
          <t>20260929-8186-467430618</t>
        </is>
      </c>
      <c r="B18" t="n">
        <v>1</v>
      </c>
      <c r="C18" s="2" t="inlineStr">
        <is>
          <t>Giovanni Peressoni</t>
        </is>
      </c>
      <c r="D18" s="3" t="n">
        <v>9080</v>
      </c>
      <c r="E18" s="4" t="n">
        <v>18</v>
      </c>
      <c r="F18" t="inlineStr">
        <is>
          <t>Яндекс.Путешествия [Чайковский]</t>
        </is>
      </c>
      <c r="G18" s="3">
        <f>ROUND(D18/(100-E18)*100,2)</f>
        <v/>
      </c>
      <c r="H18" s="5" t="n">
        <v>46294.58333333334</v>
      </c>
      <c r="I18" t="n">
        <v>1</v>
      </c>
      <c r="J18" s="3">
        <f>G18/I18</f>
        <v/>
      </c>
      <c r="K18">
        <f>IF(J18&gt;=5100,"ставка","мин.ставка")</f>
        <v/>
      </c>
      <c r="L18" s="3">
        <f>ROUND(IF(K18="мин.ставка",I18*100,G18/102*2),2)</f>
        <v/>
      </c>
      <c r="M18" s="5" t="n">
        <v>46295.5</v>
      </c>
      <c r="N18" t="inlineStr">
        <is>
          <t>TravelLine YAX</t>
        </is>
      </c>
      <c r="O18" s="2" t="inlineStr">
        <is>
          <t>СТАНДАРТНЫЙ ДВУХМЕСТНЫЙ НОМЕР</t>
        </is>
      </c>
      <c r="P18" s="6" t="n"/>
      <c r="R18" t="inlineStr"/>
      <c r="S18" t="inlineStr">
        <is>
          <t>Тариф с завтраком</t>
        </is>
      </c>
      <c r="T18" t="n">
        <v>0</v>
      </c>
      <c r="U18" t="n">
        <v>9080</v>
      </c>
    </row>
    <row r="19">
      <c r="A19" t="inlineStr">
        <is>
          <t>20260706-8186-447611282</t>
        </is>
      </c>
      <c r="B19" t="n">
        <v>1</v>
      </c>
      <c r="C19" s="2" t="inlineStr">
        <is>
          <t>GREGOIRE PIERRE ALAIN FOREST</t>
        </is>
      </c>
      <c r="D19" s="3" t="n">
        <v>23035</v>
      </c>
      <c r="E19" s="4" t="n">
        <v>15</v>
      </c>
      <c r="F19" t="inlineStr">
        <is>
          <t>ООО "БРОНИРОВАНИЕ ГОСТИНИЦ" (OSTROVOK) [Чайковский]</t>
        </is>
      </c>
      <c r="G19" s="3">
        <f>ROUND(D19/(100-E19)*100,2)</f>
        <v/>
      </c>
      <c r="H19" s="5" t="n">
        <v>46209.58333333334</v>
      </c>
      <c r="I19" t="n">
        <v>2</v>
      </c>
      <c r="J19" s="3">
        <f>G19/I19</f>
        <v/>
      </c>
      <c r="K19">
        <f>IF(J19&gt;=5100,"ставка","мин.ставка")</f>
        <v/>
      </c>
      <c r="L19" s="3">
        <f>ROUND(IF(K19="мин.ставка",I19*100,G19/102*2),2)</f>
        <v/>
      </c>
      <c r="M19" s="5" t="n">
        <v>46211.5</v>
      </c>
      <c r="N19" t="inlineStr">
        <is>
          <t>TravelLine OTK</t>
        </is>
      </c>
      <c r="O19" s="2" t="inlineStr">
        <is>
          <t>ПОЛУЛЮКС</t>
        </is>
      </c>
      <c r="P19" s="6" t="n"/>
      <c r="R19" t="inlineStr"/>
      <c r="S19" t="inlineStr">
        <is>
          <t>Тариф с завтраком</t>
        </is>
      </c>
      <c r="T19" t="n">
        <v>0</v>
      </c>
      <c r="U19" t="n">
        <v>23035</v>
      </c>
    </row>
    <row r="20">
      <c r="A20" t="inlineStr">
        <is>
          <t>20260906-8186-464012359</t>
        </is>
      </c>
      <c r="B20" t="n">
        <v>1</v>
      </c>
      <c r="C20" s="2" t="inlineStr">
        <is>
          <t>Hao Wang</t>
        </is>
      </c>
      <c r="D20" s="3" t="n">
        <v>6545</v>
      </c>
      <c r="E20" s="4" t="n">
        <v>15</v>
      </c>
      <c r="F20" t="inlineStr">
        <is>
          <t>Trip.com Group [Чайковский]</t>
        </is>
      </c>
      <c r="G20" s="3">
        <f>ROUND(D20/(100-E20)*100,2)</f>
        <v/>
      </c>
      <c r="H20" s="5" t="n">
        <v>46271.58333333334</v>
      </c>
      <c r="I20" t="n">
        <v>1</v>
      </c>
      <c r="J20" s="3">
        <f>G20/I20</f>
        <v/>
      </c>
      <c r="K20">
        <f>IF(J20&gt;=5100,"ставка","мин.ставка")</f>
        <v/>
      </c>
      <c r="L20" s="3">
        <f>ROUND(IF(K20="мин.ставка",I20*100,G20/102*2),2)</f>
        <v/>
      </c>
      <c r="M20" s="5" t="n">
        <v>46272.5</v>
      </c>
      <c r="N20" t="inlineStr">
        <is>
          <t>TravelLine CTP</t>
        </is>
      </c>
      <c r="O20" s="2" t="inlineStr">
        <is>
          <t>СТАНДАРТНЫЙ ОДНОМЕСТНЫЙ НОМЕР</t>
        </is>
      </c>
      <c r="P20" s="6" t="n"/>
      <c r="R20" t="inlineStr"/>
      <c r="S20" t="inlineStr">
        <is>
          <t>Тариф с завтраком</t>
        </is>
      </c>
      <c r="T20" t="n">
        <v>0</v>
      </c>
      <c r="U20" t="n">
        <v>6545</v>
      </c>
    </row>
    <row r="21">
      <c r="A21" t="inlineStr">
        <is>
          <t>20260904-8186-462864579</t>
        </is>
      </c>
      <c r="B21" t="n">
        <v>1</v>
      </c>
      <c r="C21" s="2" t="inlineStr">
        <is>
          <t>IRENE PREDIGER, EUGEN PREDIGER</t>
        </is>
      </c>
      <c r="D21" s="3" t="n">
        <v>30800</v>
      </c>
      <c r="E21" s="4" t="n">
        <v>0</v>
      </c>
      <c r="F21" t="inlineStr">
        <is>
          <t>Прямые бронирования (стойка) [Чайковский]</t>
        </is>
      </c>
      <c r="G21" s="3">
        <f>ROUND(D21/(100-E21)*100,2)</f>
        <v/>
      </c>
      <c r="H21" s="5" t="n">
        <v>46269.58333333334</v>
      </c>
      <c r="I21" t="n">
        <v>2</v>
      </c>
      <c r="J21" s="3">
        <f>G21/I21</f>
        <v/>
      </c>
      <c r="K21">
        <f>IF(J21&gt;=5100,"ставка","мин.ставка")</f>
        <v/>
      </c>
      <c r="L21" s="3">
        <f>ROUND(IF(K21="мин.ставка",I21*100,G21/102*2),2)</f>
        <v/>
      </c>
      <c r="M21" s="5" t="n">
        <v>46271.5</v>
      </c>
      <c r="N21" t="inlineStr">
        <is>
          <t>TravelLine ресепшн</t>
        </is>
      </c>
      <c r="O21" s="2" t="inlineStr">
        <is>
          <t>УЛУЧШЕННЫЙ ДВУХМЕСТНЫЙ НОМЕР</t>
        </is>
      </c>
      <c r="P21" s="6" t="n"/>
      <c r="R21" t="inlineStr"/>
      <c r="S21" t="inlineStr">
        <is>
          <t>Тариф с завтраком</t>
        </is>
      </c>
      <c r="T21" t="n">
        <v>0</v>
      </c>
      <c r="U21" t="n">
        <v>30800</v>
      </c>
    </row>
    <row r="22">
      <c r="A22" t="inlineStr">
        <is>
          <t>20260922-8186-467631558</t>
        </is>
      </c>
      <c r="B22" t="n">
        <v>1</v>
      </c>
      <c r="C22" s="2" t="inlineStr">
        <is>
          <t>IRYNA KOZLOVA</t>
        </is>
      </c>
      <c r="D22" s="3" t="n">
        <v>10215</v>
      </c>
      <c r="E22" s="4" t="n">
        <v>0</v>
      </c>
      <c r="F22" t="inlineStr">
        <is>
          <t>Прямые бронирования (стойка) [Чайковский]</t>
        </is>
      </c>
      <c r="G22" s="3">
        <f>ROUND(D22/(100-E22)*100,2)</f>
        <v/>
      </c>
      <c r="H22" s="5" t="n">
        <v>46287.58333333334</v>
      </c>
      <c r="I22" t="n">
        <v>1</v>
      </c>
      <c r="J22" s="3">
        <f>G22/I22</f>
        <v/>
      </c>
      <c r="K22">
        <f>IF(J22&gt;=5100,"ставка","мин.ставка")</f>
        <v/>
      </c>
      <c r="L22" s="3">
        <f>ROUND(IF(K22="мин.ставка",I22*100,G22/102*2),2)</f>
        <v/>
      </c>
      <c r="M22" s="5" t="n">
        <v>46288.5</v>
      </c>
      <c r="N22" t="inlineStr">
        <is>
          <t>TravelLine ресепшн</t>
        </is>
      </c>
      <c r="O22" s="2" t="inlineStr">
        <is>
          <t>СТАНДАРТНЫЙ ДВУХМЕСТНЫЙ НОМЕР</t>
        </is>
      </c>
      <c r="P22" s="6" t="n"/>
      <c r="R22" t="inlineStr"/>
      <c r="S22" t="inlineStr">
        <is>
          <t>Тариф с завтраком</t>
        </is>
      </c>
      <c r="T22" t="n">
        <v>0</v>
      </c>
      <c r="U22" t="n">
        <v>10215</v>
      </c>
    </row>
    <row r="23">
      <c r="A23" t="inlineStr">
        <is>
          <t>20260917-8186-463133098</t>
        </is>
      </c>
      <c r="B23" t="n">
        <v>1</v>
      </c>
      <c r="C23" s="2" t="inlineStr">
        <is>
          <t>IRYNA KOZLOVA, MARYIA PECHKUROVA</t>
        </is>
      </c>
      <c r="D23" s="3" t="n">
        <v>47670</v>
      </c>
      <c r="E23" s="4" t="n">
        <v>16</v>
      </c>
      <c r="F23" t="inlineStr">
        <is>
          <t>ООО "БРОНИРОВАНИЕ ГОСТИНИЦ" (OSTROVOK) [Чайковский]</t>
        </is>
      </c>
      <c r="G23" s="3">
        <f>ROUND(D23/(100-E23)*100,2)</f>
        <v/>
      </c>
      <c r="H23" s="5" t="n">
        <v>46282.58333333334</v>
      </c>
      <c r="I23" t="n">
        <v>5</v>
      </c>
      <c r="J23" s="3">
        <f>G23/I23</f>
        <v/>
      </c>
      <c r="K23">
        <f>IF(J23&gt;=5100,"ставка","мин.ставка")</f>
        <v/>
      </c>
      <c r="L23" s="3">
        <f>ROUND(IF(K23="мин.ставка",I23*100,G23/102*2),2)</f>
        <v/>
      </c>
      <c r="M23" s="5" t="n">
        <v>46287.5</v>
      </c>
      <c r="N23" t="inlineStr">
        <is>
          <t>TravelLine OTK</t>
        </is>
      </c>
      <c r="O23" s="2" t="inlineStr">
        <is>
          <t>СТАНДАРТНЫЙ ДВУХМЕСТНЫЙ НОМЕР</t>
        </is>
      </c>
      <c r="P23" s="6" t="n"/>
      <c r="R23" t="inlineStr"/>
      <c r="S23" t="inlineStr">
        <is>
          <t>Тариф с завтраком</t>
        </is>
      </c>
      <c r="T23" t="n">
        <v>8000</v>
      </c>
      <c r="U23" t="n">
        <v>55670</v>
      </c>
    </row>
    <row r="24">
      <c r="A24" t="inlineStr">
        <is>
          <t>20260905-8186-463904028</t>
        </is>
      </c>
      <c r="B24" t="n">
        <v>1</v>
      </c>
      <c r="C24" s="2" t="inlineStr">
        <is>
          <t>JACOBUS SCHONEVELD, WIKANDA SCHONEVELD</t>
        </is>
      </c>
      <c r="D24" s="3" t="n">
        <v>32040</v>
      </c>
      <c r="E24" s="4" t="n">
        <v>0</v>
      </c>
      <c r="F24" t="inlineStr">
        <is>
          <t>Прямые бронирования (стойка) [Чайковский]</t>
        </is>
      </c>
      <c r="G24" s="3">
        <f>ROUND(D24/(100-E24)*100,2)</f>
        <v/>
      </c>
      <c r="H24" s="5" t="n">
        <v>46270.58333333334</v>
      </c>
      <c r="I24" t="n">
        <v>2</v>
      </c>
      <c r="J24" s="3">
        <f>G24/I24</f>
        <v/>
      </c>
      <c r="K24">
        <f>IF(J24&gt;=5100,"ставка","мин.ставка")</f>
        <v/>
      </c>
      <c r="L24" s="3">
        <f>ROUND(IF(K24="мин.ставка",I24*100,G24/102*2),2)</f>
        <v/>
      </c>
      <c r="M24" s="5" t="n">
        <v>46272.5</v>
      </c>
      <c r="N24" t="inlineStr">
        <is>
          <t>TravelLine ресепшн</t>
        </is>
      </c>
      <c r="O24" s="2" t="inlineStr">
        <is>
          <t>ЛЮКС ВТОРОЙ КОРПУС</t>
        </is>
      </c>
      <c r="P24" s="6" t="n"/>
      <c r="R24" t="inlineStr"/>
      <c r="S24" t="inlineStr">
        <is>
          <t>Тариф с завтраком</t>
        </is>
      </c>
      <c r="T24" t="n">
        <v>0</v>
      </c>
      <c r="U24" t="n">
        <v>32040</v>
      </c>
    </row>
    <row r="25">
      <c r="A25" t="inlineStr">
        <is>
          <t>20260706-8186-438572019</t>
        </is>
      </c>
      <c r="B25" t="n">
        <v>1</v>
      </c>
      <c r="C25" s="2" t="inlineStr">
        <is>
          <t>KANTEERA CHAINUAL, Евгений Ханнанов</t>
        </is>
      </c>
      <c r="D25" s="3" t="n">
        <v>30322.6</v>
      </c>
      <c r="E25" s="4" t="n">
        <v>4</v>
      </c>
      <c r="F25" t="inlineStr">
        <is>
          <t>TravelLine Booking Engine [Чайковский]</t>
        </is>
      </c>
      <c r="G25" s="3">
        <f>ROUND(D25/(100-E25)*100,2)</f>
        <v/>
      </c>
      <c r="H25" s="5" t="n">
        <v>46209.58333333334</v>
      </c>
      <c r="I25" t="n">
        <v>2</v>
      </c>
      <c r="J25" s="3">
        <f>G25/I25</f>
        <v/>
      </c>
      <c r="K25">
        <f>IF(J25&gt;=5100,"ставка","мин.ставка")</f>
        <v/>
      </c>
      <c r="L25" s="3">
        <f>ROUND(IF(K25="мин.ставка",I25*100,G25/102*2),2)</f>
        <v/>
      </c>
      <c r="M25" s="5" t="n">
        <v>46211.5</v>
      </c>
      <c r="N25" t="inlineStr">
        <is>
          <t>TravelLine сайт</t>
        </is>
      </c>
      <c r="O25" s="2" t="inlineStr">
        <is>
          <t>УЛУЧШЕННЫЙ ДВУХМЕСТНЫЙ НОМЕР</t>
        </is>
      </c>
      <c r="P25" s="6" t="n"/>
      <c r="R25" t="inlineStr"/>
      <c r="S25" t="inlineStr">
        <is>
          <t>Тариф с завтраком</t>
        </is>
      </c>
      <c r="T25" t="n">
        <v>0</v>
      </c>
      <c r="U25" t="n">
        <v>30322.6</v>
      </c>
    </row>
    <row r="26">
      <c r="A26" t="inlineStr">
        <is>
          <t>20260731-8186-454688935</t>
        </is>
      </c>
      <c r="B26" t="n">
        <v>1</v>
      </c>
      <c r="C26" s="2" t="inlineStr">
        <is>
          <t>Kayoko Meguro, Jun Meguro</t>
        </is>
      </c>
      <c r="D26" s="3" t="n">
        <v>43350</v>
      </c>
      <c r="E26" s="4" t="n">
        <v>0</v>
      </c>
      <c r="F26" t="inlineStr">
        <is>
          <t>Прямые бронирования (стойка) [Чайковский]</t>
        </is>
      </c>
      <c r="G26" s="3">
        <f>ROUND(D26/(100-E26)*100,2)</f>
        <v/>
      </c>
      <c r="H26" s="5" t="n">
        <v>46234.58333333334</v>
      </c>
      <c r="I26" t="n">
        <v>3</v>
      </c>
      <c r="J26" s="3">
        <f>G26/I26</f>
        <v/>
      </c>
      <c r="K26">
        <f>IF(J26&gt;=5100,"ставка","мин.ставка")</f>
        <v/>
      </c>
      <c r="L26" s="3">
        <f>ROUND(IF(K26="мин.ставка",I26*100,G26/102*2),2)</f>
        <v/>
      </c>
      <c r="M26" s="5" t="n">
        <v>46237.5</v>
      </c>
      <c r="N26" t="inlineStr">
        <is>
          <t>TravelLine ресепшн</t>
        </is>
      </c>
      <c r="O26" s="2" t="inlineStr">
        <is>
          <t>СЕМЕЙНЫЙ НОМЕР КАТЕГОРИИ "СТАНДАРТ" ВТОРОЙ КОРПУС</t>
        </is>
      </c>
      <c r="P26" s="6" t="n"/>
      <c r="R26" t="inlineStr"/>
      <c r="S26" t="inlineStr">
        <is>
          <t>Тариф с завтраком</t>
        </is>
      </c>
      <c r="T26" t="n">
        <v>0</v>
      </c>
      <c r="U26" t="n">
        <v>43350</v>
      </c>
    </row>
    <row r="27">
      <c r="A27" t="inlineStr">
        <is>
          <t>20260904-8186-462864511</t>
        </is>
      </c>
      <c r="B27" t="n">
        <v>1</v>
      </c>
      <c r="C27" s="2" t="inlineStr">
        <is>
          <t>LARISSA PAVLENKO, ANDREJ SCHULEPOW</t>
        </is>
      </c>
      <c r="D27" s="3" t="n">
        <v>26700</v>
      </c>
      <c r="E27" s="4" t="n">
        <v>0</v>
      </c>
      <c r="F27" t="inlineStr">
        <is>
          <t>Прямые бронирования (стойка) [Чайковский]</t>
        </is>
      </c>
      <c r="G27" s="3">
        <f>ROUND(D27/(100-E27)*100,2)</f>
        <v/>
      </c>
      <c r="H27" s="5" t="n">
        <v>46269.58333333334</v>
      </c>
      <c r="I27" t="n">
        <v>2</v>
      </c>
      <c r="J27" s="3">
        <f>G27/I27</f>
        <v/>
      </c>
      <c r="K27">
        <f>IF(J27&gt;=5100,"ставка","мин.ставка")</f>
        <v/>
      </c>
      <c r="L27" s="3">
        <f>ROUND(IF(K27="мин.ставка",I27*100,G27/102*2),2)</f>
        <v/>
      </c>
      <c r="M27" s="5" t="n">
        <v>46271.5</v>
      </c>
      <c r="N27" t="inlineStr">
        <is>
          <t>TravelLine ресепшн</t>
        </is>
      </c>
      <c r="O27" s="2" t="inlineStr">
        <is>
          <t>СТАНДАРТНЫЙ ДВУХМЕСТНЫЙ НОМЕР</t>
        </is>
      </c>
      <c r="P27" s="6" t="n"/>
      <c r="R27" t="inlineStr"/>
      <c r="S27" t="inlineStr">
        <is>
          <t>Тариф с завтраком</t>
        </is>
      </c>
      <c r="T27" t="n">
        <v>0</v>
      </c>
      <c r="U27" t="n">
        <v>26700</v>
      </c>
    </row>
    <row r="28">
      <c r="A28" t="inlineStr">
        <is>
          <t>20260708-8186-448570692</t>
        </is>
      </c>
      <c r="B28" t="n">
        <v>1</v>
      </c>
      <c r="C28" s="2" t="inlineStr">
        <is>
          <t>Lian Li</t>
        </is>
      </c>
      <c r="D28" s="3" t="n">
        <v>28560</v>
      </c>
      <c r="E28" s="4" t="n">
        <v>18</v>
      </c>
      <c r="F28" t="inlineStr">
        <is>
          <t>Яндекс.Путешествия [Чайковский]</t>
        </is>
      </c>
      <c r="G28" s="3">
        <f>ROUND(D28/(100-E28)*100,2)</f>
        <v/>
      </c>
      <c r="H28" s="5" t="n">
        <v>46211.58333333334</v>
      </c>
      <c r="I28" t="n">
        <v>3</v>
      </c>
      <c r="J28" s="3">
        <f>G28/I28</f>
        <v/>
      </c>
      <c r="K28">
        <f>IF(J28&gt;=5100,"ставка","мин.ставка")</f>
        <v/>
      </c>
      <c r="L28" s="3">
        <f>ROUND(IF(K28="мин.ставка",I28*100,G28/102*2),2)</f>
        <v/>
      </c>
      <c r="M28" s="5" t="n">
        <v>46214.5</v>
      </c>
      <c r="N28" t="inlineStr">
        <is>
          <t>TravelLine YAX</t>
        </is>
      </c>
      <c r="O28" s="2" t="inlineStr">
        <is>
          <t>УЛУЧШЕННЫЙ ДВУХМЕСТНЫЙ НОМЕР</t>
        </is>
      </c>
      <c r="P28" s="6" t="n"/>
      <c r="R28" t="inlineStr"/>
      <c r="S28" t="inlineStr">
        <is>
          <t>Основной тариф без завтрака</t>
        </is>
      </c>
      <c r="T28" t="n">
        <v>0</v>
      </c>
      <c r="U28" t="n">
        <v>28560</v>
      </c>
    </row>
    <row r="29">
      <c r="A29" t="inlineStr">
        <is>
          <t>20260727-8186-453517212</t>
        </is>
      </c>
      <c r="B29" t="n">
        <v>1</v>
      </c>
      <c r="C29" s="2" t="inlineStr">
        <is>
          <t>LIYA VINOGRADOVA</t>
        </is>
      </c>
      <c r="D29" s="3" t="n">
        <v>8900</v>
      </c>
      <c r="E29" s="4" t="n">
        <v>0</v>
      </c>
      <c r="F29" t="inlineStr">
        <is>
          <t>Прямые бронирования (стойка) [Чайковский]</t>
        </is>
      </c>
      <c r="G29" s="3">
        <f>ROUND(D29/(100-E29)*100,2)</f>
        <v/>
      </c>
      <c r="H29" s="5" t="n">
        <v>46230.58333333334</v>
      </c>
      <c r="I29" t="n">
        <v>1</v>
      </c>
      <c r="J29" s="3">
        <f>G29/I29</f>
        <v/>
      </c>
      <c r="K29">
        <f>IF(J29&gt;=5100,"ставка","мин.ставка")</f>
        <v/>
      </c>
      <c r="L29" s="3">
        <f>ROUND(IF(K29="мин.ставка",I29*100,G29/102*2),2)</f>
        <v/>
      </c>
      <c r="M29" s="5" t="n">
        <v>46231.5</v>
      </c>
      <c r="N29" t="inlineStr">
        <is>
          <t>TravelLine ресепшн</t>
        </is>
      </c>
      <c r="O29" s="2" t="inlineStr">
        <is>
          <t>СТАНДАРТНЫЙ ДВУХМЕСТНЫЙ НОМЕР</t>
        </is>
      </c>
      <c r="P29" s="6" t="n"/>
      <c r="R29" t="inlineStr"/>
      <c r="S29" t="inlineStr">
        <is>
          <t>Тариф с завтраком</t>
        </is>
      </c>
      <c r="T29" t="n">
        <v>0</v>
      </c>
      <c r="U29" t="n">
        <v>8900</v>
      </c>
    </row>
    <row r="30">
      <c r="A30" t="inlineStr">
        <is>
          <t>20260726-8186-453460339</t>
        </is>
      </c>
      <c r="B30" t="n">
        <v>1</v>
      </c>
      <c r="C30" s="2" t="inlineStr">
        <is>
          <t>LIYA VINOGRADOVA</t>
        </is>
      </c>
      <c r="D30" s="3" t="n">
        <v>8900</v>
      </c>
      <c r="E30" s="4" t="n">
        <v>0</v>
      </c>
      <c r="F30" t="inlineStr">
        <is>
          <t>Прямые бронирования (стойка) [Чайковский]</t>
        </is>
      </c>
      <c r="G30" s="3">
        <f>ROUND(D30/(100-E30)*100,2)</f>
        <v/>
      </c>
      <c r="H30" s="5" t="n">
        <v>46229.58333333334</v>
      </c>
      <c r="I30" t="n">
        <v>1</v>
      </c>
      <c r="J30" s="3">
        <f>G30/I30</f>
        <v/>
      </c>
      <c r="K30">
        <f>IF(J30&gt;=5100,"ставка","мин.ставка")</f>
        <v/>
      </c>
      <c r="L30" s="3">
        <f>ROUND(IF(K30="мин.ставка",I30*100,G30/102*2),2)</f>
        <v/>
      </c>
      <c r="M30" s="5" t="n">
        <v>46230.5</v>
      </c>
      <c r="N30" t="inlineStr">
        <is>
          <t>TravelLine ресепшн</t>
        </is>
      </c>
      <c r="O30" s="2" t="inlineStr">
        <is>
          <t>СТАНДАРТНЫЙ ДВУХМЕСТНЫЙ НОМЕР</t>
        </is>
      </c>
      <c r="P30" s="6" t="n"/>
      <c r="R30" t="inlineStr"/>
      <c r="S30" t="inlineStr">
        <is>
          <t>Тариф с завтраком</t>
        </is>
      </c>
      <c r="T30" t="n">
        <v>0</v>
      </c>
      <c r="U30" t="n">
        <v>8900</v>
      </c>
    </row>
    <row r="31">
      <c r="A31" t="inlineStr">
        <is>
          <t>20260715-8186-415978195</t>
        </is>
      </c>
      <c r="B31" t="n">
        <v>1</v>
      </c>
      <c r="C31" s="2" t="inlineStr">
        <is>
          <t>Manfred Kemmer, Алла Мальгина</t>
        </is>
      </c>
      <c r="D31" s="3" t="n">
        <v>45390</v>
      </c>
      <c r="E31" s="4" t="n">
        <v>15</v>
      </c>
      <c r="F31" t="inlineStr">
        <is>
          <t>ООО "БРОНИРОВАНИЕ ГОСТИНИЦ" (OSTROVOK) [Чайковский]</t>
        </is>
      </c>
      <c r="G31" s="3">
        <f>ROUND(D31/(100-E31)*100,2)</f>
        <v/>
      </c>
      <c r="H31" s="5" t="n">
        <v>46218.58333333334</v>
      </c>
      <c r="I31" t="n">
        <v>4</v>
      </c>
      <c r="J31" s="3">
        <f>G31/I31</f>
        <v/>
      </c>
      <c r="K31">
        <f>IF(J31&gt;=5100,"ставка","мин.ставка")</f>
        <v/>
      </c>
      <c r="L31" s="3">
        <f>ROUND(IF(K31="мин.ставка",I31*100,G31/102*2),2)</f>
        <v/>
      </c>
      <c r="M31" s="5" t="n">
        <v>46222.5</v>
      </c>
      <c r="N31" t="inlineStr">
        <is>
          <t>TravelLine OTK</t>
        </is>
      </c>
      <c r="O31" s="2" t="inlineStr">
        <is>
          <t>СТАНДАРТНЫЙ ДВУХМЕСТНЫЙ НОМЕР</t>
        </is>
      </c>
      <c r="P31" s="6" t="n"/>
      <c r="R31" t="inlineStr"/>
      <c r="S31" t="inlineStr">
        <is>
          <t>Тариф с завтраком</t>
        </is>
      </c>
      <c r="T31" t="n">
        <v>0</v>
      </c>
      <c r="U31" t="n">
        <v>45390</v>
      </c>
    </row>
    <row r="32">
      <c r="A32" t="inlineStr">
        <is>
          <t>20260712-8186-449646004</t>
        </is>
      </c>
      <c r="B32" t="n">
        <v>1</v>
      </c>
      <c r="C32" s="2" t="inlineStr">
        <is>
          <t>ozon сухоруков штраф</t>
        </is>
      </c>
      <c r="D32" s="3" t="n">
        <v>11371</v>
      </c>
      <c r="E32" s="4" t="n">
        <v>0</v>
      </c>
      <c r="F32" t="inlineStr">
        <is>
          <t>Прямые бронирования (стойка) [Чайковский]</t>
        </is>
      </c>
      <c r="G32" s="3">
        <f>ROUND(D32/(100-E32)*100,2)</f>
        <v/>
      </c>
      <c r="H32" s="5" t="n">
        <v>46215.58333333334</v>
      </c>
      <c r="I32" t="n">
        <v>1</v>
      </c>
      <c r="J32" s="3">
        <f>G32/I32</f>
        <v/>
      </c>
      <c r="K32">
        <f>IF(J32&gt;=5100,"ставка","мин.ставка")</f>
        <v/>
      </c>
      <c r="L32" s="3">
        <f>ROUND(IF(K32="мин.ставка",I32*100,G32/102*2),2)</f>
        <v/>
      </c>
      <c r="M32" s="5" t="n">
        <v>46216.5</v>
      </c>
      <c r="N32" t="inlineStr">
        <is>
          <t>TravelLine ресепшн</t>
        </is>
      </c>
      <c r="O32" s="2" t="inlineStr">
        <is>
          <t>СЕМЕЙНЫЙ НОМЕР КАТЕГОРИИ "СТАНДАРТ" ВТОРОЙ КОРПУС</t>
        </is>
      </c>
      <c r="P32" s="6" t="n"/>
      <c r="R32" t="inlineStr"/>
      <c r="S32" t="inlineStr">
        <is>
          <t>Тариф с завтраком</t>
        </is>
      </c>
      <c r="T32" t="n">
        <v>0</v>
      </c>
      <c r="U32" t="n">
        <v>11371</v>
      </c>
    </row>
    <row r="33">
      <c r="A33" t="inlineStr">
        <is>
          <t>20260908-8186-463674253</t>
        </is>
      </c>
      <c r="B33" t="n">
        <v>1</v>
      </c>
      <c r="C33" s="2" t="inlineStr">
        <is>
          <t>Piotr ANATOL Wilk</t>
        </is>
      </c>
      <c r="D33" s="3" t="n">
        <v>15800</v>
      </c>
      <c r="E33" s="4" t="n">
        <v>0</v>
      </c>
      <c r="F33" t="inlineStr">
        <is>
          <t>Прямые бронирования (стойка) [Чайковский]</t>
        </is>
      </c>
      <c r="G33" s="3">
        <f>ROUND(D33/(100-E33)*100,2)</f>
        <v/>
      </c>
      <c r="H33" s="5" t="n">
        <v>46273.58333333334</v>
      </c>
      <c r="I33" t="n">
        <v>2</v>
      </c>
      <c r="J33" s="3">
        <f>G33/I33</f>
        <v/>
      </c>
      <c r="K33">
        <f>IF(J33&gt;=5100,"ставка","мин.ставка")</f>
        <v/>
      </c>
      <c r="L33" s="3">
        <f>ROUND(IF(K33="мин.ставка",I33*100,G33/102*2),2)</f>
        <v/>
      </c>
      <c r="M33" s="5" t="n">
        <v>46275.5</v>
      </c>
      <c r="N33" t="inlineStr">
        <is>
          <t>TravelLine ресепшн</t>
        </is>
      </c>
      <c r="O33" s="2" t="inlineStr">
        <is>
          <t>СТАНДАРТНЫЙ ДВУХМЕСТНЫЙ НОМЕР (МАНСАРДА)</t>
        </is>
      </c>
      <c r="P33" s="6" t="n"/>
      <c r="R33" t="inlineStr"/>
      <c r="S33" t="inlineStr">
        <is>
          <t>Тариф с завтраком</t>
        </is>
      </c>
      <c r="T33" t="n">
        <v>0</v>
      </c>
      <c r="U33" t="n">
        <v>15800</v>
      </c>
    </row>
    <row r="34">
      <c r="A34" t="inlineStr">
        <is>
          <t>20260716-8186-450486693</t>
        </is>
      </c>
      <c r="B34" t="n">
        <v>1</v>
      </c>
      <c r="C34" s="2" t="inlineStr">
        <is>
          <t>SERGEI SALTYKOV</t>
        </is>
      </c>
      <c r="D34" s="3" t="n">
        <v>9080</v>
      </c>
      <c r="E34" s="4" t="n">
        <v>20</v>
      </c>
      <c r="F34" t="inlineStr">
        <is>
          <t>ООО "ХБ-ПРО" [Чайковский]</t>
        </is>
      </c>
      <c r="G34" s="3">
        <f>ROUND(D34/(100-E34)*100,2)</f>
        <v/>
      </c>
      <c r="H34" s="5" t="n">
        <v>46219.58333333334</v>
      </c>
      <c r="I34" t="n">
        <v>1</v>
      </c>
      <c r="J34" s="3">
        <f>G34/I34</f>
        <v/>
      </c>
      <c r="K34">
        <f>IF(J34&gt;=5100,"ставка","мин.ставка")</f>
        <v/>
      </c>
      <c r="L34" s="3">
        <f>ROUND(IF(K34="мин.ставка",I34*100,G34/102*2),2)</f>
        <v/>
      </c>
      <c r="M34" s="5" t="n">
        <v>46220.5</v>
      </c>
      <c r="N34" t="inlineStr">
        <is>
          <t>TravelLine UTS</t>
        </is>
      </c>
      <c r="O34" s="2" t="inlineStr">
        <is>
          <t>СТАНДАРТНЫЙ ДВУХМЕСТНЫЙ НОМЕР</t>
        </is>
      </c>
      <c r="P34" s="6" t="n"/>
      <c r="R34" t="inlineStr"/>
      <c r="S34" t="inlineStr">
        <is>
          <t>Тариф с завтраком</t>
        </is>
      </c>
      <c r="T34" t="n">
        <v>0</v>
      </c>
      <c r="U34" t="n">
        <v>9080</v>
      </c>
    </row>
    <row r="35">
      <c r="A35" t="inlineStr">
        <is>
          <t>20260823-8186-408908207</t>
        </is>
      </c>
      <c r="B35" t="n">
        <v>1</v>
      </c>
      <c r="C35" s="2" t="inlineStr">
        <is>
          <t>SIARHEI HRECHKA</t>
        </is>
      </c>
      <c r="D35" s="3" t="n">
        <v>7110</v>
      </c>
      <c r="E35" s="4" t="n">
        <v>0</v>
      </c>
      <c r="F35" t="inlineStr">
        <is>
          <t>Прямые бронирования (стойка) [Чайковский]</t>
        </is>
      </c>
      <c r="G35" s="3">
        <f>ROUND(D35/(100-E35)*100,2)</f>
        <v/>
      </c>
      <c r="H35" s="5" t="n">
        <v>46257.58333333334</v>
      </c>
      <c r="I35" t="n">
        <v>1</v>
      </c>
      <c r="J35" s="3">
        <f>G35/I35</f>
        <v/>
      </c>
      <c r="K35">
        <f>IF(J35&gt;=5100,"ставка","мин.ставка")</f>
        <v/>
      </c>
      <c r="L35" s="3">
        <f>ROUND(IF(K35="мин.ставка",I35*100,G35/102*2),2)</f>
        <v/>
      </c>
      <c r="M35" s="5" t="n">
        <v>46258.58333333334</v>
      </c>
      <c r="N35" t="inlineStr">
        <is>
          <t>TravelLine ресепшн</t>
        </is>
      </c>
      <c r="O35" s="2" t="inlineStr">
        <is>
          <t>СТАНДАРТНЫЙ ДВУХМЕСТНЫЙ НОМЕР (МАНСАРДА)</t>
        </is>
      </c>
      <c r="P35" s="6" t="n"/>
      <c r="R35" t="inlineStr"/>
      <c r="S35" t="inlineStr">
        <is>
          <t>Тариф с завтраком</t>
        </is>
      </c>
      <c r="T35" t="n">
        <v>0</v>
      </c>
      <c r="U35" t="n">
        <v>28440</v>
      </c>
    </row>
    <row r="36">
      <c r="A36" t="inlineStr">
        <is>
          <t>20260823-8186-408908207</t>
        </is>
      </c>
      <c r="B36" t="n">
        <v>1</v>
      </c>
      <c r="C36" s="2" t="inlineStr">
        <is>
          <t>SIARHEI HRECHKA</t>
        </is>
      </c>
      <c r="D36" s="3" t="n">
        <v>21330</v>
      </c>
      <c r="E36" s="4" t="n">
        <v>0</v>
      </c>
      <c r="F36" t="inlineStr">
        <is>
          <t>Прямые бронирования (стойка) [Чайковский]</t>
        </is>
      </c>
      <c r="G36" s="3">
        <f>ROUND(D36/(100-E36)*100,2)</f>
        <v/>
      </c>
      <c r="H36" s="5" t="n">
        <v>46258.58333333334</v>
      </c>
      <c r="I36" t="n">
        <v>3</v>
      </c>
      <c r="J36" s="3">
        <f>G36/I36</f>
        <v/>
      </c>
      <c r="K36">
        <f>IF(J36&gt;=5100,"ставка","мин.ставка")</f>
        <v/>
      </c>
      <c r="L36" s="3">
        <f>ROUND(IF(K36="мин.ставка",I36*100,G36/102*2),2)</f>
        <v/>
      </c>
      <c r="M36" s="5" t="n">
        <v>46261.5</v>
      </c>
      <c r="N36" t="inlineStr">
        <is>
          <t>TravelLine ресепшн</t>
        </is>
      </c>
      <c r="O36" s="2" t="inlineStr">
        <is>
          <t>УЛУЧШЕННЫЙ ДВУХМЕСТНЫЙ НОМЕР</t>
        </is>
      </c>
      <c r="P36" s="6" t="n"/>
      <c r="R36" t="inlineStr"/>
      <c r="S36" t="inlineStr">
        <is>
          <t>Тариф с завтраком</t>
        </is>
      </c>
      <c r="T36" t="n">
        <v>0</v>
      </c>
      <c r="U36" t="n">
        <v>28440</v>
      </c>
    </row>
    <row r="37">
      <c r="A37" t="inlineStr">
        <is>
          <t>20260720-8186-450480260</t>
        </is>
      </c>
      <c r="B37" t="n">
        <v>1</v>
      </c>
      <c r="C37" s="2" t="inlineStr">
        <is>
          <t>TELMAN MUSAYEV</t>
        </is>
      </c>
      <c r="D37" s="3" t="n">
        <v>22700</v>
      </c>
      <c r="E37" s="4" t="n">
        <v>0</v>
      </c>
      <c r="F37" t="inlineStr">
        <is>
          <t>Прямые бронирования (стойка) [Чайковский]</t>
        </is>
      </c>
      <c r="G37" s="3">
        <f>ROUND(D37/(100-E37)*100,2)</f>
        <v/>
      </c>
      <c r="H37" s="5" t="n">
        <v>46223.58333333334</v>
      </c>
      <c r="I37" t="n">
        <v>2</v>
      </c>
      <c r="J37" s="3">
        <f>G37/I37</f>
        <v/>
      </c>
      <c r="K37">
        <f>IF(J37&gt;=5100,"ставка","мин.ставка")</f>
        <v/>
      </c>
      <c r="L37" s="3">
        <f>ROUND(IF(K37="мин.ставка",I37*100,G37/102*2),2)</f>
        <v/>
      </c>
      <c r="M37" s="5" t="n">
        <v>46225.5</v>
      </c>
      <c r="N37" t="inlineStr">
        <is>
          <t>TravelLine ресепшн</t>
        </is>
      </c>
      <c r="O37" s="2" t="inlineStr">
        <is>
          <t>СТАНДАРТНЫЙ ДВУХМЕСТНЫЙ НОМЕР</t>
        </is>
      </c>
      <c r="P37" s="6" t="n"/>
      <c r="R37" t="inlineStr"/>
      <c r="S37" t="inlineStr">
        <is>
          <t>Тариф с завтраком</t>
        </is>
      </c>
      <c r="T37" t="n">
        <v>0</v>
      </c>
      <c r="U37" t="n">
        <v>22700</v>
      </c>
    </row>
    <row r="38">
      <c r="A38" t="inlineStr">
        <is>
          <t>20260920-8186-464587353</t>
        </is>
      </c>
      <c r="B38" t="n">
        <v>1</v>
      </c>
      <c r="C38" s="2" t="inlineStr">
        <is>
          <t>TOMASZ MIKOS</t>
        </is>
      </c>
      <c r="D38" s="3" t="n">
        <v>12325</v>
      </c>
      <c r="E38" s="4" t="n">
        <v>15</v>
      </c>
      <c r="F38" t="inlineStr">
        <is>
          <t>ООО «СБО» (Ростелеком) [Чайковский]</t>
        </is>
      </c>
      <c r="G38" s="3">
        <f>ROUND(D38/(100-E38)*100,2)</f>
        <v/>
      </c>
      <c r="H38" s="5" t="n">
        <v>46285.58333333334</v>
      </c>
      <c r="I38" t="n">
        <v>1</v>
      </c>
      <c r="J38" s="3">
        <f>G38/I38</f>
        <v/>
      </c>
      <c r="K38">
        <f>IF(J38&gt;=5100,"ставка","мин.ставка")</f>
        <v/>
      </c>
      <c r="L38" s="3">
        <f>ROUND(IF(K38="мин.ставка",I38*100,G38/102*2),2)</f>
        <v/>
      </c>
      <c r="M38" s="5" t="n">
        <v>46286.5</v>
      </c>
      <c r="N38" t="inlineStr">
        <is>
          <t>TravelLine RTT</t>
        </is>
      </c>
      <c r="O38" s="2" t="inlineStr">
        <is>
          <t>ПОЛУЛЮКС</t>
        </is>
      </c>
      <c r="P38" s="6" t="n"/>
      <c r="R38" t="inlineStr"/>
      <c r="S38" t="inlineStr">
        <is>
          <t>Тариф с завтраком</t>
        </is>
      </c>
      <c r="T38" t="n">
        <v>0</v>
      </c>
      <c r="U38" t="n">
        <v>12325</v>
      </c>
    </row>
    <row r="39">
      <c r="A39" t="inlineStr">
        <is>
          <t>20260806-8186-448675183</t>
        </is>
      </c>
      <c r="B39" t="n">
        <v>1</v>
      </c>
      <c r="C39" s="2" t="inlineStr">
        <is>
          <t>TOMASZ PIOTR TROJAK</t>
        </is>
      </c>
      <c r="D39" s="3" t="n">
        <v>6160</v>
      </c>
      <c r="E39" s="4" t="n">
        <v>20</v>
      </c>
      <c r="F39" t="inlineStr">
        <is>
          <t>ООО "ХБ-ПРО" [Чайковский]</t>
        </is>
      </c>
      <c r="G39" s="3">
        <f>ROUND(D39/(100-E39)*100,2)</f>
        <v/>
      </c>
      <c r="H39" s="5" t="n">
        <v>46240.58333333334</v>
      </c>
      <c r="I39" t="n">
        <v>1</v>
      </c>
      <c r="J39" s="3">
        <f>G39/I39</f>
        <v/>
      </c>
      <c r="K39">
        <f>IF(J39&gt;=5100,"ставка","мин.ставка")</f>
        <v/>
      </c>
      <c r="L39" s="3">
        <f>ROUND(IF(K39="мин.ставка",I39*100,G39/102*2),2)</f>
        <v/>
      </c>
      <c r="M39" s="5" t="n">
        <v>46241.5</v>
      </c>
      <c r="N39" t="inlineStr">
        <is>
          <t>TravelLine UTS</t>
        </is>
      </c>
      <c r="O39" s="2" t="inlineStr">
        <is>
          <t>СТАНДАРТНЫЙ ОДНОМЕСТНЫЙ НОМЕР</t>
        </is>
      </c>
      <c r="P39" s="6" t="n"/>
      <c r="R39" t="inlineStr"/>
      <c r="S39" t="inlineStr">
        <is>
          <t>Тариф с завтраком</t>
        </is>
      </c>
      <c r="T39" t="n">
        <v>0</v>
      </c>
      <c r="U39" t="n">
        <v>6160</v>
      </c>
    </row>
    <row r="40">
      <c r="A40" t="inlineStr">
        <is>
          <t>20260704-8186-447653921</t>
        </is>
      </c>
      <c r="B40" t="n">
        <v>1</v>
      </c>
      <c r="C40" s="2" t="inlineStr">
        <is>
          <t>VADIM JOSAN, MARIANA JOSAN</t>
        </is>
      </c>
      <c r="D40" s="3" t="n">
        <v>10900</v>
      </c>
      <c r="E40" s="4" t="n">
        <v>0</v>
      </c>
      <c r="F40" t="inlineStr">
        <is>
          <t>Прямые бронирования (стойка) [Чайковский]</t>
        </is>
      </c>
      <c r="G40" s="3">
        <f>ROUND(D40/(100-E40)*100,2)</f>
        <v/>
      </c>
      <c r="H40" s="5" t="n">
        <v>46207.58333333334</v>
      </c>
      <c r="I40" t="n">
        <v>1</v>
      </c>
      <c r="J40" s="3">
        <f>G40/I40</f>
        <v/>
      </c>
      <c r="K40">
        <f>IF(J40&gt;=5100,"ставка","мин.ставка")</f>
        <v/>
      </c>
      <c r="L40" s="3">
        <f>ROUND(IF(K40="мин.ставка",I40*100,G40/102*2),2)</f>
        <v/>
      </c>
      <c r="M40" s="5" t="n">
        <v>46208.5</v>
      </c>
      <c r="N40" t="inlineStr">
        <is>
          <t>TravelLine ресепшн</t>
        </is>
      </c>
      <c r="O40" s="2" t="inlineStr">
        <is>
          <t>СЕМЕЙНЫЙ НОМЕР КАТЕГОРИИ "СТАНДАРТ" ВТОРОЙ КОРПУС</t>
        </is>
      </c>
      <c r="P40" s="6" t="n"/>
      <c r="R40" t="inlineStr"/>
      <c r="S40" t="inlineStr">
        <is>
          <t>Тариф с завтраком</t>
        </is>
      </c>
      <c r="T40" t="n">
        <v>5600</v>
      </c>
      <c r="U40" t="n">
        <v>16500</v>
      </c>
    </row>
    <row r="41">
      <c r="A41" t="inlineStr">
        <is>
          <t>20260906-8186-449903524</t>
        </is>
      </c>
      <c r="B41" t="n">
        <v>1</v>
      </c>
      <c r="C41" s="2" t="inlineStr">
        <is>
          <t>YUrij Borisenko, Nataliya Burtseva</t>
        </is>
      </c>
      <c r="D41" s="3" t="n">
        <v>22695</v>
      </c>
      <c r="E41" s="4" t="n">
        <v>16</v>
      </c>
      <c r="F41" t="inlineStr">
        <is>
          <t>ООО "БРОНИРОВАНИЕ ГОСТИНИЦ" (OSTROVOK) [Чайковский]</t>
        </is>
      </c>
      <c r="G41" s="3">
        <f>ROUND(D41/(100-E41)*100,2)</f>
        <v/>
      </c>
      <c r="H41" s="5" t="n">
        <v>46271.58333333334</v>
      </c>
      <c r="I41" t="n">
        <v>2</v>
      </c>
      <c r="J41" s="3">
        <f>G41/I41</f>
        <v/>
      </c>
      <c r="K41">
        <f>IF(J41&gt;=5100,"ставка","мин.ставка")</f>
        <v/>
      </c>
      <c r="L41" s="3">
        <f>ROUND(IF(K41="мин.ставка",I41*100,G41/102*2),2)</f>
        <v/>
      </c>
      <c r="M41" s="5" t="n">
        <v>46273.5</v>
      </c>
      <c r="N41" t="inlineStr">
        <is>
          <t>TravelLine OTK</t>
        </is>
      </c>
      <c r="O41" s="2" t="inlineStr">
        <is>
          <t>СТАНДАРТНЫЙ ДВУХМЕСТНЫЙ НОМЕР</t>
        </is>
      </c>
      <c r="P41" s="6" t="n"/>
      <c r="R41" t="inlineStr"/>
      <c r="S41" t="inlineStr">
        <is>
          <t>Тариф с завтраком</t>
        </is>
      </c>
      <c r="T41" t="n">
        <v>0</v>
      </c>
      <c r="U41" t="n">
        <v>22695</v>
      </c>
    </row>
    <row r="42">
      <c r="A42" t="inlineStr">
        <is>
          <t>20260703-8186-446990671</t>
        </is>
      </c>
      <c r="B42" t="n">
        <v>1</v>
      </c>
      <c r="C42" s="2" t="inlineStr">
        <is>
          <t>а Аня от ольги Агеевой</t>
        </is>
      </c>
      <c r="D42" s="3" t="n">
        <v>7000</v>
      </c>
      <c r="E42" s="4" t="n">
        <v>0</v>
      </c>
      <c r="F42" t="inlineStr">
        <is>
          <t>Прямые бронирования (стойка) [Чайковский]</t>
        </is>
      </c>
      <c r="G42" s="3">
        <f>ROUND(D42/(100-E42)*100,2)</f>
        <v/>
      </c>
      <c r="H42" s="5" t="n">
        <v>46206.58333333334</v>
      </c>
      <c r="I42" t="n">
        <v>1</v>
      </c>
      <c r="J42" s="3">
        <f>G42/I42</f>
        <v/>
      </c>
      <c r="K42">
        <f>IF(J42&gt;=5100,"ставка","мин.ставка")</f>
        <v/>
      </c>
      <c r="L42" s="3">
        <f>ROUND(IF(K42="мин.ставка",I42*100,G42/102*2),2)</f>
        <v/>
      </c>
      <c r="M42" s="5" t="n">
        <v>46207.5</v>
      </c>
      <c r="N42" t="inlineStr">
        <is>
          <t>TravelLine ресепшн</t>
        </is>
      </c>
      <c r="O42" s="2" t="inlineStr">
        <is>
          <t>ЛЮКС ВТОРОЙ КОРПУС</t>
        </is>
      </c>
      <c r="P42" s="6" t="n"/>
      <c r="R42" t="inlineStr"/>
      <c r="S42" t="inlineStr">
        <is>
          <t>Тариф с завтраком</t>
        </is>
      </c>
      <c r="T42" t="n">
        <v>0</v>
      </c>
      <c r="U42" t="n">
        <v>7000</v>
      </c>
    </row>
    <row r="43">
      <c r="A43" t="inlineStr">
        <is>
          <t>20260701-8186-429047315</t>
        </is>
      </c>
      <c r="B43" t="n">
        <v>1</v>
      </c>
      <c r="C43" s="2" t="inlineStr">
        <is>
          <t>Аделя Каримова</t>
        </is>
      </c>
      <c r="D43" s="3" t="n">
        <v>13149.75</v>
      </c>
      <c r="E43" s="4" t="n">
        <v>4</v>
      </c>
      <c r="F43" t="inlineStr">
        <is>
          <t>TravelLine Booking Engine [Чайковский]</t>
        </is>
      </c>
      <c r="G43" s="3">
        <f>ROUND(D43/(100-E43)*100,2)</f>
        <v/>
      </c>
      <c r="H43" s="5" t="n">
        <v>46204.58333333334</v>
      </c>
      <c r="I43" t="n">
        <v>1</v>
      </c>
      <c r="J43" s="3">
        <f>G43/I43</f>
        <v/>
      </c>
      <c r="K43">
        <f>IF(J43&gt;=5100,"ставка","мин.ставка")</f>
        <v/>
      </c>
      <c r="L43" s="3">
        <f>ROUND(IF(K43="мин.ставка",I43*100,G43/102*2),2)</f>
        <v/>
      </c>
      <c r="M43" s="5" t="n">
        <v>46205.5</v>
      </c>
      <c r="N43" t="inlineStr">
        <is>
          <t>TravelLine сайт</t>
        </is>
      </c>
      <c r="O43" s="2" t="inlineStr">
        <is>
          <t>СТАНДАРТНЫЙ ДВУХМЕСТНЫЙ НОМЕР</t>
        </is>
      </c>
      <c r="P43" s="6" t="n"/>
      <c r="R43" t="inlineStr"/>
      <c r="S43" t="inlineStr">
        <is>
          <t>Тариф с завтраком</t>
        </is>
      </c>
      <c r="T43" t="n">
        <v>0</v>
      </c>
      <c r="U43" t="n">
        <v>13149.75</v>
      </c>
    </row>
    <row r="44">
      <c r="A44" t="inlineStr">
        <is>
          <t>20260919-8186-463926515</t>
        </is>
      </c>
      <c r="B44" t="n">
        <v>1</v>
      </c>
      <c r="C44" s="2" t="inlineStr">
        <is>
          <t>Аида Щетинина, Валерия Сурич</t>
        </is>
      </c>
      <c r="D44" s="3" t="n">
        <v>39849.75</v>
      </c>
      <c r="E44" s="4" t="n">
        <v>4</v>
      </c>
      <c r="F44" t="inlineStr">
        <is>
          <t>TravelLine Booking Engine [Чайковский]</t>
        </is>
      </c>
      <c r="G44" s="3">
        <f>ROUND(D44/(100-E44)*100,2)</f>
        <v/>
      </c>
      <c r="H44" s="5" t="n">
        <v>46284.58333333334</v>
      </c>
      <c r="I44" t="n">
        <v>3</v>
      </c>
      <c r="J44" s="3">
        <f>G44/I44</f>
        <v/>
      </c>
      <c r="K44">
        <f>IF(J44&gt;=5100,"ставка","мин.ставка")</f>
        <v/>
      </c>
      <c r="L44" s="3">
        <f>ROUND(IF(K44="мин.ставка",I44*100,G44/102*2),2)</f>
        <v/>
      </c>
      <c r="M44" s="5" t="n">
        <v>46287.5</v>
      </c>
      <c r="N44" t="inlineStr">
        <is>
          <t>TravelLine сайт</t>
        </is>
      </c>
      <c r="O44" s="2" t="inlineStr">
        <is>
          <t>СТАНДАРТНЫЙ ДВУХМЕСТНЫЙ НОМЕР</t>
        </is>
      </c>
      <c r="P44" s="6" t="n"/>
      <c r="R44" t="inlineStr"/>
      <c r="S44" t="inlineStr">
        <is>
          <t>Тариф с завтраком</t>
        </is>
      </c>
      <c r="T44" t="n">
        <v>0</v>
      </c>
      <c r="U44" t="n">
        <v>39849.75</v>
      </c>
    </row>
    <row r="45">
      <c r="A45" t="inlineStr">
        <is>
          <t>20260805-8186-449311826</t>
        </is>
      </c>
      <c r="B45" t="n">
        <v>1</v>
      </c>
      <c r="C45" s="2" t="inlineStr">
        <is>
          <t>Александр Березин, ВАЛЕНТИНА БЕРЕЗИНА</t>
        </is>
      </c>
      <c r="D45" s="3" t="n">
        <v>26499.75</v>
      </c>
      <c r="E45" s="4" t="n">
        <v>4</v>
      </c>
      <c r="F45" t="inlineStr">
        <is>
          <t>TravelLine Booking Engine [Чайковский]</t>
        </is>
      </c>
      <c r="G45" s="3">
        <f>ROUND(D45/(100-E45)*100,2)</f>
        <v/>
      </c>
      <c r="H45" s="5" t="n">
        <v>46239.58333333334</v>
      </c>
      <c r="I45" t="n">
        <v>2</v>
      </c>
      <c r="J45" s="3">
        <f>G45/I45</f>
        <v/>
      </c>
      <c r="K45">
        <f>IF(J45&gt;=5100,"ставка","мин.ставка")</f>
        <v/>
      </c>
      <c r="L45" s="3">
        <f>ROUND(IF(K45="мин.ставка",I45*100,G45/102*2),2)</f>
        <v/>
      </c>
      <c r="M45" s="5" t="n">
        <v>46241.5</v>
      </c>
      <c r="N45" t="inlineStr">
        <is>
          <t>TravelLine сайт</t>
        </is>
      </c>
      <c r="O45" s="2" t="inlineStr">
        <is>
          <t>СТАНДАРТНЫЙ ДВУХМЕСТНЫЙ НОМЕР</t>
        </is>
      </c>
      <c r="P45" s="6" t="n"/>
      <c r="R45" t="inlineStr"/>
      <c r="S45" t="inlineStr">
        <is>
          <t>Тариф с завтраком</t>
        </is>
      </c>
      <c r="T45" t="n">
        <v>0</v>
      </c>
      <c r="U45" t="n">
        <v>26499.75</v>
      </c>
    </row>
    <row r="46">
      <c r="A46" t="inlineStr">
        <is>
          <t>20260919-8186-458495849</t>
        </is>
      </c>
      <c r="B46" t="n">
        <v>1</v>
      </c>
      <c r="C46" s="2" t="inlineStr">
        <is>
          <t>Александр Большаков, ТАТЬЯНА БОЛЬШАКОВА</t>
        </is>
      </c>
      <c r="D46" s="3" t="n">
        <v>48060</v>
      </c>
      <c r="E46" s="4" t="n">
        <v>0</v>
      </c>
      <c r="F46" t="inlineStr">
        <is>
          <t>Прямые бронирования (стойка) [Чайковский]</t>
        </is>
      </c>
      <c r="G46" s="3">
        <f>ROUND(D46/(100-E46)*100,2)</f>
        <v/>
      </c>
      <c r="H46" s="5" t="n">
        <v>46284.58333333334</v>
      </c>
      <c r="I46" t="n">
        <v>3</v>
      </c>
      <c r="J46" s="3">
        <f>G46/I46</f>
        <v/>
      </c>
      <c r="K46">
        <f>IF(J46&gt;=5100,"ставка","мин.ставка")</f>
        <v/>
      </c>
      <c r="L46" s="3">
        <f>ROUND(IF(K46="мин.ставка",I46*100,G46/102*2),2)</f>
        <v/>
      </c>
      <c r="M46" s="5" t="n">
        <v>46287.5</v>
      </c>
      <c r="N46" t="inlineStr">
        <is>
          <t>TravelLine ресепшн</t>
        </is>
      </c>
      <c r="O46" s="2" t="inlineStr">
        <is>
          <t>ЛЮКС ВТОРОЙ КОРПУС</t>
        </is>
      </c>
      <c r="P46" s="6" t="n"/>
      <c r="R46" t="inlineStr"/>
      <c r="S46" t="inlineStr">
        <is>
          <t>Тариф с завтраком</t>
        </is>
      </c>
      <c r="T46" t="n">
        <v>0</v>
      </c>
      <c r="U46" t="n">
        <v>48060</v>
      </c>
    </row>
    <row r="47">
      <c r="A47" t="inlineStr">
        <is>
          <t>20260709-8186-430393656</t>
        </is>
      </c>
      <c r="B47" t="n">
        <v>1</v>
      </c>
      <c r="C47" s="2" t="inlineStr">
        <is>
          <t>Александр Бугарев, Татьяна Бугарева</t>
        </is>
      </c>
      <c r="D47" s="3" t="n">
        <v>63910</v>
      </c>
      <c r="E47" s="4" t="n">
        <v>17</v>
      </c>
      <c r="F47" t="inlineStr">
        <is>
          <t>ООО «Интернет Трэвел» (OZON) [Чайковский]</t>
        </is>
      </c>
      <c r="G47" s="3">
        <f>ROUND(D47/(100-E47)*100,2)</f>
        <v/>
      </c>
      <c r="H47" s="5" t="n">
        <v>46212.58333333334</v>
      </c>
      <c r="I47" t="n">
        <v>5</v>
      </c>
      <c r="J47" s="3">
        <f>G47/I47</f>
        <v/>
      </c>
      <c r="K47">
        <f>IF(J47&gt;=5100,"ставка","мин.ставка")</f>
        <v/>
      </c>
      <c r="L47" s="3">
        <f>ROUND(IF(K47="мин.ставка",I47*100,G47/102*2),2)</f>
        <v/>
      </c>
      <c r="M47" s="5" t="n">
        <v>46217.5</v>
      </c>
      <c r="N47" t="inlineStr">
        <is>
          <t>TravelLine OZ2</t>
        </is>
      </c>
      <c r="O47" s="2" t="inlineStr">
        <is>
          <t>УЛУЧШЕННЫЙ ДВУХМЕСТНЫЙ НОМЕР</t>
        </is>
      </c>
      <c r="P47" s="6" t="n"/>
      <c r="R47" t="inlineStr"/>
      <c r="S47" t="inlineStr">
        <is>
          <t>Тариф с завтраком</t>
        </is>
      </c>
      <c r="T47" t="n">
        <v>0</v>
      </c>
      <c r="U47" t="n">
        <v>63910</v>
      </c>
    </row>
    <row r="48">
      <c r="A48" t="inlineStr">
        <is>
          <t>20260903-8186-463463667</t>
        </is>
      </c>
      <c r="B48" t="n">
        <v>1</v>
      </c>
      <c r="C48" s="2" t="inlineStr">
        <is>
          <t>Александр Бухвалов</t>
        </is>
      </c>
      <c r="D48" s="3" t="n">
        <v>11390</v>
      </c>
      <c r="E48" s="4" t="n">
        <v>0</v>
      </c>
      <c r="F48" t="inlineStr">
        <is>
          <t>Прямые бронирования (стойка) [Чайковский]</t>
        </is>
      </c>
      <c r="G48" s="3">
        <f>ROUND(D48/(100-E48)*100,2)</f>
        <v/>
      </c>
      <c r="H48" s="5" t="n">
        <v>46268.58333333334</v>
      </c>
      <c r="I48" t="n">
        <v>1</v>
      </c>
      <c r="J48" s="3">
        <f>G48/I48</f>
        <v/>
      </c>
      <c r="K48">
        <f>IF(J48&gt;=5100,"ставка","мин.ставка")</f>
        <v/>
      </c>
      <c r="L48" s="3">
        <f>ROUND(IF(K48="мин.ставка",I48*100,G48/102*2),2)</f>
        <v/>
      </c>
      <c r="M48" s="5" t="n">
        <v>46269.5</v>
      </c>
      <c r="N48" t="inlineStr">
        <is>
          <t>TravelLine ресепшн</t>
        </is>
      </c>
      <c r="O48" s="2" t="inlineStr">
        <is>
          <t>УЛУЧШЕННЫЙ ДВУХМЕСТНЫЙ НОМЕР</t>
        </is>
      </c>
      <c r="P48" s="6" t="n"/>
      <c r="R48" t="inlineStr"/>
      <c r="S48" t="inlineStr">
        <is>
          <t>Тариф с завтраком</t>
        </is>
      </c>
      <c r="T48" t="n">
        <v>0</v>
      </c>
      <c r="U48" t="n">
        <v>11390</v>
      </c>
    </row>
    <row r="49">
      <c r="A49" t="inlineStr">
        <is>
          <t>20260806-8186-429215981</t>
        </is>
      </c>
      <c r="B49" t="n">
        <v>1</v>
      </c>
      <c r="C49" s="2" t="inlineStr">
        <is>
          <t>Александр Веретенников, ГАЛИНА ОЖМЕГОВА</t>
        </is>
      </c>
      <c r="D49" s="3" t="n">
        <v>49280</v>
      </c>
      <c r="E49" s="4" t="n">
        <v>18</v>
      </c>
      <c r="F49" t="inlineStr">
        <is>
          <t>Яндекс.Путешествия [Чайковский]</t>
        </is>
      </c>
      <c r="G49" s="3">
        <f>ROUND(D49/(100-E49)*100,2)</f>
        <v/>
      </c>
      <c r="H49" s="5" t="n">
        <v>46240.58333333334</v>
      </c>
      <c r="I49" t="n">
        <v>4</v>
      </c>
      <c r="J49" s="3">
        <f>G49/I49</f>
        <v/>
      </c>
      <c r="K49">
        <f>IF(J49&gt;=5100,"ставка","мин.ставка")</f>
        <v/>
      </c>
      <c r="L49" s="3">
        <f>ROUND(IF(K49="мин.ставка",I49*100,G49/102*2),2)</f>
        <v/>
      </c>
      <c r="M49" s="5" t="n">
        <v>46244.5</v>
      </c>
      <c r="N49" t="inlineStr">
        <is>
          <t>TravelLine YAX</t>
        </is>
      </c>
      <c r="O49" s="2" t="inlineStr">
        <is>
          <t>УЛУЧШЕННЫЙ ДВУХМЕСТНЫЙ НОМЕР</t>
        </is>
      </c>
      <c r="P49" s="6" t="n"/>
      <c r="R49" t="inlineStr"/>
      <c r="S49" t="inlineStr">
        <is>
          <t>Тариф с завтраком</t>
        </is>
      </c>
      <c r="T49" t="n">
        <v>0</v>
      </c>
      <c r="U49" t="n">
        <v>49280</v>
      </c>
    </row>
    <row r="50">
      <c r="A50" t="inlineStr">
        <is>
          <t>20260818-8186-443503370</t>
        </is>
      </c>
      <c r="B50" t="n">
        <v>1</v>
      </c>
      <c r="C50" s="2" t="inlineStr">
        <is>
          <t>АЛЕКСАНДР ВЕРЯСОВ, ЕЛИЗАВЕТА ФЕДОТОВА</t>
        </is>
      </c>
      <c r="D50" s="3" t="n">
        <v>64080</v>
      </c>
      <c r="E50" s="4" t="n">
        <v>20</v>
      </c>
      <c r="F50" t="inlineStr">
        <is>
          <t>ООО "ХБ-ПРО" [Чайковский]</t>
        </is>
      </c>
      <c r="G50" s="3">
        <f>ROUND(D50/(100-E50)*100,2)</f>
        <v/>
      </c>
      <c r="H50" s="5" t="n">
        <v>46252.58333333334</v>
      </c>
      <c r="I50" t="n">
        <v>6</v>
      </c>
      <c r="J50" s="3">
        <f>G50/I50</f>
        <v/>
      </c>
      <c r="K50">
        <f>IF(J50&gt;=5100,"ставка","мин.ставка")</f>
        <v/>
      </c>
      <c r="L50" s="3">
        <f>ROUND(IF(K50="мин.ставка",I50*100,G50/102*2),2)</f>
        <v/>
      </c>
      <c r="M50" s="5" t="n">
        <v>46258.5</v>
      </c>
      <c r="N50" t="inlineStr">
        <is>
          <t>TravelLine UTS</t>
        </is>
      </c>
      <c r="O50" s="2" t="inlineStr">
        <is>
          <t>СТАНДАРТНЫЙ ДВУХМЕСТНЫЙ НОМЕР</t>
        </is>
      </c>
      <c r="P50" s="6" t="n"/>
      <c r="R50" t="inlineStr"/>
      <c r="S50" t="inlineStr">
        <is>
          <t>Тариф с завтраком</t>
        </is>
      </c>
      <c r="T50" t="n">
        <v>0</v>
      </c>
      <c r="U50" t="n">
        <v>64080</v>
      </c>
    </row>
    <row r="51">
      <c r="A51" t="inlineStr">
        <is>
          <t>20260703-8186-447191732</t>
        </is>
      </c>
      <c r="B51" t="n">
        <v>1</v>
      </c>
      <c r="C51" s="2" t="inlineStr">
        <is>
          <t>Александр Вилинчук, Татьяна Вилинчук</t>
        </is>
      </c>
      <c r="D51" s="3" t="n">
        <v>26286.15</v>
      </c>
      <c r="E51" s="4" t="n">
        <v>4</v>
      </c>
      <c r="F51" t="inlineStr">
        <is>
          <t>TravelLine Booking Engine [Чайковский]</t>
        </is>
      </c>
      <c r="G51" s="3">
        <f>ROUND(D51/(100-E51)*100,2)</f>
        <v/>
      </c>
      <c r="H51" s="5" t="n">
        <v>46206.58333333334</v>
      </c>
      <c r="I51" t="n">
        <v>2</v>
      </c>
      <c r="J51" s="3">
        <f>G51/I51</f>
        <v/>
      </c>
      <c r="K51">
        <f>IF(J51&gt;=5100,"ставка","мин.ставка")</f>
        <v/>
      </c>
      <c r="L51" s="3">
        <f>ROUND(IF(K51="мин.ставка",I51*100,G51/102*2),2)</f>
        <v/>
      </c>
      <c r="M51" s="5" t="n">
        <v>46208.5</v>
      </c>
      <c r="N51" t="inlineStr">
        <is>
          <t>TravelLine сайт</t>
        </is>
      </c>
      <c r="O51" s="2" t="inlineStr">
        <is>
          <t>СТАНДАРТНЫЙ ДВУХМЕСТНЫЙ НОМЕР</t>
        </is>
      </c>
      <c r="P51" s="6" t="n"/>
      <c r="R51" t="inlineStr"/>
      <c r="S51" t="inlineStr">
        <is>
          <t>Тариф с завтраком</t>
        </is>
      </c>
      <c r="T51" t="n">
        <v>0</v>
      </c>
      <c r="U51" t="n">
        <v>26286.15</v>
      </c>
    </row>
    <row r="52">
      <c r="A52" t="inlineStr">
        <is>
          <t>20260728-8186-453732694</t>
        </is>
      </c>
      <c r="B52" t="n">
        <v>1</v>
      </c>
      <c r="C52" s="2" t="inlineStr">
        <is>
          <t>АЛЕКСАНДР ВОЛЕГОВ, ЮЛИЯ ВОЛЕГОВА</t>
        </is>
      </c>
      <c r="D52" s="3" t="n">
        <v>9265</v>
      </c>
      <c r="E52" s="4" t="n">
        <v>15</v>
      </c>
      <c r="F52" t="inlineStr">
        <is>
          <t>ООО "БРОНИРОВАНИЕ ГОСТИНИЦ" (OSTROVOK) [Чайковский]</t>
        </is>
      </c>
      <c r="G52" s="3">
        <f>ROUND(D52/(100-E52)*100,2)</f>
        <v/>
      </c>
      <c r="H52" s="5" t="n">
        <v>46231.58333333334</v>
      </c>
      <c r="I52" t="n">
        <v>1</v>
      </c>
      <c r="J52" s="3">
        <f>G52/I52</f>
        <v/>
      </c>
      <c r="K52">
        <f>IF(J52&gt;=5100,"ставка","мин.ставка")</f>
        <v/>
      </c>
      <c r="L52" s="3">
        <f>ROUND(IF(K52="мин.ставка",I52*100,G52/102*2),2)</f>
        <v/>
      </c>
      <c r="M52" s="5" t="n">
        <v>46232.5</v>
      </c>
      <c r="N52" t="inlineStr">
        <is>
          <t>TravelLine OTK</t>
        </is>
      </c>
      <c r="O52" s="2" t="inlineStr">
        <is>
          <t>СТАНДАРТНЫЙ ДВУХМЕСТНЫЙ НОМЕР</t>
        </is>
      </c>
      <c r="P52" s="6" t="n"/>
      <c r="R52" t="inlineStr"/>
      <c r="S52" t="inlineStr">
        <is>
          <t>Тариф с завтраком</t>
        </is>
      </c>
      <c r="T52" t="n">
        <v>0</v>
      </c>
      <c r="U52" t="n">
        <v>9265</v>
      </c>
    </row>
    <row r="53">
      <c r="A53" t="inlineStr">
        <is>
          <t>20260714-8186-450056814</t>
        </is>
      </c>
      <c r="B53" t="n">
        <v>1</v>
      </c>
      <c r="C53" s="2" t="inlineStr">
        <is>
          <t>Александр Ганин, Ольга Ганина</t>
        </is>
      </c>
      <c r="D53" s="3" t="n">
        <v>11347.5</v>
      </c>
      <c r="E53" s="4" t="n">
        <v>15</v>
      </c>
      <c r="F53" t="inlineStr">
        <is>
          <t>ООО "БРОНИРОВАНИЕ ГОСТИНИЦ" (OSTROVOK) [Чайковский]</t>
        </is>
      </c>
      <c r="G53" s="3">
        <f>ROUND(D53/(100-E53)*100,2)</f>
        <v/>
      </c>
      <c r="H53" s="5" t="n">
        <v>46217.58333333334</v>
      </c>
      <c r="I53" t="n">
        <v>1</v>
      </c>
      <c r="J53" s="3">
        <f>G53/I53</f>
        <v/>
      </c>
      <c r="K53">
        <f>IF(J53&gt;=5100,"ставка","мин.ставка")</f>
        <v/>
      </c>
      <c r="L53" s="3">
        <f>ROUND(IF(K53="мин.ставка",I53*100,G53/102*2),2)</f>
        <v/>
      </c>
      <c r="M53" s="5" t="n">
        <v>46218.5</v>
      </c>
      <c r="N53" t="inlineStr">
        <is>
          <t>TravelLine OTK</t>
        </is>
      </c>
      <c r="O53" s="2" t="inlineStr">
        <is>
          <t>СТАНДАРТНЫЙ ДВУХМЕСТНЫЙ НОМЕР</t>
        </is>
      </c>
      <c r="P53" s="6" t="n"/>
      <c r="R53" t="inlineStr"/>
      <c r="S53" t="inlineStr">
        <is>
          <t>Тариф с завтраком</t>
        </is>
      </c>
      <c r="T53" t="n">
        <v>0</v>
      </c>
      <c r="U53" t="n">
        <v>11347.5</v>
      </c>
    </row>
    <row r="54">
      <c r="A54" t="inlineStr">
        <is>
          <t>20260930-8186-467154926</t>
        </is>
      </c>
      <c r="B54" t="n">
        <v>1</v>
      </c>
      <c r="C54" s="2" t="inlineStr">
        <is>
          <t>АЛЕКСАНДР ДЕДКОВ</t>
        </is>
      </c>
      <c r="D54" s="3" t="n">
        <v>17800</v>
      </c>
      <c r="E54" s="4" t="n">
        <v>0</v>
      </c>
      <c r="F54" t="inlineStr">
        <is>
          <t>Прямые бронирования (стойка) [Чайковский]</t>
        </is>
      </c>
      <c r="G54" s="3">
        <f>ROUND(D54/(100-E54)*100,2)</f>
        <v/>
      </c>
      <c r="H54" s="5" t="n">
        <v>46295.58333333334</v>
      </c>
      <c r="I54" t="n">
        <v>2</v>
      </c>
      <c r="J54" s="3">
        <f>G54/I54</f>
        <v/>
      </c>
      <c r="K54">
        <f>IF(J54&gt;=5100,"ставка","мин.ставка")</f>
        <v/>
      </c>
      <c r="L54" s="3">
        <f>ROUND(IF(K54="мин.ставка",I54*100,G54/102*2),2)</f>
        <v/>
      </c>
      <c r="M54" s="5" t="n">
        <v>46297.5</v>
      </c>
      <c r="N54" t="inlineStr">
        <is>
          <t>TravelLine ресепшн</t>
        </is>
      </c>
      <c r="O54" s="2" t="inlineStr">
        <is>
          <t>СТАНДАРТНЫЙ ДВУХМЕСТНЫЙ НОМЕР</t>
        </is>
      </c>
      <c r="P54" s="6" t="n"/>
      <c r="R54" t="inlineStr"/>
      <c r="S54" t="inlineStr">
        <is>
          <t>Тариф с завтраком</t>
        </is>
      </c>
      <c r="T54" t="n">
        <v>0</v>
      </c>
      <c r="U54" t="n">
        <v>17800</v>
      </c>
    </row>
    <row r="55">
      <c r="A55" t="inlineStr">
        <is>
          <t>20260811-8186-456346255</t>
        </is>
      </c>
      <c r="B55" t="n">
        <v>1</v>
      </c>
      <c r="C55" s="2" t="inlineStr">
        <is>
          <t>аЛЕКСАНДР Дмитрук</t>
        </is>
      </c>
      <c r="D55" s="3" t="n">
        <v>9307</v>
      </c>
      <c r="E55" s="4" t="n">
        <v>18</v>
      </c>
      <c r="F55" t="inlineStr">
        <is>
          <t>ООО "Эй энд Эй" [Чайковский]</t>
        </is>
      </c>
      <c r="G55" s="3">
        <f>ROUND(D55/(100-E55)*100,2)</f>
        <v/>
      </c>
      <c r="H55" s="5" t="n">
        <v>46245.58333333334</v>
      </c>
      <c r="I55" t="n">
        <v>1</v>
      </c>
      <c r="J55" s="3">
        <f>G55/I55</f>
        <v/>
      </c>
      <c r="K55">
        <f>IF(J55&gt;=5100,"ставка","мин.ставка")</f>
        <v/>
      </c>
      <c r="L55" s="3">
        <f>ROUND(IF(K55="мин.ставка",I55*100,G55/102*2),2)</f>
        <v/>
      </c>
      <c r="M55" s="5" t="n">
        <v>46246.5</v>
      </c>
      <c r="N55" t="inlineStr">
        <is>
          <t>TravelLine ANA</t>
        </is>
      </c>
      <c r="O55" s="2" t="inlineStr">
        <is>
          <t>СТАНДАРТНЫЙ ДВУХМЕСТНЫЙ НОМЕР</t>
        </is>
      </c>
      <c r="P55" s="6" t="n"/>
      <c r="R55" t="inlineStr"/>
      <c r="S55" t="inlineStr">
        <is>
          <t>Тариф с завтраком</t>
        </is>
      </c>
      <c r="T55" t="n">
        <v>0</v>
      </c>
      <c r="U55" t="n">
        <v>9307</v>
      </c>
    </row>
    <row r="56">
      <c r="A56" t="inlineStr">
        <is>
          <t>20260714-8186-448626753</t>
        </is>
      </c>
      <c r="B56" t="n">
        <v>1</v>
      </c>
      <c r="C56" s="2" t="inlineStr">
        <is>
          <t>Александр Долганов</t>
        </is>
      </c>
      <c r="D56" s="3" t="n">
        <v>6320</v>
      </c>
      <c r="E56" s="4" t="n">
        <v>18</v>
      </c>
      <c r="F56" t="inlineStr">
        <is>
          <t>Яндекс.Путешествия [Чайковский]</t>
        </is>
      </c>
      <c r="G56" s="3">
        <f>ROUND(D56/(100-E56)*100,2)</f>
        <v/>
      </c>
      <c r="H56" s="5" t="n">
        <v>46217.58333333334</v>
      </c>
      <c r="I56" t="n">
        <v>1</v>
      </c>
      <c r="J56" s="3">
        <f>G56/I56</f>
        <v/>
      </c>
      <c r="K56">
        <f>IF(J56&gt;=5100,"ставка","мин.ставка")</f>
        <v/>
      </c>
      <c r="L56" s="3">
        <f>ROUND(IF(K56="мин.ставка",I56*100,G56/102*2),2)</f>
        <v/>
      </c>
      <c r="M56" s="5" t="n">
        <v>46218.5</v>
      </c>
      <c r="N56" t="inlineStr">
        <is>
          <t>TravelLine YAX</t>
        </is>
      </c>
      <c r="O56" s="2" t="inlineStr">
        <is>
          <t>СТАНДАРТНЫЙ ДВУХМЕСТНЫЙ НОМЕР (МАНСАРДА)</t>
        </is>
      </c>
      <c r="P56" s="6" t="n"/>
      <c r="R56" t="inlineStr"/>
      <c r="S56" t="inlineStr">
        <is>
          <t>Тариф с завтраком</t>
        </is>
      </c>
      <c r="T56" t="n">
        <v>0</v>
      </c>
      <c r="U56" t="n">
        <v>6320</v>
      </c>
    </row>
    <row r="57">
      <c r="A57" t="inlineStr">
        <is>
          <t>20260729-8186-454154680</t>
        </is>
      </c>
      <c r="B57" t="n">
        <v>1</v>
      </c>
      <c r="C57" s="2" t="inlineStr">
        <is>
          <t>АЛЕКСАНДР ДОЛГОВ</t>
        </is>
      </c>
      <c r="D57" s="3" t="n">
        <v>23760</v>
      </c>
      <c r="E57" s="4" t="n">
        <v>18</v>
      </c>
      <c r="F57" t="inlineStr">
        <is>
          <t>Яндекс.Путешествия [Чайковский]</t>
        </is>
      </c>
      <c r="G57" s="3">
        <f>ROUND(D57/(100-E57)*100,2)</f>
        <v/>
      </c>
      <c r="H57" s="5" t="n">
        <v>46232.58333333334</v>
      </c>
      <c r="I57" t="n">
        <v>3</v>
      </c>
      <c r="J57" s="3">
        <f>G57/I57</f>
        <v/>
      </c>
      <c r="K57">
        <f>IF(J57&gt;=5100,"ставка","мин.ставка")</f>
        <v/>
      </c>
      <c r="L57" s="3">
        <f>ROUND(IF(K57="мин.ставка",I57*100,G57/102*2),2)</f>
        <v/>
      </c>
      <c r="M57" s="5" t="n">
        <v>46235.5</v>
      </c>
      <c r="N57" t="inlineStr">
        <is>
          <t>TravelLine YAX</t>
        </is>
      </c>
      <c r="O57" s="2" t="inlineStr">
        <is>
          <t>СТАНДАРТНЫЙ ДВУХМЕСТНЫЙ НОМЕР (МАНСАРДА)</t>
        </is>
      </c>
      <c r="P57" s="6" t="n"/>
      <c r="R57" t="inlineStr"/>
      <c r="S57" t="inlineStr">
        <is>
          <t>Тариф с завтраком</t>
        </is>
      </c>
      <c r="T57" t="n">
        <v>0</v>
      </c>
      <c r="U57" t="n">
        <v>23760</v>
      </c>
    </row>
    <row r="58">
      <c r="A58" t="inlineStr">
        <is>
          <t>20260924-8186-454705739</t>
        </is>
      </c>
      <c r="B58" t="n">
        <v>1</v>
      </c>
      <c r="C58" s="2" t="inlineStr">
        <is>
          <t>Александр Казанников, Ирина Петроченко</t>
        </is>
      </c>
      <c r="D58" s="3" t="n">
        <v>24640</v>
      </c>
      <c r="E58" s="4" t="n">
        <v>18</v>
      </c>
      <c r="F58" t="inlineStr">
        <is>
          <t>Яндекс.Путешествия [Чайковский]</t>
        </is>
      </c>
      <c r="G58" s="3">
        <f>ROUND(D58/(100-E58)*100,2)</f>
        <v/>
      </c>
      <c r="H58" s="5" t="n">
        <v>46289.58333333334</v>
      </c>
      <c r="I58" t="n">
        <v>2</v>
      </c>
      <c r="J58" s="3">
        <f>G58/I58</f>
        <v/>
      </c>
      <c r="K58">
        <f>IF(J58&gt;=5100,"ставка","мин.ставка")</f>
        <v/>
      </c>
      <c r="L58" s="3">
        <f>ROUND(IF(K58="мин.ставка",I58*100,G58/102*2),2)</f>
        <v/>
      </c>
      <c r="M58" s="5" t="n">
        <v>46291.5</v>
      </c>
      <c r="N58" t="inlineStr">
        <is>
          <t>TravelLine YAX</t>
        </is>
      </c>
      <c r="O58" s="2" t="inlineStr">
        <is>
          <t>УЛУЧШЕННЫЙ ДВУХМЕСТНЫЙ НОМЕР</t>
        </is>
      </c>
      <c r="P58" s="6" t="n"/>
      <c r="R58" t="inlineStr"/>
      <c r="S58" t="inlineStr">
        <is>
          <t>Тариф с завтраком</t>
        </is>
      </c>
      <c r="T58" t="n">
        <v>0</v>
      </c>
      <c r="U58" t="n">
        <v>24640</v>
      </c>
    </row>
    <row r="59">
      <c r="A59" t="inlineStr">
        <is>
          <t>20260716-8186-421435887</t>
        </is>
      </c>
      <c r="B59" t="n">
        <v>1</v>
      </c>
      <c r="C59" s="2" t="inlineStr">
        <is>
          <t>Александр Клименков, ОЛЬГА ГАВРИЛЕНКО</t>
        </is>
      </c>
      <c r="D59" s="3" t="n">
        <v>49193.1</v>
      </c>
      <c r="E59" s="4" t="n">
        <v>4</v>
      </c>
      <c r="F59" t="inlineStr">
        <is>
          <t>TravelLine Booking Engine [Чайковский]</t>
        </is>
      </c>
      <c r="G59" s="3">
        <f>ROUND(D59/(100-E59)*100,2)</f>
        <v/>
      </c>
      <c r="H59" s="5" t="n">
        <v>46219.58333333334</v>
      </c>
      <c r="I59" t="n">
        <v>5</v>
      </c>
      <c r="J59" s="3">
        <f>G59/I59</f>
        <v/>
      </c>
      <c r="K59">
        <f>IF(J59&gt;=5100,"ставка","мин.ставка")</f>
        <v/>
      </c>
      <c r="L59" s="3">
        <f>ROUND(IF(K59="мин.ставка",I59*100,G59/102*2),2)</f>
        <v/>
      </c>
      <c r="M59" s="5" t="n">
        <v>46224.5</v>
      </c>
      <c r="N59" t="inlineStr">
        <is>
          <t>TravelLine сайт</t>
        </is>
      </c>
      <c r="O59" s="2" t="inlineStr">
        <is>
          <t>СТАНДАРТНЫЙ ДВУХМЕСТНЫЙ НОМЕР (МАНСАРДА)</t>
        </is>
      </c>
      <c r="P59" s="6" t="n"/>
      <c r="R59" t="inlineStr"/>
      <c r="S59" t="inlineStr">
        <is>
          <t>Тариф с завтраком</t>
        </is>
      </c>
      <c r="T59" t="n">
        <v>0</v>
      </c>
      <c r="U59" t="n">
        <v>49193.1</v>
      </c>
    </row>
    <row r="60">
      <c r="A60" t="inlineStr">
        <is>
          <t>20260812-8186-451471645</t>
        </is>
      </c>
      <c r="B60" t="n">
        <v>1</v>
      </c>
      <c r="C60" s="2" t="inlineStr">
        <is>
          <t>Александр Кочетов, Ирина Емельянова</t>
        </is>
      </c>
      <c r="D60" s="3" t="n">
        <v>9751.5</v>
      </c>
      <c r="E60" s="4" t="n">
        <v>4</v>
      </c>
      <c r="F60" t="inlineStr">
        <is>
          <t>TravelLine Booking Engine [Чайковский]</t>
        </is>
      </c>
      <c r="G60" s="3">
        <f>ROUND(D60/(100-E60)*100,2)</f>
        <v/>
      </c>
      <c r="H60" s="5" t="n">
        <v>46246.58333333334</v>
      </c>
      <c r="I60" t="n">
        <v>1</v>
      </c>
      <c r="J60" s="3">
        <f>G60/I60</f>
        <v/>
      </c>
      <c r="K60">
        <f>IF(J60&gt;=5100,"ставка","мин.ставка")</f>
        <v/>
      </c>
      <c r="L60" s="3">
        <f>ROUND(IF(K60="мин.ставка",I60*100,G60/102*2),2)</f>
        <v/>
      </c>
      <c r="M60" s="5" t="n">
        <v>46247.5</v>
      </c>
      <c r="N60" t="inlineStr">
        <is>
          <t>TravelLine сайт</t>
        </is>
      </c>
      <c r="O60" s="2" t="inlineStr">
        <is>
          <t>СТАНДАРТНЫЙ ДВУХМЕСТНЫЙ НОМЕР (МАНСАРДА)</t>
        </is>
      </c>
      <c r="P60" s="6" t="n"/>
      <c r="R60" t="inlineStr"/>
      <c r="S60" t="inlineStr">
        <is>
          <t>Тариф с завтраком</t>
        </is>
      </c>
      <c r="T60" t="n">
        <v>0</v>
      </c>
      <c r="U60" t="n">
        <v>9751.5</v>
      </c>
    </row>
    <row r="61">
      <c r="A61" t="inlineStr">
        <is>
          <t>20260727-8186-453458144</t>
        </is>
      </c>
      <c r="B61" t="n">
        <v>1</v>
      </c>
      <c r="C61" s="2" t="inlineStr">
        <is>
          <t>Александр Лобанов</t>
        </is>
      </c>
      <c r="D61" s="3" t="n">
        <v>8900</v>
      </c>
      <c r="E61" s="4" t="n">
        <v>0</v>
      </c>
      <c r="F61" t="inlineStr">
        <is>
          <t>Прямые бронирования (стойка) [Чайковский]</t>
        </is>
      </c>
      <c r="G61" s="3">
        <f>ROUND(D61/(100-E61)*100,2)</f>
        <v/>
      </c>
      <c r="H61" s="5" t="n">
        <v>46230.58333333334</v>
      </c>
      <c r="I61" t="n">
        <v>1</v>
      </c>
      <c r="J61" s="3">
        <f>G61/I61</f>
        <v/>
      </c>
      <c r="K61">
        <f>IF(J61&gt;=5100,"ставка","мин.ставка")</f>
        <v/>
      </c>
      <c r="L61" s="3">
        <f>ROUND(IF(K61="мин.ставка",I61*100,G61/102*2),2)</f>
        <v/>
      </c>
      <c r="M61" s="5" t="n">
        <v>46231.5</v>
      </c>
      <c r="N61" t="inlineStr">
        <is>
          <t>TravelLine ресепшн</t>
        </is>
      </c>
      <c r="O61" s="2" t="inlineStr">
        <is>
          <t>СТАНДАРТНЫЙ ДВУХМЕСТНЫЙ НОМЕР</t>
        </is>
      </c>
      <c r="P61" s="6" t="n"/>
      <c r="R61" t="inlineStr"/>
      <c r="S61" t="inlineStr">
        <is>
          <t>Тариф с завтраком</t>
        </is>
      </c>
      <c r="T61" t="n">
        <v>0</v>
      </c>
      <c r="U61" t="n">
        <v>8900</v>
      </c>
    </row>
    <row r="62">
      <c r="A62" t="inlineStr">
        <is>
          <t>20260930-8186-469017708</t>
        </is>
      </c>
      <c r="B62" t="n">
        <v>1</v>
      </c>
      <c r="C62" s="2" t="inlineStr">
        <is>
          <t>Александр Лобанов</t>
        </is>
      </c>
      <c r="D62" s="3" t="n">
        <v>13400</v>
      </c>
      <c r="E62" s="4" t="n">
        <v>0</v>
      </c>
      <c r="F62" t="inlineStr">
        <is>
          <t>Прямые бронирования (стойка) [Чайковский]</t>
        </is>
      </c>
      <c r="G62" s="3">
        <f>ROUND(D62/(100-E62)*100,2)</f>
        <v/>
      </c>
      <c r="H62" s="5" t="n">
        <v>46295.58333333334</v>
      </c>
      <c r="I62" t="n">
        <v>1</v>
      </c>
      <c r="J62" s="3">
        <f>G62/I62</f>
        <v/>
      </c>
      <c r="K62">
        <f>IF(J62&gt;=5100,"ставка","мин.ставка")</f>
        <v/>
      </c>
      <c r="L62" s="3">
        <f>ROUND(IF(K62="мин.ставка",I62*100,G62/102*2),2)</f>
        <v/>
      </c>
      <c r="M62" s="5" t="n">
        <v>46296.5</v>
      </c>
      <c r="N62" t="inlineStr">
        <is>
          <t>TravelLine ресепшн</t>
        </is>
      </c>
      <c r="O62" s="2" t="inlineStr">
        <is>
          <t>УЛУЧШЕННЫЙ ДВУХМЕСТНЫЙ НОМЕР</t>
        </is>
      </c>
      <c r="P62" s="6" t="n"/>
      <c r="R62" t="inlineStr"/>
      <c r="S62" t="inlineStr">
        <is>
          <t>Тариф с завтраком</t>
        </is>
      </c>
      <c r="T62" t="n">
        <v>0</v>
      </c>
      <c r="U62" t="n">
        <v>13400</v>
      </c>
    </row>
    <row r="63">
      <c r="A63" t="inlineStr">
        <is>
          <t>20260920-8186-467150358</t>
        </is>
      </c>
      <c r="B63" t="n">
        <v>1</v>
      </c>
      <c r="C63" s="2" t="inlineStr">
        <is>
          <t>Александр Ломоносов</t>
        </is>
      </c>
      <c r="D63" s="3" t="n">
        <v>9080</v>
      </c>
      <c r="E63" s="4" t="n">
        <v>20</v>
      </c>
      <c r="F63" t="inlineStr">
        <is>
          <t>ООО "КОМПАНИЯ БРОНЕВИК" [Чайковский]</t>
        </is>
      </c>
      <c r="G63" s="3">
        <f>ROUND(D63/(100-E63)*100,2)</f>
        <v/>
      </c>
      <c r="H63" s="5" t="n">
        <v>46285.58333333334</v>
      </c>
      <c r="I63" t="n">
        <v>1</v>
      </c>
      <c r="J63" s="3">
        <f>G63/I63</f>
        <v/>
      </c>
      <c r="K63">
        <f>IF(J63&gt;=5100,"ставка","мин.ставка")</f>
        <v/>
      </c>
      <c r="L63" s="3">
        <f>ROUND(IF(K63="мин.ставка",I63*100,G63/102*2),2)</f>
        <v/>
      </c>
      <c r="M63" s="5" t="n">
        <v>46286.75</v>
      </c>
      <c r="N63" t="inlineStr">
        <is>
          <t>TravelLine BR2</t>
        </is>
      </c>
      <c r="O63" s="2" t="inlineStr">
        <is>
          <t>СТАНДАРТНЫЙ ДВУХМЕСТНЫЙ НОМЕР</t>
        </is>
      </c>
      <c r="P63" s="6" t="n"/>
      <c r="R63" t="inlineStr"/>
      <c r="S63" t="inlineStr">
        <is>
          <t>Тариф с завтраком</t>
        </is>
      </c>
      <c r="T63" t="n">
        <v>5675</v>
      </c>
      <c r="U63" t="n">
        <v>14755</v>
      </c>
    </row>
    <row r="64">
      <c r="A64" t="inlineStr">
        <is>
          <t>20260901-8186-458501210</t>
        </is>
      </c>
      <c r="B64" t="n">
        <v>1</v>
      </c>
      <c r="C64" s="2" t="inlineStr">
        <is>
          <t>Александр Максимов</t>
        </is>
      </c>
      <c r="D64" s="3" t="n">
        <v>27240</v>
      </c>
      <c r="E64" s="4" t="n">
        <v>20</v>
      </c>
      <c r="F64" t="inlineStr">
        <is>
          <t>ООО "КОМПАНИЯ БРОНЕВИК" [Чайковский]</t>
        </is>
      </c>
      <c r="G64" s="3">
        <f>ROUND(D64/(100-E64)*100,2)</f>
        <v/>
      </c>
      <c r="H64" s="5" t="n">
        <v>46266.58333333334</v>
      </c>
      <c r="I64" t="n">
        <v>3</v>
      </c>
      <c r="J64" s="3">
        <f>G64/I64</f>
        <v/>
      </c>
      <c r="K64">
        <f>IF(J64&gt;=5100,"ставка","мин.ставка")</f>
        <v/>
      </c>
      <c r="L64" s="3">
        <f>ROUND(IF(K64="мин.ставка",I64*100,G64/102*2),2)</f>
        <v/>
      </c>
      <c r="M64" s="5" t="n">
        <v>46269.5</v>
      </c>
      <c r="N64" t="inlineStr">
        <is>
          <t>TravelLine BR2</t>
        </is>
      </c>
      <c r="O64" s="2" t="inlineStr">
        <is>
          <t>СТАНДАРТНЫЙ ДВУХМЕСТНЫЙ НОМЕР</t>
        </is>
      </c>
      <c r="P64" s="6" t="n"/>
      <c r="R64" t="inlineStr"/>
      <c r="S64" t="inlineStr">
        <is>
          <t>Тариф с завтраком</t>
        </is>
      </c>
      <c r="T64" t="n">
        <v>0</v>
      </c>
      <c r="U64" t="n">
        <v>27240</v>
      </c>
    </row>
    <row r="65">
      <c r="A65" t="inlineStr">
        <is>
          <t>20260719-8186-447014870</t>
        </is>
      </c>
      <c r="B65" t="n">
        <v>1</v>
      </c>
      <c r="C65" s="2" t="inlineStr">
        <is>
          <t>АЛЕКСАНДР МЕЛИХОВ</t>
        </is>
      </c>
      <c r="D65" s="3" t="n">
        <v>28942.5</v>
      </c>
      <c r="E65" s="4" t="n">
        <v>15</v>
      </c>
      <c r="F65" t="inlineStr">
        <is>
          <t>ООО "АКАДЕМ-ОНЛАЙН" [Чайковский]</t>
        </is>
      </c>
      <c r="G65" s="3">
        <f>ROUND(D65/(100-E65)*100,2)</f>
        <v/>
      </c>
      <c r="H65" s="5" t="n">
        <v>46222.58333333334</v>
      </c>
      <c r="I65" t="n">
        <v>3</v>
      </c>
      <c r="J65" s="3">
        <f>G65/I65</f>
        <v/>
      </c>
      <c r="K65">
        <f>IF(J65&gt;=5100,"ставка","мин.ставка")</f>
        <v/>
      </c>
      <c r="L65" s="3">
        <f>ROUND(IF(K65="мин.ставка",I65*100,G65/102*2),2)</f>
        <v/>
      </c>
      <c r="M65" s="5" t="n">
        <v>46225.5</v>
      </c>
      <c r="N65" t="inlineStr">
        <is>
          <t>TravelLine ACS</t>
        </is>
      </c>
      <c r="O65" s="2" t="inlineStr">
        <is>
          <t>СТАНДАРТНЫЙ ДВУХМЕСТНЫЙ НОМЕР</t>
        </is>
      </c>
      <c r="P65" s="6" t="n"/>
      <c r="R65" t="inlineStr"/>
      <c r="S65" t="inlineStr">
        <is>
          <t>Тариф с завтраком</t>
        </is>
      </c>
      <c r="T65" t="n">
        <v>0</v>
      </c>
      <c r="U65" t="n">
        <v>28942.5</v>
      </c>
    </row>
    <row r="66">
      <c r="A66" t="inlineStr">
        <is>
          <t>20260928-8186-464745297</t>
        </is>
      </c>
      <c r="B66" t="n">
        <v>1</v>
      </c>
      <c r="C66" s="2" t="inlineStr">
        <is>
          <t>АЛЕКСАНДР НЕПОМЯЩИЙ</t>
        </is>
      </c>
      <c r="D66" s="3" t="n">
        <v>77137.5</v>
      </c>
      <c r="E66" s="4" t="n">
        <v>15</v>
      </c>
      <c r="F66" t="inlineStr">
        <is>
          <t>ООО "АКАДЕМ-ОНЛАЙН" [Чайковский]</t>
        </is>
      </c>
      <c r="G66" s="3">
        <f>ROUND(D66/(100-E66)*100,2)</f>
        <v/>
      </c>
      <c r="H66" s="5" t="n">
        <v>46293.58333333334</v>
      </c>
      <c r="I66" t="n">
        <v>9</v>
      </c>
      <c r="J66" s="3">
        <f>G66/I66</f>
        <v/>
      </c>
      <c r="K66">
        <f>IF(J66&gt;=5100,"ставка","мин.ставка")</f>
        <v/>
      </c>
      <c r="L66" s="3">
        <f>ROUND(IF(K66="мин.ставка",I66*100,G66/102*2),2)</f>
        <v/>
      </c>
      <c r="M66" s="5" t="n">
        <v>46302.5</v>
      </c>
      <c r="N66" t="inlineStr">
        <is>
          <t>TravelLine ACS</t>
        </is>
      </c>
      <c r="O66" s="2" t="inlineStr">
        <is>
          <t>СЕМЕЙНЫЙ НОМЕР КАТЕГОРИИ "СТАНДАРТ" ВТОРОЙ КОРПУС</t>
        </is>
      </c>
      <c r="P66" s="6" t="n"/>
      <c r="R66" t="inlineStr"/>
      <c r="S66" t="inlineStr">
        <is>
          <t>Тариф с завтраком</t>
        </is>
      </c>
      <c r="T66" t="n">
        <v>0</v>
      </c>
      <c r="U66" t="n">
        <v>77137.5</v>
      </c>
    </row>
    <row r="67">
      <c r="A67" t="inlineStr">
        <is>
          <t>20260802-8186-429074020</t>
        </is>
      </c>
      <c r="B67" t="n">
        <v>1</v>
      </c>
      <c r="C67" s="2" t="inlineStr">
        <is>
          <t>АЛЕКСАНДР НИКОЛАЕВ, ИРИНА КРУПЧАТНИКОВА</t>
        </is>
      </c>
      <c r="D67" s="3" t="n">
        <v>56737.5</v>
      </c>
      <c r="E67" s="4" t="n">
        <v>20</v>
      </c>
      <c r="F67" t="inlineStr">
        <is>
          <t>ООО «Дубль Гис» (OTELLO) [Чайковский]</t>
        </is>
      </c>
      <c r="G67" s="3">
        <f>ROUND(D67/(100-E67)*100,2)</f>
        <v/>
      </c>
      <c r="H67" s="5" t="n">
        <v>46236.58333333334</v>
      </c>
      <c r="I67" t="n">
        <v>5</v>
      </c>
      <c r="J67" s="3">
        <f>G67/I67</f>
        <v/>
      </c>
      <c r="K67">
        <f>IF(J67&gt;=5100,"ставка","мин.ставка")</f>
        <v/>
      </c>
      <c r="L67" s="3">
        <f>ROUND(IF(K67="мин.ставка",I67*100,G67/102*2),2)</f>
        <v/>
      </c>
      <c r="M67" s="5" t="n">
        <v>46241.5</v>
      </c>
      <c r="N67" t="inlineStr">
        <is>
          <t>TravelLine OL2</t>
        </is>
      </c>
      <c r="O67" s="2" t="inlineStr">
        <is>
          <t>СТАНДАРТНЫЙ ДВУХМЕСТНЫЙ НОМЕР</t>
        </is>
      </c>
      <c r="P67" s="6" t="n"/>
      <c r="R67" t="inlineStr"/>
      <c r="S67" t="inlineStr">
        <is>
          <t>Тариф с завтраком</t>
        </is>
      </c>
      <c r="T67" t="n">
        <v>0</v>
      </c>
      <c r="U67" t="n">
        <v>113475</v>
      </c>
    </row>
    <row r="68">
      <c r="A68" t="inlineStr">
        <is>
          <t>20260920-8186-431075302</t>
        </is>
      </c>
      <c r="B68" t="n">
        <v>1</v>
      </c>
      <c r="C68" s="2" t="inlineStr">
        <is>
          <t>Александр Платицын</t>
        </is>
      </c>
      <c r="D68" s="3" t="n">
        <v>30800</v>
      </c>
      <c r="E68" s="4" t="n">
        <v>18</v>
      </c>
      <c r="F68" t="inlineStr">
        <is>
          <t>Яндекс.Путешествия [Чайковский]</t>
        </is>
      </c>
      <c r="G68" s="3">
        <f>ROUND(D68/(100-E68)*100,2)</f>
        <v/>
      </c>
      <c r="H68" s="5" t="n">
        <v>46285.58333333334</v>
      </c>
      <c r="I68" t="n">
        <v>5</v>
      </c>
      <c r="J68" s="3">
        <f>G68/I68</f>
        <v/>
      </c>
      <c r="K68">
        <f>IF(J68&gt;=5100,"ставка","мин.ставка")</f>
        <v/>
      </c>
      <c r="L68" s="3">
        <f>ROUND(IF(K68="мин.ставка",I68*100,G68/102*2),2)</f>
        <v/>
      </c>
      <c r="M68" s="5" t="n">
        <v>46290.5</v>
      </c>
      <c r="N68" t="inlineStr">
        <is>
          <t>TravelLine YAX</t>
        </is>
      </c>
      <c r="O68" s="2" t="inlineStr">
        <is>
          <t>СТАНДАРТНЫЙ ОДНОМЕСТНЫЙ НОМЕР</t>
        </is>
      </c>
      <c r="P68" s="6" t="n"/>
      <c r="R68" t="inlineStr"/>
      <c r="S68" t="inlineStr">
        <is>
          <t>Тариф с завтраком</t>
        </is>
      </c>
      <c r="T68" t="n">
        <v>0</v>
      </c>
      <c r="U68" t="n">
        <v>30800</v>
      </c>
    </row>
    <row r="69">
      <c r="A69" t="inlineStr">
        <is>
          <t>20260831-8186-461884701</t>
        </is>
      </c>
      <c r="B69" t="n">
        <v>1</v>
      </c>
      <c r="C69" s="2" t="inlineStr">
        <is>
          <t>Александр Преснецов, Елизавета Скрябикова</t>
        </is>
      </c>
      <c r="D69" s="3" t="n">
        <v>27556</v>
      </c>
      <c r="E69" s="4" t="n">
        <v>18</v>
      </c>
      <c r="F69" t="inlineStr">
        <is>
          <t>Яндекс.Путешествия [Чайковский]</t>
        </is>
      </c>
      <c r="G69" s="3">
        <f>ROUND(D69/(100-E69)*100,2)</f>
        <v/>
      </c>
      <c r="H69" s="5" t="n">
        <v>46265.58333333334</v>
      </c>
      <c r="I69" t="n">
        <v>2</v>
      </c>
      <c r="J69" s="3">
        <f>G69/I69</f>
        <v/>
      </c>
      <c r="K69">
        <f>IF(J69&gt;=5100,"ставка","мин.ставка")</f>
        <v/>
      </c>
      <c r="L69" s="3">
        <f>ROUND(IF(K69="мин.ставка",I69*100,G69/102*2),2)</f>
        <v/>
      </c>
      <c r="M69" s="5" t="n">
        <v>46267.5</v>
      </c>
      <c r="N69" t="inlineStr">
        <is>
          <t>TravelLine YAX</t>
        </is>
      </c>
      <c r="O69" s="2" t="inlineStr">
        <is>
          <t>ЛЮКС ВТОРОЙ КОРПУС</t>
        </is>
      </c>
      <c r="P69" s="6" t="n"/>
      <c r="R69" t="inlineStr"/>
      <c r="S69" t="inlineStr">
        <is>
          <t>Тариф с завтраком</t>
        </is>
      </c>
      <c r="T69" t="n">
        <v>0</v>
      </c>
      <c r="U69" t="n">
        <v>27556</v>
      </c>
    </row>
    <row r="70">
      <c r="A70" t="inlineStr">
        <is>
          <t>20260802-8186-438830698</t>
        </is>
      </c>
      <c r="B70" t="n">
        <v>1</v>
      </c>
      <c r="C70" s="2" t="inlineStr">
        <is>
          <t>АЛЕКСАНДР ПРОСКУРНИН, СЕРГЕЙ ПРОСКУРНИН</t>
        </is>
      </c>
      <c r="D70" s="3" t="n">
        <v>68085</v>
      </c>
      <c r="E70" s="4" t="n">
        <v>0</v>
      </c>
      <c r="F70" t="inlineStr">
        <is>
          <t>ООО "АЛЕАН ОТДЫХ" [Чайковский]</t>
        </is>
      </c>
      <c r="G70" s="3">
        <f>ROUND(D70/(100-E70)*100,2)</f>
        <v/>
      </c>
      <c r="H70" s="5" t="n">
        <v>46236.58333333334</v>
      </c>
      <c r="I70" t="n">
        <v>6</v>
      </c>
      <c r="J70" s="3">
        <f>G70/I70</f>
        <v/>
      </c>
      <c r="K70">
        <f>IF(J70&gt;=5100,"ставка","мин.ставка")</f>
        <v/>
      </c>
      <c r="L70" s="3">
        <f>ROUND(IF(K70="мин.ставка",I70*100,G70/102*2),2)</f>
        <v/>
      </c>
      <c r="M70" s="5" t="n">
        <v>46242.5</v>
      </c>
      <c r="N70" t="inlineStr">
        <is>
          <t>TravelLine ALN</t>
        </is>
      </c>
      <c r="O70" s="2" t="inlineStr">
        <is>
          <t>СТАНДАРТНЫЙ ДВУХМЕСТНЫЙ НОМЕР</t>
        </is>
      </c>
      <c r="P70" s="6" t="n"/>
      <c r="R70" t="inlineStr"/>
      <c r="S70" t="inlineStr">
        <is>
          <t>Тариф с завтраком</t>
        </is>
      </c>
      <c r="T70" t="n">
        <v>0</v>
      </c>
      <c r="U70" t="n">
        <v>68085</v>
      </c>
    </row>
    <row r="71">
      <c r="A71" t="inlineStr">
        <is>
          <t>20260805-8186-451886641</t>
        </is>
      </c>
      <c r="B71" t="n">
        <v>1</v>
      </c>
      <c r="C71" s="2" t="inlineStr">
        <is>
          <t>Александр Семенов, Ирина Сергеева</t>
        </is>
      </c>
      <c r="D71" s="3" t="n">
        <v>11120</v>
      </c>
      <c r="E71" s="4" t="n">
        <v>18</v>
      </c>
      <c r="F71" t="inlineStr">
        <is>
          <t>Яндекс.Путешествия [Чайковский]</t>
        </is>
      </c>
      <c r="G71" s="3">
        <f>ROUND(D71/(100-E71)*100,2)</f>
        <v/>
      </c>
      <c r="H71" s="5" t="n">
        <v>46239.58333333334</v>
      </c>
      <c r="I71" t="n">
        <v>1</v>
      </c>
      <c r="J71" s="3">
        <f>G71/I71</f>
        <v/>
      </c>
      <c r="K71">
        <f>IF(J71&gt;=5100,"ставка","мин.ставка")</f>
        <v/>
      </c>
      <c r="L71" s="3">
        <f>ROUND(IF(K71="мин.ставка",I71*100,G71/102*2),2)</f>
        <v/>
      </c>
      <c r="M71" s="5" t="n">
        <v>46240.5</v>
      </c>
      <c r="N71" t="inlineStr">
        <is>
          <t>TravelLine YAX</t>
        </is>
      </c>
      <c r="O71" s="2" t="inlineStr">
        <is>
          <t>УЛУЧШЕННЫЙ ДВУХМЕСТНЫЙ НОМЕР</t>
        </is>
      </c>
      <c r="P71" s="6" t="n"/>
      <c r="R71" t="inlineStr"/>
      <c r="S71" t="inlineStr">
        <is>
          <t>Основной тариф без завтрака</t>
        </is>
      </c>
      <c r="T71" t="n">
        <v>0</v>
      </c>
      <c r="U71" t="n">
        <v>11120</v>
      </c>
    </row>
    <row r="72">
      <c r="A72" t="inlineStr">
        <is>
          <t>20260714-8186-449199681</t>
        </is>
      </c>
      <c r="B72" t="n">
        <v>1</v>
      </c>
      <c r="C72" s="2" t="inlineStr">
        <is>
          <t>Александр Соломкин</t>
        </is>
      </c>
      <c r="D72" s="3" t="n">
        <v>18160</v>
      </c>
      <c r="E72" s="4" t="n">
        <v>20</v>
      </c>
      <c r="F72" t="inlineStr">
        <is>
          <t>ООО "КОМПАНИЯ БРОНЕВИК" [Чайковский]</t>
        </is>
      </c>
      <c r="G72" s="3">
        <f>ROUND(D72/(100-E72)*100,2)</f>
        <v/>
      </c>
      <c r="H72" s="5" t="n">
        <v>46217.58333333334</v>
      </c>
      <c r="I72" t="n">
        <v>2</v>
      </c>
      <c r="J72" s="3">
        <f>G72/I72</f>
        <v/>
      </c>
      <c r="K72">
        <f>IF(J72&gt;=5100,"ставка","мин.ставка")</f>
        <v/>
      </c>
      <c r="L72" s="3">
        <f>ROUND(IF(K72="мин.ставка",I72*100,G72/102*2),2)</f>
        <v/>
      </c>
      <c r="M72" s="5" t="n">
        <v>46219.5</v>
      </c>
      <c r="N72" t="inlineStr">
        <is>
          <t>TravelLine BR2</t>
        </is>
      </c>
      <c r="O72" s="2" t="inlineStr">
        <is>
          <t>СЕМЕЙНЫЙ НОМЕР КАТЕГОРИИ "СТАНДАРТ" ВТОРОЙ КОРПУС</t>
        </is>
      </c>
      <c r="P72" s="6" t="n"/>
      <c r="R72" t="inlineStr"/>
      <c r="S72" t="inlineStr">
        <is>
          <t>Тариф с завтраком</t>
        </is>
      </c>
      <c r="T72" t="n">
        <v>0</v>
      </c>
      <c r="U72" t="n">
        <v>18160</v>
      </c>
    </row>
    <row r="73">
      <c r="A73" t="inlineStr">
        <is>
          <t>20260724-8186-412232961</t>
        </is>
      </c>
      <c r="B73" t="n">
        <v>1</v>
      </c>
      <c r="C73" s="2" t="inlineStr">
        <is>
          <t>АЛЕКСАНДР СПИРИДОНОВ, МАРЬЯНА СПИРИДОНОВА</t>
        </is>
      </c>
      <c r="D73" s="3" t="n">
        <v>25245</v>
      </c>
      <c r="E73" s="4" t="n">
        <v>15</v>
      </c>
      <c r="F73" t="inlineStr">
        <is>
          <t>ООО "АКАДЕМ-ОНЛАЙН" [Чайковский]</t>
        </is>
      </c>
      <c r="G73" s="3">
        <f>ROUND(D73/(100-E73)*100,2)</f>
        <v/>
      </c>
      <c r="H73" s="5" t="n">
        <v>46227.58333333334</v>
      </c>
      <c r="I73" t="n">
        <v>3</v>
      </c>
      <c r="J73" s="3">
        <f>G73/I73</f>
        <v/>
      </c>
      <c r="K73">
        <f>IF(J73&gt;=5100,"ставка","мин.ставка")</f>
        <v/>
      </c>
      <c r="L73" s="3">
        <f>ROUND(IF(K73="мин.ставка",I73*100,G73/102*2),2)</f>
        <v/>
      </c>
      <c r="M73" s="5" t="n">
        <v>46230.5</v>
      </c>
      <c r="N73" t="inlineStr">
        <is>
          <t>TravelLine ACS</t>
        </is>
      </c>
      <c r="O73" s="2" t="inlineStr">
        <is>
          <t>СТАНДАРТНЫЙ ДВУХМЕСТНЫЙ НОМЕР (МАНСАРДА)</t>
        </is>
      </c>
      <c r="P73" s="6" t="n"/>
      <c r="R73" t="inlineStr"/>
      <c r="S73" t="inlineStr">
        <is>
          <t>Тариф с завтраком</t>
        </is>
      </c>
      <c r="T73" t="n">
        <v>0</v>
      </c>
      <c r="U73" t="n">
        <v>25245</v>
      </c>
    </row>
    <row r="74">
      <c r="A74" t="inlineStr">
        <is>
          <t>20260827-8186-461925646</t>
        </is>
      </c>
      <c r="B74" t="n">
        <v>1</v>
      </c>
      <c r="C74" s="2" t="inlineStr">
        <is>
          <t>Александр Утюжников, Инна Утюжникова</t>
        </is>
      </c>
      <c r="D74" s="3" t="n">
        <v>11080.5</v>
      </c>
      <c r="E74" s="4" t="n">
        <v>17</v>
      </c>
      <c r="F74" t="inlineStr">
        <is>
          <t>ООО «Интернет Трэвел» (OZON) [Чайковский]</t>
        </is>
      </c>
      <c r="G74" s="3">
        <f>ROUND(D74/(100-E74)*100,2)</f>
        <v/>
      </c>
      <c r="H74" s="5" t="n">
        <v>46261.58333333334</v>
      </c>
      <c r="I74" t="n">
        <v>1</v>
      </c>
      <c r="J74" s="3">
        <f>G74/I74</f>
        <v/>
      </c>
      <c r="K74">
        <f>IF(J74&gt;=5100,"ставка","мин.ставка")</f>
        <v/>
      </c>
      <c r="L74" s="3">
        <f>ROUND(IF(K74="мин.ставка",I74*100,G74/102*2),2)</f>
        <v/>
      </c>
      <c r="M74" s="5" t="n">
        <v>46262.5</v>
      </c>
      <c r="N74" t="inlineStr">
        <is>
          <t>TravelLine OZ2</t>
        </is>
      </c>
      <c r="O74" s="2" t="inlineStr">
        <is>
          <t>ПОЛУЛЮКС</t>
        </is>
      </c>
      <c r="P74" s="6" t="n"/>
      <c r="R74" t="inlineStr"/>
      <c r="S74" t="inlineStr">
        <is>
          <t>Тариф с завтраком</t>
        </is>
      </c>
      <c r="T74" t="n">
        <v>0</v>
      </c>
      <c r="U74" t="n">
        <v>11080.5</v>
      </c>
    </row>
    <row r="75">
      <c r="A75" t="inlineStr">
        <is>
          <t>20260801-8186-439320336</t>
        </is>
      </c>
      <c r="B75" t="n">
        <v>1</v>
      </c>
      <c r="C75" s="2" t="inlineStr">
        <is>
          <t>АЛЕКСАНДР ЯСТРЕБОВ, Ирина Ястребова</t>
        </is>
      </c>
      <c r="D75" s="3" t="n">
        <v>25564</v>
      </c>
      <c r="E75" s="4" t="n">
        <v>20</v>
      </c>
      <c r="F75" t="inlineStr">
        <is>
          <t>ООО «Дубль Гис» (OTELLO) [Чайковский]</t>
        </is>
      </c>
      <c r="G75" s="3">
        <f>ROUND(D75/(100-E75)*100,2)</f>
        <v/>
      </c>
      <c r="H75" s="5" t="n">
        <v>46235.58333333334</v>
      </c>
      <c r="I75" t="n">
        <v>2</v>
      </c>
      <c r="J75" s="3">
        <f>G75/I75</f>
        <v/>
      </c>
      <c r="K75">
        <f>IF(J75&gt;=5100,"ставка","мин.ставка")</f>
        <v/>
      </c>
      <c r="L75" s="3">
        <f>ROUND(IF(K75="мин.ставка",I75*100,G75/102*2),2)</f>
        <v/>
      </c>
      <c r="M75" s="5" t="n">
        <v>46237.5</v>
      </c>
      <c r="N75" t="inlineStr">
        <is>
          <t>TravelLine OL2</t>
        </is>
      </c>
      <c r="O75" s="2" t="inlineStr">
        <is>
          <t>УЛУЧШЕННЫЙ ДВУХМЕСТНЫЙ НОМЕР</t>
        </is>
      </c>
      <c r="P75" s="6" t="n"/>
      <c r="R75" t="inlineStr"/>
      <c r="S75" t="inlineStr">
        <is>
          <t>Тариф с завтраком</t>
        </is>
      </c>
      <c r="T75" t="n">
        <v>0</v>
      </c>
      <c r="U75" t="n">
        <v>25564</v>
      </c>
    </row>
    <row r="76">
      <c r="A76" t="inlineStr">
        <is>
          <t>20260801-8186-432117189</t>
        </is>
      </c>
      <c r="B76" t="n">
        <v>1</v>
      </c>
      <c r="C76" s="2" t="inlineStr">
        <is>
          <t>АЛЕКСАНДРА ЕМЕЛЬЯНЕНКО, ИЛЬЯ ФАДЕЕНКО</t>
        </is>
      </c>
      <c r="D76" s="3" t="n">
        <v>16500</v>
      </c>
      <c r="E76" s="4" t="n">
        <v>0</v>
      </c>
      <c r="F76" t="inlineStr">
        <is>
          <t>Прямые бронирования (стойка) [Чайковский]</t>
        </is>
      </c>
      <c r="G76" s="3">
        <f>ROUND(D76/(100-E76)*100,2)</f>
        <v/>
      </c>
      <c r="H76" s="5" t="n">
        <v>46235.58333333334</v>
      </c>
      <c r="I76" t="n">
        <v>1</v>
      </c>
      <c r="J76" s="3">
        <f>G76/I76</f>
        <v/>
      </c>
      <c r="K76">
        <f>IF(J76&gt;=5100,"ставка","мин.ставка")</f>
        <v/>
      </c>
      <c r="L76" s="3">
        <f>ROUND(IF(K76="мин.ставка",I76*100,G76/102*2),2)</f>
        <v/>
      </c>
      <c r="M76" s="5" t="n">
        <v>46236.5</v>
      </c>
      <c r="N76" t="inlineStr">
        <is>
          <t>TravelLine ресепшн</t>
        </is>
      </c>
      <c r="O76" s="2" t="inlineStr">
        <is>
          <t>ПОЛУЛЮКС</t>
        </is>
      </c>
      <c r="P76" s="6" t="n"/>
      <c r="R76" t="inlineStr"/>
      <c r="S76" t="inlineStr">
        <is>
          <t>Тариф с завтраком</t>
        </is>
      </c>
      <c r="T76" t="n">
        <v>0</v>
      </c>
      <c r="U76" t="n">
        <v>16500</v>
      </c>
    </row>
    <row r="77">
      <c r="A77" t="inlineStr">
        <is>
          <t>20260711-8186-439345595</t>
        </is>
      </c>
      <c r="B77" t="n">
        <v>1</v>
      </c>
      <c r="C77" s="2" t="inlineStr">
        <is>
          <t>Александра Заруднева</t>
        </is>
      </c>
      <c r="D77" s="3" t="n">
        <v>32160</v>
      </c>
      <c r="E77" s="4" t="n">
        <v>18</v>
      </c>
      <c r="F77" t="inlineStr">
        <is>
          <t>Яндекс.Путешествия [Чайковский]</t>
        </is>
      </c>
      <c r="G77" s="3">
        <f>ROUND(D77/(100-E77)*100,2)</f>
        <v/>
      </c>
      <c r="H77" s="5" t="n">
        <v>46214.58333333334</v>
      </c>
      <c r="I77" t="n">
        <v>3</v>
      </c>
      <c r="J77" s="3">
        <f>G77/I77</f>
        <v/>
      </c>
      <c r="K77">
        <f>IF(J77&gt;=5100,"ставка","мин.ставка")</f>
        <v/>
      </c>
      <c r="L77" s="3">
        <f>ROUND(IF(K77="мин.ставка",I77*100,G77/102*2),2)</f>
        <v/>
      </c>
      <c r="M77" s="5" t="n">
        <v>46217.5</v>
      </c>
      <c r="N77" t="inlineStr">
        <is>
          <t>TravelLine YAX</t>
        </is>
      </c>
      <c r="O77" s="2" t="inlineStr">
        <is>
          <t>ПОЛУЛЮКС</t>
        </is>
      </c>
      <c r="P77" s="6" t="n"/>
      <c r="R77" t="inlineStr"/>
      <c r="S77" t="inlineStr">
        <is>
          <t>Тариф с завтраком</t>
        </is>
      </c>
      <c r="T77" t="n">
        <v>0</v>
      </c>
      <c r="U77" t="n">
        <v>32160</v>
      </c>
    </row>
    <row r="78">
      <c r="A78" t="inlineStr">
        <is>
          <t>20260714-8186-449058458</t>
        </is>
      </c>
      <c r="B78" t="n">
        <v>1</v>
      </c>
      <c r="C78" s="2" t="inlineStr">
        <is>
          <t>Александра Краковская</t>
        </is>
      </c>
      <c r="D78" s="3" t="n">
        <v>6160</v>
      </c>
      <c r="E78" s="4" t="n">
        <v>20</v>
      </c>
      <c r="F78" t="inlineStr">
        <is>
          <t>ООО "КОМПАНИЯ БРОНЕВИК" [Чайковский]</t>
        </is>
      </c>
      <c r="G78" s="3">
        <f>ROUND(D78/(100-E78)*100,2)</f>
        <v/>
      </c>
      <c r="H78" s="5" t="n">
        <v>46217.58333333334</v>
      </c>
      <c r="I78" t="n">
        <v>1</v>
      </c>
      <c r="J78" s="3">
        <f>G78/I78</f>
        <v/>
      </c>
      <c r="K78">
        <f>IF(J78&gt;=5100,"ставка","мин.ставка")</f>
        <v/>
      </c>
      <c r="L78" s="3">
        <f>ROUND(IF(K78="мин.ставка",I78*100,G78/102*2),2)</f>
        <v/>
      </c>
      <c r="M78" s="5" t="n">
        <v>46218.5</v>
      </c>
      <c r="N78" t="inlineStr">
        <is>
          <t>TravelLine BR2</t>
        </is>
      </c>
      <c r="O78" s="2" t="inlineStr">
        <is>
          <t>СТАНДАРТНЫЙ ОДНОМЕСТНЫЙ НОМЕР</t>
        </is>
      </c>
      <c r="P78" s="6" t="n"/>
      <c r="R78" t="inlineStr"/>
      <c r="S78" t="inlineStr">
        <is>
          <t>Тариф с завтраком</t>
        </is>
      </c>
      <c r="T78" t="n">
        <v>0</v>
      </c>
      <c r="U78" t="n">
        <v>6160</v>
      </c>
    </row>
    <row r="79">
      <c r="A79" t="inlineStr">
        <is>
          <t>20260808-8186-449681859</t>
        </is>
      </c>
      <c r="B79" t="n">
        <v>1</v>
      </c>
      <c r="C79" s="2" t="inlineStr">
        <is>
          <t>Александра Крафт</t>
        </is>
      </c>
      <c r="D79" s="3" t="n">
        <v>13430</v>
      </c>
      <c r="E79" s="4" t="n">
        <v>16</v>
      </c>
      <c r="F79" t="inlineStr">
        <is>
          <t>ООО "БРОНИРОВАНИЕ ГОСТИНИЦ" (OSTROVOK) [Чайковский]</t>
        </is>
      </c>
      <c r="G79" s="3">
        <f>ROUND(D79/(100-E79)*100,2)</f>
        <v/>
      </c>
      <c r="H79" s="5" t="n">
        <v>46242.58333333334</v>
      </c>
      <c r="I79" t="n">
        <v>1</v>
      </c>
      <c r="J79" s="3">
        <f>G79/I79</f>
        <v/>
      </c>
      <c r="K79">
        <f>IF(J79&gt;=5100,"ставка","мин.ставка")</f>
        <v/>
      </c>
      <c r="L79" s="3">
        <f>ROUND(IF(K79="мин.ставка",I79*100,G79/102*2),2)</f>
        <v/>
      </c>
      <c r="M79" s="5" t="n">
        <v>46243.5</v>
      </c>
      <c r="N79" t="inlineStr">
        <is>
          <t>TravelLine OTK</t>
        </is>
      </c>
      <c r="O79" s="2" t="inlineStr">
        <is>
          <t>ЛЮКС ВТОРОЙ КОРПУС</t>
        </is>
      </c>
      <c r="P79" s="6" t="n"/>
      <c r="R79" t="inlineStr"/>
      <c r="S79" t="inlineStr">
        <is>
          <t>Тариф с завтраком</t>
        </is>
      </c>
      <c r="T79" t="n">
        <v>0</v>
      </c>
      <c r="U79" t="n">
        <v>13430</v>
      </c>
    </row>
    <row r="80">
      <c r="A80" t="inlineStr">
        <is>
          <t>20260801-8186-427298055</t>
        </is>
      </c>
      <c r="B80" t="n">
        <v>1</v>
      </c>
      <c r="C80" s="2" t="inlineStr">
        <is>
          <t>Александра Пилипенко</t>
        </is>
      </c>
      <c r="D80" s="3" t="n">
        <v>79279.75</v>
      </c>
      <c r="E80" s="4" t="n">
        <v>4</v>
      </c>
      <c r="F80" t="inlineStr">
        <is>
          <t>TravelLine Booking Engine [Чайковский]</t>
        </is>
      </c>
      <c r="G80" s="3">
        <f>ROUND(D80/(100-E80)*100,2)</f>
        <v/>
      </c>
      <c r="H80" s="5" t="n">
        <v>46235.58333333334</v>
      </c>
      <c r="I80" t="n">
        <v>7</v>
      </c>
      <c r="J80" s="3">
        <f>G80/I80</f>
        <v/>
      </c>
      <c r="K80">
        <f>IF(J80&gt;=5100,"ставка","мин.ставка")</f>
        <v/>
      </c>
      <c r="L80" s="3">
        <f>ROUND(IF(K80="мин.ставка",I80*100,G80/102*2),2)</f>
        <v/>
      </c>
      <c r="M80" s="5" t="n">
        <v>46242.5</v>
      </c>
      <c r="N80" t="inlineStr">
        <is>
          <t>TravelLine сайт</t>
        </is>
      </c>
      <c r="O80" s="2" t="inlineStr">
        <is>
          <t>СТАНДАРТНЫЙ ДВУХМЕСТНЫЙ НОМЕР</t>
        </is>
      </c>
      <c r="P80" s="6" t="n"/>
      <c r="R80" t="inlineStr"/>
      <c r="S80" t="inlineStr">
        <is>
          <t>Тариф с завтраком</t>
        </is>
      </c>
      <c r="T80" t="n">
        <v>0</v>
      </c>
      <c r="U80" t="n">
        <v>79279.75</v>
      </c>
    </row>
    <row r="81">
      <c r="A81" t="inlineStr">
        <is>
          <t>20260924-8186-468296119</t>
        </is>
      </c>
      <c r="B81" t="n">
        <v>1</v>
      </c>
      <c r="C81" s="2" t="inlineStr">
        <is>
          <t>Александра Реброва</t>
        </is>
      </c>
      <c r="D81" s="3" t="n">
        <v>9702.25</v>
      </c>
      <c r="E81" s="4" t="n">
        <v>4</v>
      </c>
      <c r="F81" t="inlineStr">
        <is>
          <t>TravelLine Booking Engine [Чайковский]</t>
        </is>
      </c>
      <c r="G81" s="3">
        <f>ROUND(D81/(100-E81)*100,2)</f>
        <v/>
      </c>
      <c r="H81" s="5" t="n">
        <v>46289.66666666666</v>
      </c>
      <c r="I81" t="n">
        <v>1</v>
      </c>
      <c r="J81" s="3">
        <f>G81/I81</f>
        <v/>
      </c>
      <c r="K81">
        <f>IF(J81&gt;=5100,"ставка","мин.ставка")</f>
        <v/>
      </c>
      <c r="L81" s="3">
        <f>ROUND(IF(K81="мин.ставка",I81*100,G81/102*2),2)</f>
        <v/>
      </c>
      <c r="M81" s="5" t="n">
        <v>46290.5</v>
      </c>
      <c r="N81" t="inlineStr">
        <is>
          <t>TravelLine сайт</t>
        </is>
      </c>
      <c r="O81" s="2" t="inlineStr">
        <is>
          <t>СТАНДАРТНЫЙ ДВУХМЕСТНЫЙ НОМЕР</t>
        </is>
      </c>
      <c r="P81" s="6" t="n"/>
      <c r="R81" t="inlineStr"/>
      <c r="S81" t="inlineStr">
        <is>
          <t>Основной тариф без завтрака</t>
        </is>
      </c>
      <c r="T81" t="n">
        <v>0</v>
      </c>
      <c r="U81" t="n">
        <v>9702.25</v>
      </c>
    </row>
    <row r="82">
      <c r="A82" t="inlineStr">
        <is>
          <t>20260725-8186-413407903</t>
        </is>
      </c>
      <c r="B82" t="n">
        <v>1</v>
      </c>
      <c r="C82" s="2" t="inlineStr">
        <is>
          <t>Александра Шевелева</t>
        </is>
      </c>
      <c r="D82" s="3" t="n">
        <v>53661.3</v>
      </c>
      <c r="E82" s="4" t="n">
        <v>4</v>
      </c>
      <c r="F82" t="inlineStr">
        <is>
          <t>TravelLine Booking Engine [Чайковский]</t>
        </is>
      </c>
      <c r="G82" s="3">
        <f>ROUND(D82/(100-E82)*100,2)</f>
        <v/>
      </c>
      <c r="H82" s="5" t="n">
        <v>46228.66666666666</v>
      </c>
      <c r="I82" t="n">
        <v>7</v>
      </c>
      <c r="J82" s="3">
        <f>G82/I82</f>
        <v/>
      </c>
      <c r="K82">
        <f>IF(J82&gt;=5100,"ставка","мин.ставка")</f>
        <v/>
      </c>
      <c r="L82" s="3">
        <f>ROUND(IF(K82="мин.ставка",I82*100,G82/102*2),2)</f>
        <v/>
      </c>
      <c r="M82" s="5" t="n">
        <v>46235.375</v>
      </c>
      <c r="N82" t="inlineStr">
        <is>
          <t>TravelLine сайт</t>
        </is>
      </c>
      <c r="O82" s="2" t="inlineStr">
        <is>
          <t>СТАНДАРТНЫЙ ОДНОМЕСТНЫЙ НОМЕР</t>
        </is>
      </c>
      <c r="P82" s="6" t="n"/>
      <c r="R82" t="inlineStr"/>
      <c r="S82" t="inlineStr">
        <is>
          <t>Тариф с завтраком</t>
        </is>
      </c>
      <c r="T82" t="n">
        <v>0</v>
      </c>
      <c r="U82" t="n">
        <v>53661.3</v>
      </c>
    </row>
    <row r="83">
      <c r="A83" t="inlineStr">
        <is>
          <t>20260909-8186-464877594</t>
        </is>
      </c>
      <c r="B83" t="n">
        <v>1</v>
      </c>
      <c r="C83" s="2" t="inlineStr">
        <is>
          <t>Алексей Анисимов</t>
        </is>
      </c>
      <c r="D83" s="3" t="n">
        <v>13050</v>
      </c>
      <c r="E83" s="4" t="n">
        <v>0</v>
      </c>
      <c r="F83" t="inlineStr">
        <is>
          <t>Прямые бронирования (стойка) [Чайковский]</t>
        </is>
      </c>
      <c r="G83" s="3">
        <f>ROUND(D83/(100-E83)*100,2)</f>
        <v/>
      </c>
      <c r="H83" s="5" t="n">
        <v>46274.58333333334</v>
      </c>
      <c r="I83" t="n">
        <v>1</v>
      </c>
      <c r="J83" s="3">
        <f>G83/I83</f>
        <v/>
      </c>
      <c r="K83">
        <f>IF(J83&gt;=5100,"ставка","мин.ставка")</f>
        <v/>
      </c>
      <c r="L83" s="3">
        <f>ROUND(IF(K83="мин.ставка",I83*100,G83/102*2),2)</f>
        <v/>
      </c>
      <c r="M83" s="5" t="n">
        <v>46275.5</v>
      </c>
      <c r="N83" t="inlineStr">
        <is>
          <t>TravelLine ресепшн</t>
        </is>
      </c>
      <c r="O83" s="2" t="inlineStr">
        <is>
          <t>ПОЛУЛЮКС</t>
        </is>
      </c>
      <c r="P83" s="6" t="n"/>
      <c r="R83" t="inlineStr"/>
      <c r="S83" t="inlineStr">
        <is>
          <t>Тариф с завтраком</t>
        </is>
      </c>
      <c r="T83" t="n">
        <v>0</v>
      </c>
      <c r="U83" t="n">
        <v>13050</v>
      </c>
    </row>
    <row r="84">
      <c r="A84" t="inlineStr">
        <is>
          <t>20260921-8186-446871466</t>
        </is>
      </c>
      <c r="B84" t="n">
        <v>1</v>
      </c>
      <c r="C84" s="2" t="inlineStr">
        <is>
          <t>Алексей Бавтрукевич</t>
        </is>
      </c>
      <c r="D84" s="3" t="n">
        <v>31481.5</v>
      </c>
      <c r="E84" s="4" t="n">
        <v>4</v>
      </c>
      <c r="F84" t="inlineStr">
        <is>
          <t>TravelLine Booking Engine [Чайковский]</t>
        </is>
      </c>
      <c r="G84" s="3">
        <f>ROUND(D84/(100-E84)*100,2)</f>
        <v/>
      </c>
      <c r="H84" s="5" t="n">
        <v>46286.58333333334</v>
      </c>
      <c r="I84" t="n">
        <v>4</v>
      </c>
      <c r="J84" s="3">
        <f>G84/I84</f>
        <v/>
      </c>
      <c r="K84">
        <f>IF(J84&gt;=5100,"ставка","мин.ставка")</f>
        <v/>
      </c>
      <c r="L84" s="3">
        <f>ROUND(IF(K84="мин.ставка",I84*100,G84/102*2),2)</f>
        <v/>
      </c>
      <c r="M84" s="5" t="n">
        <v>46290.5</v>
      </c>
      <c r="N84" t="inlineStr">
        <is>
          <t>TravelLine сайт</t>
        </is>
      </c>
      <c r="O84" s="2" t="inlineStr">
        <is>
          <t>СТАНДАРТНЫЙ ДВУХМЕСТНЫЙ НОМЕР (МАНСАРДА)</t>
        </is>
      </c>
      <c r="P84" s="6" t="n"/>
      <c r="R84" t="inlineStr"/>
      <c r="S84" t="inlineStr">
        <is>
          <t>Тариф с завтраком</t>
        </is>
      </c>
      <c r="T84" t="n">
        <v>0</v>
      </c>
      <c r="U84" t="n">
        <v>31481.5</v>
      </c>
    </row>
    <row r="85">
      <c r="A85" t="inlineStr">
        <is>
          <t>20260918-8186-411171666</t>
        </is>
      </c>
      <c r="B85" t="n">
        <v>1</v>
      </c>
      <c r="C85" s="2" t="inlineStr">
        <is>
          <t>Алексей Бобров, Мария Боброва</t>
        </is>
      </c>
      <c r="D85" s="3" t="n">
        <v>16830</v>
      </c>
      <c r="E85" s="4" t="n">
        <v>15</v>
      </c>
      <c r="F85" t="inlineStr">
        <is>
          <t>ООО Тинькофф Путешествия [Чайковский]</t>
        </is>
      </c>
      <c r="G85" s="3">
        <f>ROUND(D85/(100-E85)*100,2)</f>
        <v/>
      </c>
      <c r="H85" s="5" t="n">
        <v>46283.91666666666</v>
      </c>
      <c r="I85" t="n">
        <v>2</v>
      </c>
      <c r="J85" s="3">
        <f>G85/I85</f>
        <v/>
      </c>
      <c r="K85">
        <f>IF(J85&gt;=5100,"ставка","мин.ставка")</f>
        <v/>
      </c>
      <c r="L85" s="3">
        <f>ROUND(IF(K85="мин.ставка",I85*100,G85/102*2),2)</f>
        <v/>
      </c>
      <c r="M85" s="5" t="n">
        <v>46285.5</v>
      </c>
      <c r="N85" t="inlineStr">
        <is>
          <t>TravelLine TNK</t>
        </is>
      </c>
      <c r="O85" s="2" t="inlineStr">
        <is>
          <t>СТАНДАРТНЫЙ ДВУХМЕСТНЫЙ НОМЕР (МАНСАРДА)</t>
        </is>
      </c>
      <c r="P85" s="6" t="n"/>
      <c r="R85" t="inlineStr"/>
      <c r="S85" t="inlineStr">
        <is>
          <t>Тариф с завтраком</t>
        </is>
      </c>
      <c r="T85" t="n">
        <v>0</v>
      </c>
      <c r="U85" t="n">
        <v>16830</v>
      </c>
    </row>
    <row r="86">
      <c r="A86" t="inlineStr">
        <is>
          <t>20260905-8186-463872786</t>
        </is>
      </c>
      <c r="B86" t="n">
        <v>1</v>
      </c>
      <c r="C86" s="2" t="inlineStr">
        <is>
          <t>Алексей Буланцев, Алла Гейслер</t>
        </is>
      </c>
      <c r="D86" s="3" t="n">
        <v>10012.5</v>
      </c>
      <c r="E86" s="4" t="n">
        <v>18</v>
      </c>
      <c r="F86" t="inlineStr">
        <is>
          <t>Яндекс.Путешествия [Чайковский]</t>
        </is>
      </c>
      <c r="G86" s="3">
        <f>ROUND(D86/(100-E86)*100,2)</f>
        <v/>
      </c>
      <c r="H86" s="5" t="n">
        <v>46270.58333333334</v>
      </c>
      <c r="I86" t="n">
        <v>1</v>
      </c>
      <c r="J86" s="3">
        <f>G86/I86</f>
        <v/>
      </c>
      <c r="K86">
        <f>IF(J86&gt;=5100,"ставка","мин.ставка")</f>
        <v/>
      </c>
      <c r="L86" s="3">
        <f>ROUND(IF(K86="мин.ставка",I86*100,G86/102*2),2)</f>
        <v/>
      </c>
      <c r="M86" s="5" t="n">
        <v>46271.5</v>
      </c>
      <c r="N86" t="inlineStr">
        <is>
          <t>TravelLine YAX</t>
        </is>
      </c>
      <c r="O86" s="2" t="inlineStr">
        <is>
          <t>СТАНДАРТНЫЙ ДВУХМЕСТНЫЙ НОМЕР</t>
        </is>
      </c>
      <c r="P86" s="6" t="n"/>
      <c r="R86" t="inlineStr"/>
      <c r="S86" t="inlineStr">
        <is>
          <t>Тариф с завтраком</t>
        </is>
      </c>
      <c r="T86" t="n">
        <v>0</v>
      </c>
      <c r="U86" t="n">
        <v>10012.5</v>
      </c>
    </row>
    <row r="87">
      <c r="A87" t="inlineStr">
        <is>
          <t>20260814-8186-445727724</t>
        </is>
      </c>
      <c r="B87" t="n">
        <v>1</v>
      </c>
      <c r="C87" s="2" t="inlineStr">
        <is>
          <t>Алексей Быков</t>
        </is>
      </c>
      <c r="D87" s="3" t="n">
        <v>86827.5</v>
      </c>
      <c r="E87" s="4" t="n">
        <v>16</v>
      </c>
      <c r="F87" t="inlineStr">
        <is>
          <t>ООО "БРОНИРОВАНИЕ ГОСТИНИЦ" (OSTROVOK) [Чайковский]</t>
        </is>
      </c>
      <c r="G87" s="3">
        <f>ROUND(D87/(100-E87)*100,2)</f>
        <v/>
      </c>
      <c r="H87" s="5" t="n">
        <v>46249.58333333334</v>
      </c>
      <c r="I87" t="n">
        <v>9</v>
      </c>
      <c r="J87" s="3">
        <f>G87/I87</f>
        <v/>
      </c>
      <c r="K87">
        <f>IF(J87&gt;=5100,"ставка","мин.ставка")</f>
        <v/>
      </c>
      <c r="L87" s="3">
        <f>ROUND(IF(K87="мин.ставка",I87*100,G87/102*2),2)</f>
        <v/>
      </c>
      <c r="M87" s="5" t="n">
        <v>46258.5</v>
      </c>
      <c r="N87" t="inlineStr">
        <is>
          <t>TravelLine OTK</t>
        </is>
      </c>
      <c r="O87" s="2" t="inlineStr">
        <is>
          <t>СТАНДАРТНЫЙ ДВУХМЕСТНЫЙ НОМЕР</t>
        </is>
      </c>
      <c r="P87" s="6" t="n"/>
      <c r="R87" t="inlineStr"/>
      <c r="S87" t="inlineStr">
        <is>
          <t>Тариф с завтраком</t>
        </is>
      </c>
      <c r="T87" t="n">
        <v>0</v>
      </c>
      <c r="U87" t="n">
        <v>86827.5</v>
      </c>
    </row>
    <row r="88">
      <c r="A88" t="inlineStr">
        <is>
          <t>20260928-8186-468491445</t>
        </is>
      </c>
      <c r="B88" t="n">
        <v>1</v>
      </c>
      <c r="C88" s="2" t="inlineStr">
        <is>
          <t>Алексей Власов</t>
        </is>
      </c>
      <c r="D88" s="3" t="n">
        <v>27921</v>
      </c>
      <c r="E88" s="4" t="n">
        <v>18</v>
      </c>
      <c r="F88" t="inlineStr">
        <is>
          <t>ООО "Эй энд Эй" [Чайковский]</t>
        </is>
      </c>
      <c r="G88" s="3">
        <f>ROUND(D88/(100-E88)*100,2)</f>
        <v/>
      </c>
      <c r="H88" s="5" t="n">
        <v>46293.58333333334</v>
      </c>
      <c r="I88" t="n">
        <v>3</v>
      </c>
      <c r="J88" s="3">
        <f>G88/I88</f>
        <v/>
      </c>
      <c r="K88">
        <f>IF(J88&gt;=5100,"ставка","мин.ставка")</f>
        <v/>
      </c>
      <c r="L88" s="3">
        <f>ROUND(IF(K88="мин.ставка",I88*100,G88/102*2),2)</f>
        <v/>
      </c>
      <c r="M88" s="5" t="n">
        <v>46296.5</v>
      </c>
      <c r="N88" t="inlineStr">
        <is>
          <t>TravelLine ANA</t>
        </is>
      </c>
      <c r="O88" s="2" t="inlineStr">
        <is>
          <t>СТАНДАРТНЫЙ ДВУХМЕСТНЫЙ НОМЕР</t>
        </is>
      </c>
      <c r="P88" s="6" t="n"/>
      <c r="R88" t="inlineStr"/>
      <c r="S88" t="inlineStr">
        <is>
          <t>Тариф с завтраком</t>
        </is>
      </c>
      <c r="T88" t="n">
        <v>0</v>
      </c>
      <c r="U88" t="n">
        <v>27921</v>
      </c>
    </row>
    <row r="89">
      <c r="A89" t="inlineStr">
        <is>
          <t>20260801-8186-451401822</t>
        </is>
      </c>
      <c r="B89" t="n">
        <v>1</v>
      </c>
      <c r="C89" s="2" t="inlineStr">
        <is>
          <t>Алексей Гладков, ОЛЬГА Михальченко</t>
        </is>
      </c>
      <c r="D89" s="3" t="n">
        <v>15840</v>
      </c>
      <c r="E89" s="4" t="n">
        <v>18</v>
      </c>
      <c r="F89" t="inlineStr">
        <is>
          <t>Яндекс.Путешествия [Чайковский]</t>
        </is>
      </c>
      <c r="G89" s="3">
        <f>ROUND(D89/(100-E89)*100,2)</f>
        <v/>
      </c>
      <c r="H89" s="5" t="n">
        <v>46235.58333333334</v>
      </c>
      <c r="I89" t="n">
        <v>2</v>
      </c>
      <c r="J89" s="3">
        <f>G89/I89</f>
        <v/>
      </c>
      <c r="K89">
        <f>IF(J89&gt;=5100,"ставка","мин.ставка")</f>
        <v/>
      </c>
      <c r="L89" s="3">
        <f>ROUND(IF(K89="мин.ставка",I89*100,G89/102*2),2)</f>
        <v/>
      </c>
      <c r="M89" s="5" t="n">
        <v>46237.5</v>
      </c>
      <c r="N89" t="inlineStr">
        <is>
          <t>TravelLine YAX</t>
        </is>
      </c>
      <c r="O89" s="2" t="inlineStr">
        <is>
          <t>СТАНДАРТНЫЙ ДВУХМЕСТНЫЙ НОМЕР (МАНСАРДА)</t>
        </is>
      </c>
      <c r="P89" s="6" t="n"/>
      <c r="R89" t="inlineStr"/>
      <c r="S89" t="inlineStr">
        <is>
          <t>Тариф с завтраком</t>
        </is>
      </c>
      <c r="T89" t="n">
        <v>0</v>
      </c>
      <c r="U89" t="n">
        <v>15840</v>
      </c>
    </row>
    <row r="90">
      <c r="A90" t="inlineStr">
        <is>
          <t>20260708-8186-445371668</t>
        </is>
      </c>
      <c r="B90" t="n">
        <v>1</v>
      </c>
      <c r="C90" s="2" t="inlineStr">
        <is>
          <t>Алексей Грахов</t>
        </is>
      </c>
      <c r="D90" s="3" t="n">
        <v>19295</v>
      </c>
      <c r="E90" s="4" t="n">
        <v>15</v>
      </c>
      <c r="F90" t="inlineStr">
        <is>
          <t>ООО «СБО» (Ростелеком) [Чайковский]</t>
        </is>
      </c>
      <c r="G90" s="3">
        <f>ROUND(D90/(100-E90)*100,2)</f>
        <v/>
      </c>
      <c r="H90" s="5" t="n">
        <v>46211.58333333334</v>
      </c>
      <c r="I90" t="n">
        <v>2</v>
      </c>
      <c r="J90" s="3">
        <f>G90/I90</f>
        <v/>
      </c>
      <c r="K90">
        <f>IF(J90&gt;=5100,"ставка","мин.ставка")</f>
        <v/>
      </c>
      <c r="L90" s="3">
        <f>ROUND(IF(K90="мин.ставка",I90*100,G90/102*2),2)</f>
        <v/>
      </c>
      <c r="M90" s="5" t="n">
        <v>46213.5</v>
      </c>
      <c r="N90" t="inlineStr">
        <is>
          <t>TravelLine RTT</t>
        </is>
      </c>
      <c r="O90" s="2" t="inlineStr">
        <is>
          <t>СТАНДАРТНЫЙ ДВУХМЕСТНЫЙ НОМЕР</t>
        </is>
      </c>
      <c r="P90" s="6" t="n"/>
      <c r="R90" t="inlineStr"/>
      <c r="S90" t="inlineStr">
        <is>
          <t>Тариф с завтраком</t>
        </is>
      </c>
      <c r="T90" t="n">
        <v>0</v>
      </c>
      <c r="U90" t="n">
        <v>19295</v>
      </c>
    </row>
    <row r="91">
      <c r="A91" t="inlineStr">
        <is>
          <t>20260715-8186-450339541</t>
        </is>
      </c>
      <c r="B91" t="n">
        <v>1</v>
      </c>
      <c r="C91" s="2" t="inlineStr">
        <is>
          <t>Алексей Дегтярёв, Екатерина Дегтярёва, Олеся Дегтярёва</t>
        </is>
      </c>
      <c r="D91" s="3" t="n">
        <v>13275.3</v>
      </c>
      <c r="E91" s="4" t="n">
        <v>4</v>
      </c>
      <c r="F91" t="inlineStr">
        <is>
          <t>TravelLine Booking Engine [Чайковский]</t>
        </is>
      </c>
      <c r="G91" s="3">
        <f>ROUND(D91/(100-E91)*100,2)</f>
        <v/>
      </c>
      <c r="H91" s="5" t="n">
        <v>46218.83333333334</v>
      </c>
      <c r="I91" t="n">
        <v>1</v>
      </c>
      <c r="J91" s="3">
        <f>G91/I91</f>
        <v/>
      </c>
      <c r="K91">
        <f>IF(J91&gt;=5100,"ставка","мин.ставка")</f>
        <v/>
      </c>
      <c r="L91" s="3">
        <f>ROUND(IF(K91="мин.ставка",I91*100,G91/102*2),2)</f>
        <v/>
      </c>
      <c r="M91" s="5" t="n">
        <v>46219.5</v>
      </c>
      <c r="N91" t="inlineStr">
        <is>
          <t>TravelLine сайт</t>
        </is>
      </c>
      <c r="O91" s="2" t="inlineStr">
        <is>
          <t>СЕМЕЙНЫЙ НОМЕР КАТЕГОРИИ "СТАНДАРТ" ВТОРОЙ КОРПУС</t>
        </is>
      </c>
      <c r="P91" s="6" t="n"/>
      <c r="R91" t="inlineStr"/>
      <c r="S91" t="inlineStr">
        <is>
          <t>Тариф с завтраком</t>
        </is>
      </c>
      <c r="T91" t="n">
        <v>0</v>
      </c>
      <c r="U91" t="n">
        <v>13275.3</v>
      </c>
    </row>
    <row r="92">
      <c r="A92" t="inlineStr">
        <is>
          <t>20260713-8186-448221235</t>
        </is>
      </c>
      <c r="B92" t="n">
        <v>1</v>
      </c>
      <c r="C92" s="2" t="inlineStr">
        <is>
          <t>Алексей Косарев</t>
        </is>
      </c>
      <c r="D92" s="3" t="n">
        <v>45400</v>
      </c>
      <c r="E92" s="4" t="n">
        <v>4</v>
      </c>
      <c r="F92" t="inlineStr">
        <is>
          <t>TravelLine Booking Engine [Чайковский]</t>
        </is>
      </c>
      <c r="G92" s="3">
        <f>ROUND(D92/(100-E92)*100,2)</f>
        <v/>
      </c>
      <c r="H92" s="5" t="n">
        <v>46216.58333333334</v>
      </c>
      <c r="I92" t="n">
        <v>4</v>
      </c>
      <c r="J92" s="3">
        <f>G92/I92</f>
        <v/>
      </c>
      <c r="K92">
        <f>IF(J92&gt;=5100,"ставка","мин.ставка")</f>
        <v/>
      </c>
      <c r="L92" s="3">
        <f>ROUND(IF(K92="мин.ставка",I92*100,G92/102*2),2)</f>
        <v/>
      </c>
      <c r="M92" s="5" t="n">
        <v>46220.5</v>
      </c>
      <c r="N92" t="inlineStr">
        <is>
          <t>TravelLine сайт</t>
        </is>
      </c>
      <c r="O92" s="2" t="inlineStr">
        <is>
          <t>СТАНДАРТНЫЙ ДВУХМЕСТНЫЙ НОМЕР</t>
        </is>
      </c>
      <c r="P92" s="6" t="n"/>
      <c r="R92" t="inlineStr"/>
      <c r="S92" t="inlineStr">
        <is>
          <t>Тариф с завтраком</t>
        </is>
      </c>
      <c r="T92" t="n">
        <v>0</v>
      </c>
      <c r="U92" t="n">
        <v>90800</v>
      </c>
    </row>
    <row r="93">
      <c r="A93" t="inlineStr">
        <is>
          <t>20260712-8186-449256550</t>
        </is>
      </c>
      <c r="B93" t="n">
        <v>1</v>
      </c>
      <c r="C93" s="2" t="inlineStr">
        <is>
          <t>алексей красоцкий, ольга красоцкая</t>
        </is>
      </c>
      <c r="D93" s="3" t="n">
        <v>8720</v>
      </c>
      <c r="E93" s="4" t="n">
        <v>20</v>
      </c>
      <c r="F93" t="inlineStr">
        <is>
          <t>ООО "КОМПАНИЯ БРОНЕВИК" [Чайковский]</t>
        </is>
      </c>
      <c r="G93" s="3">
        <f>ROUND(D93/(100-E93)*100,2)</f>
        <v/>
      </c>
      <c r="H93" s="5" t="n">
        <v>46215.58333333334</v>
      </c>
      <c r="I93" t="n">
        <v>1</v>
      </c>
      <c r="J93" s="3">
        <f>G93/I93</f>
        <v/>
      </c>
      <c r="K93">
        <f>IF(J93&gt;=5100,"ставка","мин.ставка")</f>
        <v/>
      </c>
      <c r="L93" s="3">
        <f>ROUND(IF(K93="мин.ставка",I93*100,G93/102*2),2)</f>
        <v/>
      </c>
      <c r="M93" s="5" t="n">
        <v>46216.5</v>
      </c>
      <c r="N93" t="inlineStr">
        <is>
          <t>TravelLine BR2</t>
        </is>
      </c>
      <c r="O93" s="2" t="inlineStr">
        <is>
          <t>СЕМЕЙНЫЙ НОМЕР КАТЕГОРИИ "СТАНДАРТ" ВТОРОЙ КОРПУС</t>
        </is>
      </c>
      <c r="P93" s="6" t="n"/>
      <c r="R93" t="inlineStr"/>
      <c r="S93" t="inlineStr">
        <is>
          <t>Тариф с завтраком</t>
        </is>
      </c>
      <c r="T93" t="n">
        <v>0</v>
      </c>
      <c r="U93" t="n">
        <v>8720</v>
      </c>
    </row>
    <row r="94">
      <c r="A94" t="inlineStr">
        <is>
          <t>20260720-8186-451892506</t>
        </is>
      </c>
      <c r="B94" t="n">
        <v>1</v>
      </c>
      <c r="C94" s="2" t="inlineStr">
        <is>
          <t>Алексей Манин</t>
        </is>
      </c>
      <c r="D94" s="3" t="n">
        <v>8217</v>
      </c>
      <c r="E94" s="4" t="n">
        <v>17</v>
      </c>
      <c r="F94" t="inlineStr">
        <is>
          <t>ООО «Дубль Гис» (OTELLO) [Чайковский]</t>
        </is>
      </c>
      <c r="G94" s="3">
        <f>ROUND(D94/(100-E94)*100,2)</f>
        <v/>
      </c>
      <c r="H94" s="5" t="n">
        <v>46223.58333333334</v>
      </c>
      <c r="I94" t="n">
        <v>1</v>
      </c>
      <c r="J94" s="3">
        <f>G94/I94</f>
        <v/>
      </c>
      <c r="K94">
        <f>IF(J94&gt;=5100,"ставка","мин.ставка")</f>
        <v/>
      </c>
      <c r="L94" s="3">
        <f>ROUND(IF(K94="мин.ставка",I94*100,G94/102*2),2)</f>
        <v/>
      </c>
      <c r="M94" s="5" t="n">
        <v>46224.5</v>
      </c>
      <c r="N94" t="inlineStr">
        <is>
          <t>TravelLine OL2</t>
        </is>
      </c>
      <c r="O94" s="2" t="inlineStr">
        <is>
          <t>СТАНДАРТНЫЙ ДВУХМЕСТНЫЙ НОМЕР</t>
        </is>
      </c>
      <c r="P94" s="6" t="n"/>
      <c r="R94" t="inlineStr"/>
      <c r="S94" t="inlineStr">
        <is>
          <t>Тариф с завтраком</t>
        </is>
      </c>
      <c r="T94" t="n">
        <v>0</v>
      </c>
      <c r="U94" t="n">
        <v>8217</v>
      </c>
    </row>
    <row r="95">
      <c r="A95" t="inlineStr">
        <is>
          <t>20260718-8186-451155669</t>
        </is>
      </c>
      <c r="B95" t="n">
        <v>1</v>
      </c>
      <c r="C95" s="2" t="inlineStr">
        <is>
          <t>Алексей Манин, Наталья Манина</t>
        </is>
      </c>
      <c r="D95" s="3" t="n">
        <v>11080.5</v>
      </c>
      <c r="E95" s="4" t="n">
        <v>17</v>
      </c>
      <c r="F95" t="inlineStr">
        <is>
          <t>ООО «Дубль Гис» (OTELLO) [Чайковский]</t>
        </is>
      </c>
      <c r="G95" s="3">
        <f>ROUND(D95/(100-E95)*100,2)</f>
        <v/>
      </c>
      <c r="H95" s="5" t="n">
        <v>46221.58333333334</v>
      </c>
      <c r="I95" t="n">
        <v>1</v>
      </c>
      <c r="J95" s="3">
        <f>G95/I95</f>
        <v/>
      </c>
      <c r="K95">
        <f>IF(J95&gt;=5100,"ставка","мин.ставка")</f>
        <v/>
      </c>
      <c r="L95" s="3">
        <f>ROUND(IF(K95="мин.ставка",I95*100,G95/102*2),2)</f>
        <v/>
      </c>
      <c r="M95" s="5" t="n">
        <v>46222.5</v>
      </c>
      <c r="N95" t="inlineStr">
        <is>
          <t>TravelLine OL2</t>
        </is>
      </c>
      <c r="O95" s="2" t="inlineStr">
        <is>
          <t>УЛУЧШЕННЫЙ ДВУХМЕСТНЫЙ НОМЕР</t>
        </is>
      </c>
      <c r="P95" s="6" t="n"/>
      <c r="R95" t="inlineStr"/>
      <c r="S95" t="inlineStr">
        <is>
          <t>Тариф с завтраком</t>
        </is>
      </c>
      <c r="T95" t="n">
        <v>0</v>
      </c>
      <c r="U95" t="n">
        <v>11080.5</v>
      </c>
    </row>
    <row r="96">
      <c r="A96" t="inlineStr">
        <is>
          <t>20260718-8186-448944338</t>
        </is>
      </c>
      <c r="B96" t="n">
        <v>1</v>
      </c>
      <c r="C96" s="2" t="inlineStr">
        <is>
          <t>Алексей Митрохин</t>
        </is>
      </c>
      <c r="D96" s="3" t="n">
        <v>56960</v>
      </c>
      <c r="E96" s="4" t="n">
        <v>20</v>
      </c>
      <c r="F96" t="inlineStr">
        <is>
          <t>ООО "КОМПАНИЯ БРОНЕВИК" [Чайковский]</t>
        </is>
      </c>
      <c r="G96" s="3">
        <f>ROUND(D96/(100-E96)*100,2)</f>
        <v/>
      </c>
      <c r="H96" s="5" t="n">
        <v>46221.58333333334</v>
      </c>
      <c r="I96" t="n">
        <v>8</v>
      </c>
      <c r="J96" s="3">
        <f>G96/I96</f>
        <v/>
      </c>
      <c r="K96">
        <f>IF(J96&gt;=5100,"ставка","мин.ставка")</f>
        <v/>
      </c>
      <c r="L96" s="3">
        <f>ROUND(IF(K96="мин.ставка",I96*100,G96/102*2),2)</f>
        <v/>
      </c>
      <c r="M96" s="5" t="n">
        <v>46229.5</v>
      </c>
      <c r="N96" t="inlineStr">
        <is>
          <t>TravelLine BR2</t>
        </is>
      </c>
      <c r="O96" s="2" t="inlineStr">
        <is>
          <t>СЕМЕЙНЫЙ НОМЕР КАТЕГОРИИ "СТАНДАРТ" ВТОРОЙ КОРПУС</t>
        </is>
      </c>
      <c r="P96" s="6" t="n"/>
      <c r="R96" t="inlineStr"/>
      <c r="S96" t="inlineStr">
        <is>
          <t>Тариф с завтраком</t>
        </is>
      </c>
      <c r="T96" t="n">
        <v>0</v>
      </c>
      <c r="U96" t="n">
        <v>56960</v>
      </c>
    </row>
    <row r="97">
      <c r="A97" t="inlineStr">
        <is>
          <t>20260907-8186-463206260</t>
        </is>
      </c>
      <c r="B97" t="n">
        <v>1</v>
      </c>
      <c r="C97" s="2" t="inlineStr">
        <is>
          <t>Алексей Моисеев</t>
        </is>
      </c>
      <c r="D97" s="3" t="n">
        <v>18160</v>
      </c>
      <c r="E97" s="4" t="n">
        <v>20</v>
      </c>
      <c r="F97" t="inlineStr">
        <is>
          <t>ООО "КОМПАНИЯ БРОНЕВИК" [Чайковский]</t>
        </is>
      </c>
      <c r="G97" s="3">
        <f>ROUND(D97/(100-E97)*100,2)</f>
        <v/>
      </c>
      <c r="H97" s="5" t="n">
        <v>46272.58333333334</v>
      </c>
      <c r="I97" t="n">
        <v>2</v>
      </c>
      <c r="J97" s="3">
        <f>G97/I97</f>
        <v/>
      </c>
      <c r="K97">
        <f>IF(J97&gt;=5100,"ставка","мин.ставка")</f>
        <v/>
      </c>
      <c r="L97" s="3">
        <f>ROUND(IF(K97="мин.ставка",I97*100,G97/102*2),2)</f>
        <v/>
      </c>
      <c r="M97" s="5" t="n">
        <v>46274.5</v>
      </c>
      <c r="N97" t="inlineStr">
        <is>
          <t>TravelLine BR2</t>
        </is>
      </c>
      <c r="O97" s="2" t="inlineStr">
        <is>
          <t>СТАНДАРТНЫЙ ДВУХМЕСТНЫЙ НОМЕР</t>
        </is>
      </c>
      <c r="P97" s="6" t="n"/>
      <c r="R97" t="inlineStr"/>
      <c r="S97" t="inlineStr">
        <is>
          <t>Тариф с завтраком</t>
        </is>
      </c>
      <c r="T97" t="n">
        <v>0</v>
      </c>
      <c r="U97" t="n">
        <v>18160</v>
      </c>
    </row>
    <row r="98">
      <c r="A98" t="inlineStr">
        <is>
          <t>20260823-8186-458220929</t>
        </is>
      </c>
      <c r="B98" t="n">
        <v>1</v>
      </c>
      <c r="C98" s="2" t="inlineStr">
        <is>
          <t>АЛЕКСЕЙ МОСКВИН</t>
        </is>
      </c>
      <c r="D98" s="3" t="n">
        <v>28942.5</v>
      </c>
      <c r="E98" s="4" t="n">
        <v>15</v>
      </c>
      <c r="F98" t="inlineStr">
        <is>
          <t>ООО "АКАДЕМ-ОНЛАЙН" [Чайковский]</t>
        </is>
      </c>
      <c r="G98" s="3">
        <f>ROUND(D98/(100-E98)*100,2)</f>
        <v/>
      </c>
      <c r="H98" s="5" t="n">
        <v>46257.58333333334</v>
      </c>
      <c r="I98" t="n">
        <v>3</v>
      </c>
      <c r="J98" s="3">
        <f>G98/I98</f>
        <v/>
      </c>
      <c r="K98">
        <f>IF(J98&gt;=5100,"ставка","мин.ставка")</f>
        <v/>
      </c>
      <c r="L98" s="3">
        <f>ROUND(IF(K98="мин.ставка",I98*100,G98/102*2),2)</f>
        <v/>
      </c>
      <c r="M98" s="5" t="n">
        <v>46260.5</v>
      </c>
      <c r="N98" t="inlineStr">
        <is>
          <t>TravelLine ACS</t>
        </is>
      </c>
      <c r="O98" s="2" t="inlineStr">
        <is>
          <t>СТАНДАРТНЫЙ ДВУХМЕСТНЫЙ НОМЕР</t>
        </is>
      </c>
      <c r="P98" s="6" t="n"/>
      <c r="R98" t="inlineStr"/>
      <c r="S98" t="inlineStr">
        <is>
          <t>Тариф с завтраком</t>
        </is>
      </c>
      <c r="T98" t="n">
        <v>0</v>
      </c>
      <c r="U98" t="n">
        <v>28942.5</v>
      </c>
    </row>
    <row r="99">
      <c r="A99" t="inlineStr">
        <is>
          <t>20260709-8186-415694395</t>
        </is>
      </c>
      <c r="B99" t="n">
        <v>1</v>
      </c>
      <c r="C99" s="2" t="inlineStr">
        <is>
          <t>Алексей Остроумов</t>
        </is>
      </c>
      <c r="D99" s="3" t="n">
        <v>25878</v>
      </c>
      <c r="E99" s="4" t="n">
        <v>18</v>
      </c>
      <c r="F99" t="inlineStr">
        <is>
          <t>Яндекс.Путешествия [Чайковский]</t>
        </is>
      </c>
      <c r="G99" s="3">
        <f>ROUND(D99/(100-E99)*100,2)</f>
        <v/>
      </c>
      <c r="H99" s="5" t="n">
        <v>46212.58333333334</v>
      </c>
      <c r="I99" t="n">
        <v>3</v>
      </c>
      <c r="J99" s="3">
        <f>G99/I99</f>
        <v/>
      </c>
      <c r="K99">
        <f>IF(J99&gt;=5100,"ставка","мин.ставка")</f>
        <v/>
      </c>
      <c r="L99" s="3">
        <f>ROUND(IF(K99="мин.ставка",I99*100,G99/102*2),2)</f>
        <v/>
      </c>
      <c r="M99" s="5" t="n">
        <v>46215.5</v>
      </c>
      <c r="N99" t="inlineStr">
        <is>
          <t>TravelLine YAX</t>
        </is>
      </c>
      <c r="O99" s="2" t="inlineStr">
        <is>
          <t>СТАНДАРТНЫЙ ДВУХМЕСТНЫЙ НОМЕР</t>
        </is>
      </c>
      <c r="P99" s="6" t="n"/>
      <c r="R99" t="inlineStr"/>
      <c r="S99" t="inlineStr">
        <is>
          <t>Тариф с завтраком</t>
        </is>
      </c>
      <c r="T99" t="n">
        <v>0</v>
      </c>
      <c r="U99" t="n">
        <v>25878</v>
      </c>
    </row>
    <row r="100">
      <c r="A100" t="inlineStr">
        <is>
          <t>20260720-8186-451788457</t>
        </is>
      </c>
      <c r="B100" t="n">
        <v>1</v>
      </c>
      <c r="C100" s="2" t="inlineStr">
        <is>
          <t>Алексей Познокос, МАРИАННА ГНЕЗДИЛОВА</t>
        </is>
      </c>
      <c r="D100" s="3" t="n">
        <v>16020</v>
      </c>
      <c r="E100" s="4" t="n">
        <v>0</v>
      </c>
      <c r="F100" t="inlineStr">
        <is>
          <t>Прямые бронирования (стойка) [Чайковский]</t>
        </is>
      </c>
      <c r="G100" s="3">
        <f>ROUND(D100/(100-E100)*100,2)</f>
        <v/>
      </c>
      <c r="H100" s="5" t="n">
        <v>46223.66666666666</v>
      </c>
      <c r="I100" t="n">
        <v>1</v>
      </c>
      <c r="J100" s="3">
        <f>G100/I100</f>
        <v/>
      </c>
      <c r="K100">
        <f>IF(J100&gt;=5100,"ставка","мин.ставка")</f>
        <v/>
      </c>
      <c r="L100" s="3">
        <f>ROUND(IF(K100="мин.ставка",I100*100,G100/102*2),2)</f>
        <v/>
      </c>
      <c r="M100" s="5" t="n">
        <v>46224.70833333334</v>
      </c>
      <c r="N100" t="inlineStr">
        <is>
          <t>TravelLine ресепшн</t>
        </is>
      </c>
      <c r="O100" s="2" t="inlineStr">
        <is>
          <t>ЛЮКС ВТОРОЙ КОРПУС</t>
        </is>
      </c>
      <c r="P100" s="6" t="n"/>
      <c r="R100" t="inlineStr"/>
      <c r="S100" t="inlineStr">
        <is>
          <t>Тариф с завтраком</t>
        </is>
      </c>
      <c r="T100" t="n">
        <v>3338</v>
      </c>
      <c r="U100" t="n">
        <v>19358</v>
      </c>
    </row>
    <row r="101">
      <c r="A101" t="inlineStr">
        <is>
          <t>20260807-8186-452013498</t>
        </is>
      </c>
      <c r="B101" t="n">
        <v>1</v>
      </c>
      <c r="C101" s="2" t="inlineStr">
        <is>
          <t>Алексей Поминов, Екатерина Карчевская</t>
        </is>
      </c>
      <c r="D101" s="3" t="n">
        <v>45390</v>
      </c>
      <c r="E101" s="4" t="n">
        <v>0</v>
      </c>
      <c r="F101" t="inlineStr">
        <is>
          <t>ООО «ХОМЛИН ЛЭНД» (ПЕГАС) [Чайковский]</t>
        </is>
      </c>
      <c r="G101" s="3">
        <f>ROUND(D101/(100-E101)*100,2)</f>
        <v/>
      </c>
      <c r="H101" s="5" t="n">
        <v>46241.58333333334</v>
      </c>
      <c r="I101" t="n">
        <v>4</v>
      </c>
      <c r="J101" s="3">
        <f>G101/I101</f>
        <v/>
      </c>
      <c r="K101">
        <f>IF(J101&gt;=5100,"ставка","мин.ставка")</f>
        <v/>
      </c>
      <c r="L101" s="3">
        <f>ROUND(IF(K101="мин.ставка",I101*100,G101/102*2),2)</f>
        <v/>
      </c>
      <c r="M101" s="5" t="n">
        <v>46245.5</v>
      </c>
      <c r="N101" t="inlineStr">
        <is>
          <t>TravelLine PGS</t>
        </is>
      </c>
      <c r="O101" s="2" t="inlineStr">
        <is>
          <t>СТАНДАРТНЫЙ ДВУХМЕСТНЫЙ НОМЕР</t>
        </is>
      </c>
      <c r="P101" s="6" t="n"/>
      <c r="R101" t="inlineStr"/>
      <c r="S101" t="inlineStr">
        <is>
          <t>Тариф с завтраком</t>
        </is>
      </c>
      <c r="T101" t="n">
        <v>0</v>
      </c>
      <c r="U101" t="n">
        <v>45390</v>
      </c>
    </row>
    <row r="102">
      <c r="A102" t="inlineStr">
        <is>
          <t>20260901-8186-460163932</t>
        </is>
      </c>
      <c r="B102" t="n">
        <v>1</v>
      </c>
      <c r="C102" s="2" t="inlineStr">
        <is>
          <t>Алексей Редькин</t>
        </is>
      </c>
      <c r="D102" s="3" t="n">
        <v>9307</v>
      </c>
      <c r="E102" s="4" t="n">
        <v>18</v>
      </c>
      <c r="F102" t="inlineStr">
        <is>
          <t>ООО "ТРИВИО СЕРВИС" [Чайковский]</t>
        </is>
      </c>
      <c r="G102" s="3">
        <f>ROUND(D102/(100-E102)*100,2)</f>
        <v/>
      </c>
      <c r="H102" s="5" t="n">
        <v>46266.58333333334</v>
      </c>
      <c r="I102" t="n">
        <v>1</v>
      </c>
      <c r="J102" s="3">
        <f>G102/I102</f>
        <v/>
      </c>
      <c r="K102">
        <f>IF(J102&gt;=5100,"ставка","мин.ставка")</f>
        <v/>
      </c>
      <c r="L102" s="3">
        <f>ROUND(IF(K102="мин.ставка",I102*100,G102/102*2),2)</f>
        <v/>
      </c>
      <c r="M102" s="5" t="n">
        <v>46267.5</v>
      </c>
      <c r="N102" t="inlineStr">
        <is>
          <t>TravelLine TIO</t>
        </is>
      </c>
      <c r="O102" s="2" t="inlineStr">
        <is>
          <t>СТАНДАРТНЫЙ ДВУХМЕСТНЫЙ НОМЕР</t>
        </is>
      </c>
      <c r="P102" s="6" t="n"/>
      <c r="R102" t="inlineStr"/>
      <c r="S102" t="inlineStr">
        <is>
          <t>Тариф с завтраком</t>
        </is>
      </c>
      <c r="T102" t="n">
        <v>0</v>
      </c>
      <c r="U102" t="n">
        <v>9307</v>
      </c>
    </row>
    <row r="103">
      <c r="A103" t="inlineStr">
        <is>
          <t>20260913-8186-465050972</t>
        </is>
      </c>
      <c r="B103" t="n">
        <v>1</v>
      </c>
      <c r="C103" s="2" t="inlineStr">
        <is>
          <t>Алексей Свистунов, Анна Киселёва</t>
        </is>
      </c>
      <c r="D103" s="3" t="n">
        <v>8415</v>
      </c>
      <c r="E103" s="4" t="n">
        <v>15</v>
      </c>
      <c r="F103" t="inlineStr">
        <is>
          <t>ООО Тинькофф Путешествия [Чайковский]</t>
        </is>
      </c>
      <c r="G103" s="3">
        <f>ROUND(D103/(100-E103)*100,2)</f>
        <v/>
      </c>
      <c r="H103" s="5" t="n">
        <v>46278.58333333334</v>
      </c>
      <c r="I103" t="n">
        <v>1</v>
      </c>
      <c r="J103" s="3">
        <f>G103/I103</f>
        <v/>
      </c>
      <c r="K103">
        <f>IF(J103&gt;=5100,"ставка","мин.ставка")</f>
        <v/>
      </c>
      <c r="L103" s="3">
        <f>ROUND(IF(K103="мин.ставка",I103*100,G103/102*2),2)</f>
        <v/>
      </c>
      <c r="M103" s="5" t="n">
        <v>46279.5</v>
      </c>
      <c r="N103" t="inlineStr">
        <is>
          <t>TravelLine TNK</t>
        </is>
      </c>
      <c r="O103" s="2" t="inlineStr">
        <is>
          <t>СТАНДАРТНЫЙ ДВУХМЕСТНЫЙ НОМЕР (МАНСАРДА)</t>
        </is>
      </c>
      <c r="P103" s="6" t="n"/>
      <c r="R103" t="inlineStr"/>
      <c r="S103" t="inlineStr">
        <is>
          <t>Тариф с завтраком</t>
        </is>
      </c>
      <c r="T103" t="n">
        <v>0</v>
      </c>
      <c r="U103" t="n">
        <v>8415</v>
      </c>
    </row>
    <row r="104">
      <c r="A104" t="inlineStr">
        <is>
          <t>20260630-8186-444837610</t>
        </is>
      </c>
      <c r="B104" t="n">
        <v>1</v>
      </c>
      <c r="C104" s="2" t="inlineStr">
        <is>
          <t>АЛЕКСЕЙ СПИТЧЕНКО</t>
        </is>
      </c>
      <c r="D104" s="3" t="n">
        <v>19295</v>
      </c>
      <c r="E104" s="4" t="n">
        <v>15</v>
      </c>
      <c r="F104" t="inlineStr">
        <is>
          <t>ООО "АКАДЕМ-ОНЛАЙН" [Чайковский]</t>
        </is>
      </c>
      <c r="G104" s="3">
        <f>ROUND(D104/(100-E104)*100,2)</f>
        <v/>
      </c>
      <c r="H104" s="5" t="n">
        <v>46203.58333333334</v>
      </c>
      <c r="I104" t="n">
        <v>2</v>
      </c>
      <c r="J104" s="3">
        <f>G104/I104</f>
        <v/>
      </c>
      <c r="K104">
        <f>IF(J104&gt;=5100,"ставка","мин.ставка")</f>
        <v/>
      </c>
      <c r="L104" s="3">
        <f>ROUND(IF(K104="мин.ставка",I104*100,G104/102*2),2)</f>
        <v/>
      </c>
      <c r="M104" s="5" t="n">
        <v>46205.5</v>
      </c>
      <c r="N104" t="inlineStr">
        <is>
          <t>TravelLine ACS</t>
        </is>
      </c>
      <c r="O104" s="2" t="inlineStr">
        <is>
          <t>СТАНДАРТНЫЙ ДВУХМЕСТНЫЙ НОМЕР</t>
        </is>
      </c>
      <c r="P104" s="6" t="n"/>
      <c r="R104" t="inlineStr"/>
      <c r="S104" t="inlineStr">
        <is>
          <t>Тариф с завтраком</t>
        </is>
      </c>
      <c r="T104" t="n">
        <v>0</v>
      </c>
      <c r="U104" t="n">
        <v>19295</v>
      </c>
    </row>
    <row r="105">
      <c r="A105" t="inlineStr">
        <is>
          <t>20260708-8186-448591389</t>
        </is>
      </c>
      <c r="B105" t="n">
        <v>1</v>
      </c>
      <c r="C105" s="2" t="inlineStr">
        <is>
          <t>АЛЕКСЕЙ ТАРАСЕНКО</t>
        </is>
      </c>
      <c r="D105" s="3" t="n">
        <v>17181</v>
      </c>
      <c r="E105" s="4" t="n">
        <v>0</v>
      </c>
      <c r="F105" t="inlineStr">
        <is>
          <t>Прямые бронирования (стойка) [Чайковский]</t>
        </is>
      </c>
      <c r="G105" s="3">
        <f>ROUND(D105/(100-E105)*100,2)</f>
        <v/>
      </c>
      <c r="H105" s="5" t="n">
        <v>46211.58333333334</v>
      </c>
      <c r="I105" t="n">
        <v>2</v>
      </c>
      <c r="J105" s="3">
        <f>G105/I105</f>
        <v/>
      </c>
      <c r="K105">
        <f>IF(J105&gt;=5100,"ставка","мин.ставка")</f>
        <v/>
      </c>
      <c r="L105" s="3">
        <f>ROUND(IF(K105="мин.ставка",I105*100,G105/102*2),2)</f>
        <v/>
      </c>
      <c r="M105" s="5" t="n">
        <v>46213.5</v>
      </c>
      <c r="N105" t="inlineStr">
        <is>
          <t>TravelLine CMB</t>
        </is>
      </c>
      <c r="O105" s="2" t="inlineStr">
        <is>
          <t>СТАНДАРТНЫЙ ДВУХМЕСТНЫЙ НОМЕР</t>
        </is>
      </c>
      <c r="P105" s="6" t="n"/>
      <c r="R105" t="inlineStr"/>
      <c r="S105" t="inlineStr">
        <is>
          <t>Тариф с завтраком</t>
        </is>
      </c>
      <c r="T105" t="n">
        <v>0</v>
      </c>
      <c r="U105" t="n">
        <v>17181</v>
      </c>
    </row>
    <row r="106">
      <c r="A106" t="inlineStr">
        <is>
          <t>20260815-8186-445668091</t>
        </is>
      </c>
      <c r="B106" t="n">
        <v>1</v>
      </c>
      <c r="C106" s="2" t="inlineStr">
        <is>
          <t>Алексей Теребилов, Илона Теребилова</t>
        </is>
      </c>
      <c r="D106" s="3" t="n">
        <v>68085</v>
      </c>
      <c r="E106" s="4" t="n">
        <v>15</v>
      </c>
      <c r="F106" t="inlineStr">
        <is>
          <t>Trip.com Group [Чайковский]</t>
        </is>
      </c>
      <c r="G106" s="3">
        <f>ROUND(D106/(100-E106)*100,2)</f>
        <v/>
      </c>
      <c r="H106" s="5" t="n">
        <v>46249.58333333334</v>
      </c>
      <c r="I106" t="n">
        <v>6</v>
      </c>
      <c r="J106" s="3">
        <f>G106/I106</f>
        <v/>
      </c>
      <c r="K106">
        <f>IF(J106&gt;=5100,"ставка","мин.ставка")</f>
        <v/>
      </c>
      <c r="L106" s="3">
        <f>ROUND(IF(K106="мин.ставка",I106*100,G106/102*2),2)</f>
        <v/>
      </c>
      <c r="M106" s="5" t="n">
        <v>46255.5</v>
      </c>
      <c r="N106" t="inlineStr">
        <is>
          <t>TravelLine CTP</t>
        </is>
      </c>
      <c r="O106" s="2" t="inlineStr">
        <is>
          <t>СТАНДАРТНЫЙ ДВУХМЕСТНЫЙ НОМЕР</t>
        </is>
      </c>
      <c r="P106" s="6" t="n"/>
      <c r="R106" t="inlineStr"/>
      <c r="S106" t="inlineStr">
        <is>
          <t>Тариф с завтраком</t>
        </is>
      </c>
      <c r="T106" t="n">
        <v>0</v>
      </c>
      <c r="U106" t="n">
        <v>68085</v>
      </c>
    </row>
    <row r="107">
      <c r="A107" t="inlineStr">
        <is>
          <t>20260808-8186-437797250</t>
        </is>
      </c>
      <c r="B107" t="n">
        <v>1</v>
      </c>
      <c r="C107" s="2" t="inlineStr">
        <is>
          <t>Алексей Тихонов, Александра Тихонова</t>
        </is>
      </c>
      <c r="D107" s="3" t="n">
        <v>53400</v>
      </c>
      <c r="E107" s="4" t="n">
        <v>20</v>
      </c>
      <c r="F107" t="inlineStr">
        <is>
          <t>ООО "ХБ-ПРО" [Чайковский]</t>
        </is>
      </c>
      <c r="G107" s="3">
        <f>ROUND(D107/(100-E107)*100,2)</f>
        <v/>
      </c>
      <c r="H107" s="5" t="n">
        <v>46242.58333333334</v>
      </c>
      <c r="I107" t="n">
        <v>5</v>
      </c>
      <c r="J107" s="3">
        <f>G107/I107</f>
        <v/>
      </c>
      <c r="K107">
        <f>IF(J107&gt;=5100,"ставка","мин.ставка")</f>
        <v/>
      </c>
      <c r="L107" s="3">
        <f>ROUND(IF(K107="мин.ставка",I107*100,G107/102*2),2)</f>
        <v/>
      </c>
      <c r="M107" s="5" t="n">
        <v>46247.5</v>
      </c>
      <c r="N107" t="inlineStr">
        <is>
          <t>TravelLine UTS</t>
        </is>
      </c>
      <c r="O107" s="2" t="inlineStr">
        <is>
          <t>СТАНДАРТНЫЙ ДВУХМЕСТНЫЙ НОМЕР</t>
        </is>
      </c>
      <c r="P107" s="6" t="n"/>
      <c r="R107" t="inlineStr"/>
      <c r="S107" t="inlineStr">
        <is>
          <t>Тариф с завтраком</t>
        </is>
      </c>
      <c r="T107" t="n">
        <v>0</v>
      </c>
      <c r="U107" t="n">
        <v>53400</v>
      </c>
    </row>
    <row r="108">
      <c r="A108" t="inlineStr">
        <is>
          <t>20260921-8186-459405487</t>
        </is>
      </c>
      <c r="B108" t="n">
        <v>1</v>
      </c>
      <c r="C108" s="2" t="inlineStr">
        <is>
          <t>Алена Полосенко</t>
        </is>
      </c>
      <c r="D108" s="3" t="n">
        <v>13272</v>
      </c>
      <c r="E108" s="4" t="n">
        <v>16</v>
      </c>
      <c r="F108" t="inlineStr">
        <is>
          <t>ООО "БРОНИРОВАНИЕ ГОСТИНИЦ" (OSTROVOK) [Чайковский]</t>
        </is>
      </c>
      <c r="G108" s="3">
        <f>ROUND(D108/(100-E108)*100,2)</f>
        <v/>
      </c>
      <c r="H108" s="5" t="n">
        <v>46286.58333333334</v>
      </c>
      <c r="I108" t="n">
        <v>2</v>
      </c>
      <c r="J108" s="3">
        <f>G108/I108</f>
        <v/>
      </c>
      <c r="K108">
        <f>IF(J108&gt;=5100,"ставка","мин.ставка")</f>
        <v/>
      </c>
      <c r="L108" s="3">
        <f>ROUND(IF(K108="мин.ставка",I108*100,G108/102*2),2)</f>
        <v/>
      </c>
      <c r="M108" s="5" t="n">
        <v>46288.5</v>
      </c>
      <c r="N108" t="inlineStr">
        <is>
          <t>TravelLine OTK</t>
        </is>
      </c>
      <c r="O108" s="2" t="inlineStr">
        <is>
          <t>СТАНДАРТНЫЙ ДВУХМЕСТНЫЙ НОМЕР (МАНСАРДА)</t>
        </is>
      </c>
      <c r="P108" s="6" t="n"/>
      <c r="R108" t="inlineStr"/>
      <c r="S108" t="inlineStr">
        <is>
          <t>Тариф с завтраком</t>
        </is>
      </c>
      <c r="T108" t="n">
        <v>0</v>
      </c>
      <c r="U108" t="n">
        <v>13272</v>
      </c>
    </row>
    <row r="109">
      <c r="A109" t="inlineStr">
        <is>
          <t>20260917-8186-447353486</t>
        </is>
      </c>
      <c r="B109" t="n">
        <v>1</v>
      </c>
      <c r="C109" s="2" t="inlineStr">
        <is>
          <t>АЛИНА ХОМЕНКО</t>
        </is>
      </c>
      <c r="D109" s="3" t="n">
        <v>12008</v>
      </c>
      <c r="E109" s="4" t="n">
        <v>18</v>
      </c>
      <c r="F109" t="inlineStr">
        <is>
          <t>Яндекс.Путешествия [Чайковский]</t>
        </is>
      </c>
      <c r="G109" s="3">
        <f>ROUND(D109/(100-E109)*100,2)</f>
        <v/>
      </c>
      <c r="H109" s="5" t="n">
        <v>46282.58333333334</v>
      </c>
      <c r="I109" t="n">
        <v>2</v>
      </c>
      <c r="J109" s="3">
        <f>G109/I109</f>
        <v/>
      </c>
      <c r="K109">
        <f>IF(J109&gt;=5100,"ставка","мин.ставка")</f>
        <v/>
      </c>
      <c r="L109" s="3">
        <f>ROUND(IF(K109="мин.ставка",I109*100,G109/102*2),2)</f>
        <v/>
      </c>
      <c r="M109" s="5" t="n">
        <v>46284.5</v>
      </c>
      <c r="N109" t="inlineStr">
        <is>
          <t>TravelLine YAX</t>
        </is>
      </c>
      <c r="O109" s="2" t="inlineStr">
        <is>
          <t>СТАНДАРТНЫЙ ДВУХМЕСТНЫЙ НОМЕР (МАНСАРДА)</t>
        </is>
      </c>
      <c r="P109" s="6" t="n"/>
      <c r="R109" t="inlineStr"/>
      <c r="S109" t="inlineStr">
        <is>
          <t>Тариф с завтраком</t>
        </is>
      </c>
      <c r="T109" t="n">
        <v>0</v>
      </c>
      <c r="U109" t="n">
        <v>12008</v>
      </c>
    </row>
    <row r="110">
      <c r="A110" t="inlineStr">
        <is>
          <t>20260828-8186-456087582</t>
        </is>
      </c>
      <c r="B110" t="n">
        <v>1</v>
      </c>
      <c r="C110" s="2" t="inlineStr">
        <is>
          <t>Алиса Лосс</t>
        </is>
      </c>
      <c r="D110" s="3" t="n">
        <v>10998.15</v>
      </c>
      <c r="E110" s="4" t="n">
        <v>4</v>
      </c>
      <c r="F110" t="inlineStr">
        <is>
          <t>TravelLine Booking Engine [Чайковский]</t>
        </is>
      </c>
      <c r="G110" s="3">
        <f>ROUND(D110/(100-E110)*100,2)</f>
        <v/>
      </c>
      <c r="H110" s="5" t="n">
        <v>46262.58333333334</v>
      </c>
      <c r="I110" t="n">
        <v>1</v>
      </c>
      <c r="J110" s="3">
        <f>G110/I110</f>
        <v/>
      </c>
      <c r="K110">
        <f>IF(J110&gt;=5100,"ставка","мин.ставка")</f>
        <v/>
      </c>
      <c r="L110" s="3">
        <f>ROUND(IF(K110="мин.ставка",I110*100,G110/102*2),2)</f>
        <v/>
      </c>
      <c r="M110" s="5" t="n">
        <v>46263.5</v>
      </c>
      <c r="N110" t="inlineStr">
        <is>
          <t>TravelLine сайт</t>
        </is>
      </c>
      <c r="O110" s="2" t="inlineStr">
        <is>
          <t>СТАНДАРТНЫЙ ДВУХМЕСТНЫЙ НОМЕР</t>
        </is>
      </c>
      <c r="P110" s="6" t="n"/>
      <c r="R110" t="inlineStr"/>
      <c r="S110" t="inlineStr">
        <is>
          <t>Тариф с завтраком</t>
        </is>
      </c>
      <c r="T110" t="n">
        <v>0</v>
      </c>
      <c r="U110" t="n">
        <v>10998.15</v>
      </c>
    </row>
    <row r="111">
      <c r="A111" t="inlineStr">
        <is>
          <t>20260910-8186-427551341</t>
        </is>
      </c>
      <c r="B111" t="n">
        <v>1</v>
      </c>
      <c r="C111" s="2" t="inlineStr">
        <is>
          <t>АЛИЯ ПОПОВА, Оксана Евсейкина</t>
        </is>
      </c>
      <c r="D111" s="3" t="n">
        <v>36045</v>
      </c>
      <c r="E111" s="4" t="n">
        <v>0</v>
      </c>
      <c r="F111" t="inlineStr">
        <is>
          <t>Прямые бронирования (стойка) [Чайковский]</t>
        </is>
      </c>
      <c r="G111" s="3">
        <f>ROUND(D111/(100-E111)*100,2)</f>
        <v/>
      </c>
      <c r="H111" s="5" t="n">
        <v>46275.58333333334</v>
      </c>
      <c r="I111" t="n">
        <v>3</v>
      </c>
      <c r="J111" s="3">
        <f>G111/I111</f>
        <v/>
      </c>
      <c r="K111">
        <f>IF(J111&gt;=5100,"ставка","мин.ставка")</f>
        <v/>
      </c>
      <c r="L111" s="3">
        <f>ROUND(IF(K111="мин.ставка",I111*100,G111/102*2),2)</f>
        <v/>
      </c>
      <c r="M111" s="5" t="n">
        <v>46278.5</v>
      </c>
      <c r="N111" t="inlineStr">
        <is>
          <t>TravelLine ресепшн</t>
        </is>
      </c>
      <c r="O111" s="2" t="inlineStr">
        <is>
          <t>СТАНДАРТНЫЙ ДВУХМЕСТНЫЙ НОМЕР</t>
        </is>
      </c>
      <c r="P111" s="6" t="n"/>
      <c r="R111" t="inlineStr"/>
      <c r="S111" t="inlineStr">
        <is>
          <t>Тариф с завтраком</t>
        </is>
      </c>
      <c r="T111" t="n">
        <v>0</v>
      </c>
      <c r="U111" t="n">
        <v>216270</v>
      </c>
    </row>
    <row r="112">
      <c r="A112" t="inlineStr">
        <is>
          <t>20260715-8186-410045902</t>
        </is>
      </c>
      <c r="B112" t="n">
        <v>1</v>
      </c>
      <c r="C112" s="2" t="inlineStr">
        <is>
          <t>Алла Соловьева, Александра Хрусталева</t>
        </is>
      </c>
      <c r="D112" s="3" t="n">
        <v>59400</v>
      </c>
      <c r="E112" s="4" t="n">
        <v>0</v>
      </c>
      <c r="F112" t="inlineStr">
        <is>
          <t>Прямые бронирования (стойка) [Чайковский]</t>
        </is>
      </c>
      <c r="G112" s="3">
        <f>ROUND(D112/(100-E112)*100,2)</f>
        <v/>
      </c>
      <c r="H112" s="5" t="n">
        <v>46218.58333333334</v>
      </c>
      <c r="I112" t="n">
        <v>4</v>
      </c>
      <c r="J112" s="3">
        <f>G112/I112</f>
        <v/>
      </c>
      <c r="K112">
        <f>IF(J112&gt;=5100,"ставка","мин.ставка")</f>
        <v/>
      </c>
      <c r="L112" s="3">
        <f>ROUND(IF(K112="мин.ставка",I112*100,G112/102*2),2)</f>
        <v/>
      </c>
      <c r="M112" s="5" t="n">
        <v>46222.5</v>
      </c>
      <c r="N112" t="inlineStr">
        <is>
          <t>TravelLine ресепшн</t>
        </is>
      </c>
      <c r="O112" s="2" t="inlineStr">
        <is>
          <t>ПОЛУЛЮКС</t>
        </is>
      </c>
      <c r="P112" s="6" t="n"/>
      <c r="R112" t="inlineStr"/>
      <c r="S112" t="inlineStr">
        <is>
          <t>Тариф с завтраком</t>
        </is>
      </c>
      <c r="T112" t="n">
        <v>0</v>
      </c>
      <c r="U112" t="n">
        <v>59400</v>
      </c>
    </row>
    <row r="113">
      <c r="A113" t="inlineStr">
        <is>
          <t>20260910-8186-427551341</t>
        </is>
      </c>
      <c r="B113" t="n">
        <v>1</v>
      </c>
      <c r="C113" s="2" t="inlineStr">
        <is>
          <t>Алла Шмеркевич, Татьяна Хорошко</t>
        </is>
      </c>
      <c r="D113" s="3" t="n">
        <v>36045</v>
      </c>
      <c r="E113" s="4" t="n">
        <v>0</v>
      </c>
      <c r="F113" t="inlineStr">
        <is>
          <t>Прямые бронирования (стойка) [Чайковский]</t>
        </is>
      </c>
      <c r="G113" s="3">
        <f>ROUND(D113/(100-E113)*100,2)</f>
        <v/>
      </c>
      <c r="H113" s="5" t="n">
        <v>46275.58333333334</v>
      </c>
      <c r="I113" t="n">
        <v>3</v>
      </c>
      <c r="J113" s="3">
        <f>G113/I113</f>
        <v/>
      </c>
      <c r="K113">
        <f>IF(J113&gt;=5100,"ставка","мин.ставка")</f>
        <v/>
      </c>
      <c r="L113" s="3">
        <f>ROUND(IF(K113="мин.ставка",I113*100,G113/102*2),2)</f>
        <v/>
      </c>
      <c r="M113" s="5" t="n">
        <v>46278.5</v>
      </c>
      <c r="N113" t="inlineStr">
        <is>
          <t>TravelLine ресепшн</t>
        </is>
      </c>
      <c r="O113" s="2" t="inlineStr">
        <is>
          <t>СТАНДАРТНЫЙ ДВУХМЕСТНЫЙ НОМЕР</t>
        </is>
      </c>
      <c r="P113" s="6" t="n"/>
      <c r="R113" t="inlineStr"/>
      <c r="S113" t="inlineStr">
        <is>
          <t>Тариф с завтраком</t>
        </is>
      </c>
      <c r="T113" t="n">
        <v>0</v>
      </c>
      <c r="U113" t="n">
        <v>216270</v>
      </c>
    </row>
    <row r="114">
      <c r="A114" t="inlineStr">
        <is>
          <t>20260805-8186-410783185</t>
        </is>
      </c>
      <c r="B114" t="n">
        <v>1</v>
      </c>
      <c r="C114" s="2" t="inlineStr">
        <is>
          <t>АЛФИНА ШАЙГАЯНОВА, РУФИНА ШАКИРОВА</t>
        </is>
      </c>
      <c r="D114" s="3" t="n">
        <v>42075</v>
      </c>
      <c r="E114" s="4" t="n">
        <v>0</v>
      </c>
      <c r="F114" t="inlineStr">
        <is>
          <t>ООО «ХОМЛИН ЛЭНД» (ПЕГАС) [Чайковский]</t>
        </is>
      </c>
      <c r="G114" s="3">
        <f>ROUND(D114/(100-E114)*100,2)</f>
        <v/>
      </c>
      <c r="H114" s="5" t="n">
        <v>46239.58333333334</v>
      </c>
      <c r="I114" t="n">
        <v>5</v>
      </c>
      <c r="J114" s="3">
        <f>G114/I114</f>
        <v/>
      </c>
      <c r="K114">
        <f>IF(J114&gt;=5100,"ставка","мин.ставка")</f>
        <v/>
      </c>
      <c r="L114" s="3">
        <f>ROUND(IF(K114="мин.ставка",I114*100,G114/102*2),2)</f>
        <v/>
      </c>
      <c r="M114" s="5" t="n">
        <v>46244.5</v>
      </c>
      <c r="N114" t="inlineStr">
        <is>
          <t>TravelLine PGS</t>
        </is>
      </c>
      <c r="O114" s="2" t="inlineStr">
        <is>
          <t>СТАНДАРТНЫЙ ДВУХМЕСТНЫЙ НОМЕР (МАНСАРДА)</t>
        </is>
      </c>
      <c r="P114" s="6" t="n"/>
      <c r="R114" t="inlineStr"/>
      <c r="S114" t="inlineStr">
        <is>
          <t>Тариф с завтраком</t>
        </is>
      </c>
      <c r="T114" t="n">
        <v>0</v>
      </c>
      <c r="U114" t="n">
        <v>42075</v>
      </c>
    </row>
    <row r="115">
      <c r="A115" t="inlineStr">
        <is>
          <t>20260924-8186-466578898</t>
        </is>
      </c>
      <c r="B115" t="n">
        <v>1</v>
      </c>
      <c r="C115" s="2" t="inlineStr">
        <is>
          <t>Альберт Волошок</t>
        </is>
      </c>
      <c r="D115" s="3" t="n">
        <v>18160</v>
      </c>
      <c r="E115" s="4" t="n">
        <v>20</v>
      </c>
      <c r="F115" t="inlineStr">
        <is>
          <t>ООО «Дубль Гис» (OTELLO) [Чайковский]</t>
        </is>
      </c>
      <c r="G115" s="3">
        <f>ROUND(D115/(100-E115)*100,2)</f>
        <v/>
      </c>
      <c r="H115" s="5" t="n">
        <v>46289.58333333334</v>
      </c>
      <c r="I115" t="n">
        <v>2</v>
      </c>
      <c r="J115" s="3">
        <f>G115/I115</f>
        <v/>
      </c>
      <c r="K115">
        <f>IF(J115&gt;=5100,"ставка","мин.ставка")</f>
        <v/>
      </c>
      <c r="L115" s="3">
        <f>ROUND(IF(K115="мин.ставка",I115*100,G115/102*2),2)</f>
        <v/>
      </c>
      <c r="M115" s="5" t="n">
        <v>46291.5</v>
      </c>
      <c r="N115" t="inlineStr">
        <is>
          <t>TravelLine OL2</t>
        </is>
      </c>
      <c r="O115" s="2" t="inlineStr">
        <is>
          <t>СТАНДАРТНЫЙ ДВУХМЕСТНЫЙ НОМЕР</t>
        </is>
      </c>
      <c r="P115" s="6" t="n"/>
      <c r="R115" t="inlineStr"/>
      <c r="S115" t="inlineStr">
        <is>
          <t>Тариф с завтраком</t>
        </is>
      </c>
      <c r="T115" t="n">
        <v>0</v>
      </c>
      <c r="U115" t="n">
        <v>36320</v>
      </c>
    </row>
    <row r="116">
      <c r="A116" t="inlineStr">
        <is>
          <t>20260925-8186-457986183</t>
        </is>
      </c>
      <c r="B116" t="n">
        <v>1</v>
      </c>
      <c r="C116" s="2" t="inlineStr">
        <is>
          <t>Альберт Нургазизов, Гузель Нургазизова</t>
        </is>
      </c>
      <c r="D116" s="3" t="n">
        <v>60520</v>
      </c>
      <c r="E116" s="4" t="n">
        <v>0</v>
      </c>
      <c r="F116" t="inlineStr">
        <is>
          <t>ООО «ХОМЛИН ЛЭНД» (ПЕГАС) [Чайковский]</t>
        </is>
      </c>
      <c r="G116" s="3">
        <f>ROUND(D116/(100-E116)*100,2)</f>
        <v/>
      </c>
      <c r="H116" s="5" t="n">
        <v>46290.58333333334</v>
      </c>
      <c r="I116" t="n">
        <v>4</v>
      </c>
      <c r="J116" s="3">
        <f>G116/I116</f>
        <v/>
      </c>
      <c r="K116">
        <f>IF(J116&gt;=5100,"ставка","мин.ставка")</f>
        <v/>
      </c>
      <c r="L116" s="3">
        <f>ROUND(IF(K116="мин.ставка",I116*100,G116/102*2),2)</f>
        <v/>
      </c>
      <c r="M116" s="5" t="n">
        <v>46294.5</v>
      </c>
      <c r="N116" t="inlineStr">
        <is>
          <t>TravelLine PGS</t>
        </is>
      </c>
      <c r="O116" s="2" t="inlineStr">
        <is>
          <t>ЛЮКС ВТОРОЙ КОРПУС</t>
        </is>
      </c>
      <c r="P116" s="6" t="n"/>
      <c r="R116" t="inlineStr"/>
      <c r="S116" t="inlineStr">
        <is>
          <t>Тариф с завтраком</t>
        </is>
      </c>
      <c r="T116" t="n">
        <v>0</v>
      </c>
      <c r="U116" t="n">
        <v>60520</v>
      </c>
    </row>
    <row r="117">
      <c r="A117" t="inlineStr">
        <is>
          <t>20260919-8186-466759616</t>
        </is>
      </c>
      <c r="B117" t="n">
        <v>1</v>
      </c>
      <c r="C117" s="2" t="inlineStr">
        <is>
          <t>АЛЬБИНА ШКИРЕНКОВА</t>
        </is>
      </c>
      <c r="D117" s="3" t="n">
        <v>9534</v>
      </c>
      <c r="E117" s="4" t="n">
        <v>16</v>
      </c>
      <c r="F117" t="inlineStr">
        <is>
          <t>ООО "БРОНИРОВАНИЕ ГОСТИНИЦ" (OSTROVOK) [Чайковский]</t>
        </is>
      </c>
      <c r="G117" s="3">
        <f>ROUND(D117/(100-E117)*100,2)</f>
        <v/>
      </c>
      <c r="H117" s="5" t="n">
        <v>46284.58333333334</v>
      </c>
      <c r="I117" t="n">
        <v>1</v>
      </c>
      <c r="J117" s="3">
        <f>G117/I117</f>
        <v/>
      </c>
      <c r="K117">
        <f>IF(J117&gt;=5100,"ставка","мин.ставка")</f>
        <v/>
      </c>
      <c r="L117" s="3">
        <f>ROUND(IF(K117="мин.ставка",I117*100,G117/102*2),2)</f>
        <v/>
      </c>
      <c r="M117" s="5" t="n">
        <v>46285.5</v>
      </c>
      <c r="N117" t="inlineStr">
        <is>
          <t>TravelLine OTK</t>
        </is>
      </c>
      <c r="O117" s="2" t="inlineStr">
        <is>
          <t>СТАНДАРТНЫЙ ДВУХМЕСТНЫЙ НОМЕР</t>
        </is>
      </c>
      <c r="P117" s="6" t="n"/>
      <c r="R117" t="inlineStr"/>
      <c r="S117" t="inlineStr">
        <is>
          <t>Тариф с завтраком</t>
        </is>
      </c>
      <c r="T117" t="n">
        <v>0</v>
      </c>
      <c r="U117" t="n">
        <v>31962</v>
      </c>
    </row>
    <row r="118">
      <c r="A118" t="inlineStr">
        <is>
          <t>20260718-8186-450568992</t>
        </is>
      </c>
      <c r="B118" t="n">
        <v>1</v>
      </c>
      <c r="C118" s="2" t="inlineStr">
        <is>
          <t>Амина Каримова, Эльвир Каримов</t>
        </is>
      </c>
      <c r="D118" s="3" t="n">
        <v>22695</v>
      </c>
      <c r="E118" s="4" t="n">
        <v>15</v>
      </c>
      <c r="F118" t="inlineStr">
        <is>
          <t>ООО Тинькофф Путешествия [Чайковский]</t>
        </is>
      </c>
      <c r="G118" s="3">
        <f>ROUND(D118/(100-E118)*100,2)</f>
        <v/>
      </c>
      <c r="H118" s="5" t="n">
        <v>46221.58333333334</v>
      </c>
      <c r="I118" t="n">
        <v>2</v>
      </c>
      <c r="J118" s="3">
        <f>G118/I118</f>
        <v/>
      </c>
      <c r="K118">
        <f>IF(J118&gt;=5100,"ставка","мин.ставка")</f>
        <v/>
      </c>
      <c r="L118" s="3">
        <f>ROUND(IF(K118="мин.ставка",I118*100,G118/102*2),2)</f>
        <v/>
      </c>
      <c r="M118" s="5" t="n">
        <v>46223.5</v>
      </c>
      <c r="N118" t="inlineStr">
        <is>
          <t>TravelLine TNK</t>
        </is>
      </c>
      <c r="O118" s="2" t="inlineStr">
        <is>
          <t>СТАНДАРТНЫЙ ДВУХМЕСТНЫЙ НОМЕР</t>
        </is>
      </c>
      <c r="P118" s="6" t="n"/>
      <c r="R118" t="inlineStr"/>
      <c r="S118" t="inlineStr">
        <is>
          <t>Тариф с завтраком</t>
        </is>
      </c>
      <c r="T118" t="n">
        <v>0</v>
      </c>
      <c r="U118" t="n">
        <v>22695</v>
      </c>
    </row>
    <row r="119">
      <c r="A119" t="inlineStr">
        <is>
          <t>20260702-8186-413960920</t>
        </is>
      </c>
      <c r="B119" t="n">
        <v>1</v>
      </c>
      <c r="C119" s="2" t="inlineStr">
        <is>
          <t>Анастасия Васильева, Владимир Благодеров</t>
        </is>
      </c>
      <c r="D119" s="3" t="n">
        <v>39636.15</v>
      </c>
      <c r="E119" s="4" t="n">
        <v>4</v>
      </c>
      <c r="F119" t="inlineStr">
        <is>
          <t>TravelLine Booking Engine [Чайковский]</t>
        </is>
      </c>
      <c r="G119" s="3">
        <f>ROUND(D119/(100-E119)*100,2)</f>
        <v/>
      </c>
      <c r="H119" s="5" t="n">
        <v>46205.58333333334</v>
      </c>
      <c r="I119" t="n">
        <v>3</v>
      </c>
      <c r="J119" s="3">
        <f>G119/I119</f>
        <v/>
      </c>
      <c r="K119">
        <f>IF(J119&gt;=5100,"ставка","мин.ставка")</f>
        <v/>
      </c>
      <c r="L119" s="3">
        <f>ROUND(IF(K119="мин.ставка",I119*100,G119/102*2),2)</f>
        <v/>
      </c>
      <c r="M119" s="5" t="n">
        <v>46208.5</v>
      </c>
      <c r="N119" t="inlineStr">
        <is>
          <t>TravelLine сайт</t>
        </is>
      </c>
      <c r="O119" s="2" t="inlineStr">
        <is>
          <t>СТАНДАРТНЫЙ ДВУХМЕСТНЫЙ НОМЕР</t>
        </is>
      </c>
      <c r="P119" s="6" t="n"/>
      <c r="R119" t="inlineStr"/>
      <c r="S119" t="inlineStr">
        <is>
          <t>Тариф с завтраком</t>
        </is>
      </c>
      <c r="T119" t="n">
        <v>0</v>
      </c>
      <c r="U119" t="n">
        <v>39636.15</v>
      </c>
    </row>
    <row r="120">
      <c r="A120" t="inlineStr">
        <is>
          <t>20260707-8186-436726301</t>
        </is>
      </c>
      <c r="B120" t="n">
        <v>1</v>
      </c>
      <c r="C120" s="2" t="inlineStr">
        <is>
          <t>Анастасия Дмитриева</t>
        </is>
      </c>
      <c r="D120" s="3" t="n">
        <v>18160</v>
      </c>
      <c r="E120" s="4" t="n">
        <v>20</v>
      </c>
      <c r="F120" t="inlineStr">
        <is>
          <t>ООО "КОМПАНИЯ БРОНЕВИК" [Чайковский]</t>
        </is>
      </c>
      <c r="G120" s="3">
        <f>ROUND(D120/(100-E120)*100,2)</f>
        <v/>
      </c>
      <c r="H120" s="5" t="n">
        <v>46210.58333333334</v>
      </c>
      <c r="I120" t="n">
        <v>2</v>
      </c>
      <c r="J120" s="3">
        <f>G120/I120</f>
        <v/>
      </c>
      <c r="K120">
        <f>IF(J120&gt;=5100,"ставка","мин.ставка")</f>
        <v/>
      </c>
      <c r="L120" s="3">
        <f>ROUND(IF(K120="мин.ставка",I120*100,G120/102*2),2)</f>
        <v/>
      </c>
      <c r="M120" s="5" t="n">
        <v>46212.5</v>
      </c>
      <c r="N120" t="inlineStr">
        <is>
          <t>TravelLine BR2</t>
        </is>
      </c>
      <c r="O120" s="2" t="inlineStr">
        <is>
          <t>СТАНДАРТНЫЙ ДВУХМЕСТНЫЙ НОМЕР</t>
        </is>
      </c>
      <c r="P120" s="6" t="n"/>
      <c r="R120" t="inlineStr"/>
      <c r="S120" t="inlineStr">
        <is>
          <t>Тариф с завтраком</t>
        </is>
      </c>
      <c r="T120" t="n">
        <v>0</v>
      </c>
      <c r="U120" t="n">
        <v>18160</v>
      </c>
    </row>
    <row r="121">
      <c r="A121" t="inlineStr">
        <is>
          <t>20260712-8186-436726626</t>
        </is>
      </c>
      <c r="B121" t="n">
        <v>1</v>
      </c>
      <c r="C121" s="2" t="inlineStr">
        <is>
          <t>Анастасия Дмитриева</t>
        </is>
      </c>
      <c r="D121" s="3" t="n">
        <v>12320</v>
      </c>
      <c r="E121" s="4" t="n">
        <v>20</v>
      </c>
      <c r="F121" t="inlineStr">
        <is>
          <t>ООО "КОМПАНИЯ БРОНЕВИК" [Чайковский]</t>
        </is>
      </c>
      <c r="G121" s="3">
        <f>ROUND(D121/(100-E121)*100,2)</f>
        <v/>
      </c>
      <c r="H121" s="5" t="n">
        <v>46215.58333333334</v>
      </c>
      <c r="I121" t="n">
        <v>2</v>
      </c>
      <c r="J121" s="3">
        <f>G121/I121</f>
        <v/>
      </c>
      <c r="K121">
        <f>IF(J121&gt;=5100,"ставка","мин.ставка")</f>
        <v/>
      </c>
      <c r="L121" s="3">
        <f>ROUND(IF(K121="мин.ставка",I121*100,G121/102*2),2)</f>
        <v/>
      </c>
      <c r="M121" s="5" t="n">
        <v>46217.5</v>
      </c>
      <c r="N121" t="inlineStr">
        <is>
          <t>TravelLine BR2</t>
        </is>
      </c>
      <c r="O121" s="2" t="inlineStr">
        <is>
          <t>СТАНДАРТНЫЙ ОДНОМЕСТНЫЙ НОМЕР</t>
        </is>
      </c>
      <c r="P121" s="6" t="n"/>
      <c r="R121" t="inlineStr"/>
      <c r="S121" t="inlineStr">
        <is>
          <t>Тариф с завтраком</t>
        </is>
      </c>
      <c r="T121" t="n">
        <v>0</v>
      </c>
      <c r="U121" t="n">
        <v>12320</v>
      </c>
    </row>
    <row r="122">
      <c r="A122" t="inlineStr">
        <is>
          <t>20260814-8186-457613719</t>
        </is>
      </c>
      <c r="B122" t="n">
        <v>1</v>
      </c>
      <c r="C122" s="2" t="inlineStr">
        <is>
          <t>Анастасия Екушевская, Вячеслав Гольцов</t>
        </is>
      </c>
      <c r="D122" s="3" t="n">
        <v>8217</v>
      </c>
      <c r="E122" s="4" t="n">
        <v>18</v>
      </c>
      <c r="F122" t="inlineStr">
        <is>
          <t>Яндекс.Путешествия [Чайковский]</t>
        </is>
      </c>
      <c r="G122" s="3">
        <f>ROUND(D122/(100-E122)*100,2)</f>
        <v/>
      </c>
      <c r="H122" s="5" t="n">
        <v>46248.58333333334</v>
      </c>
      <c r="I122" t="n">
        <v>1</v>
      </c>
      <c r="J122" s="3">
        <f>G122/I122</f>
        <v/>
      </c>
      <c r="K122">
        <f>IF(J122&gt;=5100,"ставка","мин.ставка")</f>
        <v/>
      </c>
      <c r="L122" s="3">
        <f>ROUND(IF(K122="мин.ставка",I122*100,G122/102*2),2)</f>
        <v/>
      </c>
      <c r="M122" s="5" t="n">
        <v>46249.5</v>
      </c>
      <c r="N122" t="inlineStr">
        <is>
          <t>TravelLine YAX</t>
        </is>
      </c>
      <c r="O122" s="2" t="inlineStr">
        <is>
          <t>СТАНДАРТНЫЙ ДВУХМЕСТНЫЙ НОМЕР (МАНСАРДА)</t>
        </is>
      </c>
      <c r="P122" s="6" t="n"/>
      <c r="R122" t="inlineStr"/>
      <c r="S122" t="inlineStr">
        <is>
          <t>Тариф с завтраком</t>
        </is>
      </c>
      <c r="T122" t="n">
        <v>0</v>
      </c>
      <c r="U122" t="n">
        <v>8217</v>
      </c>
    </row>
    <row r="123">
      <c r="A123" t="inlineStr">
        <is>
          <t>20260907-8186-417706325</t>
        </is>
      </c>
      <c r="B123" t="n">
        <v>1</v>
      </c>
      <c r="C123" s="2" t="inlineStr">
        <is>
          <t>Анастасия Ковальчук</t>
        </is>
      </c>
      <c r="D123" s="3" t="n">
        <v>38384.5</v>
      </c>
      <c r="E123" s="4" t="n">
        <v>4</v>
      </c>
      <c r="F123" t="inlineStr">
        <is>
          <t>TravelLine Booking Engine [Чайковский]</t>
        </is>
      </c>
      <c r="G123" s="3">
        <f>ROUND(D123/(100-E123)*100,2)</f>
        <v/>
      </c>
      <c r="H123" s="5" t="n">
        <v>46272.58333333334</v>
      </c>
      <c r="I123" t="n">
        <v>5</v>
      </c>
      <c r="J123" s="3">
        <f>G123/I123</f>
        <v/>
      </c>
      <c r="K123">
        <f>IF(J123&gt;=5100,"ставка","мин.ставка")</f>
        <v/>
      </c>
      <c r="L123" s="3">
        <f>ROUND(IF(K123="мин.ставка",I123*100,G123/102*2),2)</f>
        <v/>
      </c>
      <c r="M123" s="5" t="n">
        <v>46277.5</v>
      </c>
      <c r="N123" t="inlineStr">
        <is>
          <t>TravelLine сайт</t>
        </is>
      </c>
      <c r="O123" s="2" t="inlineStr">
        <is>
          <t>СТАНДАРТНЫЙ ОДНОМЕСТНЫЙ НОМЕР</t>
        </is>
      </c>
      <c r="P123" s="6" t="n"/>
      <c r="R123" t="inlineStr"/>
      <c r="S123" t="inlineStr">
        <is>
          <t>Тариф с завтраком</t>
        </is>
      </c>
      <c r="T123" t="n">
        <v>0</v>
      </c>
      <c r="U123" t="n">
        <v>38384.5</v>
      </c>
    </row>
    <row r="124">
      <c r="A124" t="inlineStr">
        <is>
          <t>20260904-8186-459337716</t>
        </is>
      </c>
      <c r="B124" t="n">
        <v>1</v>
      </c>
      <c r="C124" s="2" t="inlineStr">
        <is>
          <t>Анастасия Корчинская</t>
        </is>
      </c>
      <c r="D124" s="3" t="n">
        <v>47102.5</v>
      </c>
      <c r="E124" s="4" t="n">
        <v>17</v>
      </c>
      <c r="F124" t="inlineStr">
        <is>
          <t>ООО «Интернет Трэвел» (OZON) [Чайковский]</t>
        </is>
      </c>
      <c r="G124" s="3">
        <f>ROUND(D124/(100-E124)*100,2)</f>
        <v/>
      </c>
      <c r="H124" s="5" t="n">
        <v>46269.58333333334</v>
      </c>
      <c r="I124" t="n">
        <v>5</v>
      </c>
      <c r="J124" s="3">
        <f>G124/I124</f>
        <v/>
      </c>
      <c r="K124">
        <f>IF(J124&gt;=5100,"ставка","мин.ставка")</f>
        <v/>
      </c>
      <c r="L124" s="3">
        <f>ROUND(IF(K124="мин.ставка",I124*100,G124/102*2),2)</f>
        <v/>
      </c>
      <c r="M124" s="5" t="n">
        <v>46274.5</v>
      </c>
      <c r="N124" t="inlineStr">
        <is>
          <t>TravelLine OZ2</t>
        </is>
      </c>
      <c r="O124" s="2" t="inlineStr">
        <is>
          <t>СТАНДАРТНЫЙ ДВУХМЕСТНЫЙ НОМЕР</t>
        </is>
      </c>
      <c r="P124" s="6" t="n"/>
      <c r="R124" t="inlineStr"/>
      <c r="S124" t="inlineStr">
        <is>
          <t>Тариф с завтраком</t>
        </is>
      </c>
      <c r="T124" t="n">
        <v>0</v>
      </c>
      <c r="U124" t="n">
        <v>47102.5</v>
      </c>
    </row>
    <row r="125">
      <c r="A125" t="inlineStr">
        <is>
          <t>20260915-8186-455448822</t>
        </is>
      </c>
      <c r="B125" t="n">
        <v>1</v>
      </c>
      <c r="C125" s="2" t="inlineStr">
        <is>
          <t>Анастасия Коса</t>
        </is>
      </c>
      <c r="D125" s="3" t="n">
        <v>6160</v>
      </c>
      <c r="E125" s="4" t="n">
        <v>20</v>
      </c>
      <c r="F125" t="inlineStr">
        <is>
          <t>ООО "УК ГЦБ и Т" [Чайковский]</t>
        </is>
      </c>
      <c r="G125" s="3">
        <f>ROUND(D125/(100-E125)*100,2)</f>
        <v/>
      </c>
      <c r="H125" s="5" t="n">
        <v>46280.58333333334</v>
      </c>
      <c r="I125" t="n">
        <v>1</v>
      </c>
      <c r="J125" s="3">
        <f>G125/I125</f>
        <v/>
      </c>
      <c r="K125">
        <f>IF(J125&gt;=5100,"ставка","мин.ставка")</f>
        <v/>
      </c>
      <c r="L125" s="3">
        <f>ROUND(IF(K125="мин.ставка",I125*100,G125/102*2),2)</f>
        <v/>
      </c>
      <c r="M125" s="5" t="n">
        <v>46281.5</v>
      </c>
      <c r="N125" t="inlineStr">
        <is>
          <t>TravelLine CBC</t>
        </is>
      </c>
      <c r="O125" s="2" t="inlineStr">
        <is>
          <t>СТАНДАРТНЫЙ ОДНОМЕСТНЫЙ НОМЕР</t>
        </is>
      </c>
      <c r="P125" s="6" t="n"/>
      <c r="R125" t="inlineStr"/>
      <c r="S125" t="inlineStr">
        <is>
          <t>Тариф с завтраком</t>
        </is>
      </c>
      <c r="T125" t="n">
        <v>0</v>
      </c>
      <c r="U125" t="n">
        <v>6160</v>
      </c>
    </row>
    <row r="126">
      <c r="A126" t="inlineStr">
        <is>
          <t>20260805-8186-455054360</t>
        </is>
      </c>
      <c r="B126" t="n">
        <v>1</v>
      </c>
      <c r="C126" s="2" t="inlineStr">
        <is>
          <t>Анастасия Крауялис</t>
        </is>
      </c>
      <c r="D126" s="3" t="n">
        <v>13050</v>
      </c>
      <c r="E126" s="4" t="n">
        <v>0</v>
      </c>
      <c r="F126" t="inlineStr">
        <is>
          <t>Прямые бронирования (стойка) [Чайковский]</t>
        </is>
      </c>
      <c r="G126" s="3">
        <f>ROUND(D126/(100-E126)*100,2)</f>
        <v/>
      </c>
      <c r="H126" s="5" t="n">
        <v>46239.58333333334</v>
      </c>
      <c r="I126" t="n">
        <v>1</v>
      </c>
      <c r="J126" s="3">
        <f>G126/I126</f>
        <v/>
      </c>
      <c r="K126">
        <f>IF(J126&gt;=5100,"ставка","мин.ставка")</f>
        <v/>
      </c>
      <c r="L126" s="3">
        <f>ROUND(IF(K126="мин.ставка",I126*100,G126/102*2),2)</f>
        <v/>
      </c>
      <c r="M126" s="5" t="n">
        <v>46240.5</v>
      </c>
      <c r="N126" t="inlineStr">
        <is>
          <t>TravelLine ресепшн</t>
        </is>
      </c>
      <c r="O126" s="2" t="inlineStr">
        <is>
          <t>ПОЛУЛЮКС</t>
        </is>
      </c>
      <c r="P126" s="6" t="n"/>
      <c r="R126" t="inlineStr"/>
      <c r="S126" t="inlineStr">
        <is>
          <t>Тариф с завтраком</t>
        </is>
      </c>
      <c r="T126" t="n">
        <v>0</v>
      </c>
      <c r="U126" t="n">
        <v>13050</v>
      </c>
    </row>
    <row r="127">
      <c r="A127" t="inlineStr">
        <is>
          <t>20260828-8186-441887240</t>
        </is>
      </c>
      <c r="B127" t="n">
        <v>1</v>
      </c>
      <c r="C127" s="2" t="inlineStr">
        <is>
          <t>Анастасия Крицкова</t>
        </is>
      </c>
      <c r="D127" s="3" t="n">
        <v>6320</v>
      </c>
      <c r="E127" s="4" t="n">
        <v>20</v>
      </c>
      <c r="F127" t="inlineStr">
        <is>
          <t>ООО "КОМПАНИЯ БРОНЕВИК" [Чайковский]</t>
        </is>
      </c>
      <c r="G127" s="3">
        <f>ROUND(D127/(100-E127)*100,2)</f>
        <v/>
      </c>
      <c r="H127" s="5" t="n">
        <v>46262.58333333334</v>
      </c>
      <c r="I127" t="n">
        <v>1</v>
      </c>
      <c r="J127" s="3">
        <f>G127/I127</f>
        <v/>
      </c>
      <c r="K127">
        <f>IF(J127&gt;=5100,"ставка","мин.ставка")</f>
        <v/>
      </c>
      <c r="L127" s="3">
        <f>ROUND(IF(K127="мин.ставка",I127*100,G127/102*2),2)</f>
        <v/>
      </c>
      <c r="M127" s="5" t="n">
        <v>46263.5</v>
      </c>
      <c r="N127" t="inlineStr">
        <is>
          <t>TravelLine BR2</t>
        </is>
      </c>
      <c r="O127" s="2" t="inlineStr">
        <is>
          <t>СТАНДАРТНЫЙ ДВУХМЕСТНЫЙ НОМЕР</t>
        </is>
      </c>
      <c r="P127" s="6" t="n"/>
      <c r="R127" t="inlineStr"/>
      <c r="S127" t="inlineStr">
        <is>
          <t>Тариф с завтраком</t>
        </is>
      </c>
      <c r="T127" t="n">
        <v>0</v>
      </c>
      <c r="U127" t="n">
        <v>6320</v>
      </c>
    </row>
    <row r="128">
      <c r="A128" t="inlineStr">
        <is>
          <t>20260829-8186-460805833</t>
        </is>
      </c>
      <c r="B128" t="n">
        <v>1</v>
      </c>
      <c r="C128" s="2" t="inlineStr">
        <is>
          <t>Анастасия Левкина, Андрей Левкин</t>
        </is>
      </c>
      <c r="D128" s="3" t="n">
        <v>12782</v>
      </c>
      <c r="E128" s="4" t="n">
        <v>17</v>
      </c>
      <c r="F128" t="inlineStr">
        <is>
          <t>ООО «Интернет Трэвел» (OZON) [Чайковский]</t>
        </is>
      </c>
      <c r="G128" s="3">
        <f>ROUND(D128/(100-E128)*100,2)</f>
        <v/>
      </c>
      <c r="H128" s="5" t="n">
        <v>46263.58333333334</v>
      </c>
      <c r="I128" t="n">
        <v>1</v>
      </c>
      <c r="J128" s="3">
        <f>G128/I128</f>
        <v/>
      </c>
      <c r="K128">
        <f>IF(J128&gt;=5100,"ставка","мин.ставка")</f>
        <v/>
      </c>
      <c r="L128" s="3">
        <f>ROUND(IF(K128="мин.ставка",I128*100,G128/102*2),2)</f>
        <v/>
      </c>
      <c r="M128" s="5" t="n">
        <v>46264.5</v>
      </c>
      <c r="N128" t="inlineStr">
        <is>
          <t>TravelLine OZ2</t>
        </is>
      </c>
      <c r="O128" s="2" t="inlineStr">
        <is>
          <t>УЛУЧШЕННЫЙ ДВУХМЕСТНЫЙ НОМЕР</t>
        </is>
      </c>
      <c r="P128" s="6" t="n"/>
      <c r="R128" t="inlineStr"/>
      <c r="S128" t="inlineStr">
        <is>
          <t>Тариф с завтраком</t>
        </is>
      </c>
      <c r="T128" t="n">
        <v>0</v>
      </c>
      <c r="U128" t="n">
        <v>12782</v>
      </c>
    </row>
    <row r="129">
      <c r="A129" t="inlineStr">
        <is>
          <t>20260810-8186-457560555</t>
        </is>
      </c>
      <c r="B129" t="n">
        <v>1</v>
      </c>
      <c r="C129" s="2" t="inlineStr">
        <is>
          <t>Анастасия Миланская</t>
        </is>
      </c>
      <c r="D129" s="3" t="n">
        <v>16252.5</v>
      </c>
      <c r="E129" s="4" t="n">
        <v>0</v>
      </c>
      <c r="F129" t="inlineStr">
        <is>
          <t>Прямые бронирования (стойка) [Чайковский]</t>
        </is>
      </c>
      <c r="G129" s="3">
        <f>ROUND(D129/(100-E129)*100,2)</f>
        <v/>
      </c>
      <c r="H129" s="5" t="n">
        <v>46244.58333333334</v>
      </c>
      <c r="I129" t="n">
        <v>1</v>
      </c>
      <c r="J129" s="3">
        <f>G129/I129</f>
        <v/>
      </c>
      <c r="K129">
        <f>IF(J129&gt;=5100,"ставка","мин.ставка")</f>
        <v/>
      </c>
      <c r="L129" s="3">
        <f>ROUND(IF(K129="мин.ставка",I129*100,G129/102*2),2)</f>
        <v/>
      </c>
      <c r="M129" s="5" t="n">
        <v>46245.5</v>
      </c>
      <c r="N129" t="inlineStr">
        <is>
          <t>TravelLine ресепшн</t>
        </is>
      </c>
      <c r="O129" s="2" t="inlineStr">
        <is>
          <t>ПОЛУЛЮКС</t>
        </is>
      </c>
      <c r="P129" s="6" t="n"/>
      <c r="R129" t="inlineStr"/>
      <c r="S129" t="inlineStr">
        <is>
          <t>Тариф с завтраком</t>
        </is>
      </c>
      <c r="T129" t="n">
        <v>0</v>
      </c>
      <c r="U129" t="n">
        <v>16252.5</v>
      </c>
    </row>
    <row r="130">
      <c r="A130" t="inlineStr">
        <is>
          <t>20260715-8186-423875318</t>
        </is>
      </c>
      <c r="B130" t="n">
        <v>1</v>
      </c>
      <c r="C130" s="2" t="inlineStr">
        <is>
          <t>Анастасия Михайлова, Анна Юрчук</t>
        </is>
      </c>
      <c r="D130" s="3" t="n">
        <v>56960</v>
      </c>
      <c r="E130" s="4" t="n">
        <v>18</v>
      </c>
      <c r="F130" t="inlineStr">
        <is>
          <t>Яндекс.Путешествия [Чайковский]</t>
        </is>
      </c>
      <c r="G130" s="3">
        <f>ROUND(D130/(100-E130)*100,2)</f>
        <v/>
      </c>
      <c r="H130" s="5" t="n">
        <v>46218.58333333334</v>
      </c>
      <c r="I130" t="n">
        <v>4</v>
      </c>
      <c r="J130" s="3">
        <f>G130/I130</f>
        <v/>
      </c>
      <c r="K130">
        <f>IF(J130&gt;=5100,"ставка","мин.ставка")</f>
        <v/>
      </c>
      <c r="L130" s="3">
        <f>ROUND(IF(K130="мин.ставка",I130*100,G130/102*2),2)</f>
        <v/>
      </c>
      <c r="M130" s="5" t="n">
        <v>46222.5</v>
      </c>
      <c r="N130" t="inlineStr">
        <is>
          <t>TravelLine YAX</t>
        </is>
      </c>
      <c r="O130" s="2" t="inlineStr">
        <is>
          <t>ЛЮКС</t>
        </is>
      </c>
      <c r="P130" s="6" t="n"/>
      <c r="R130" t="inlineStr"/>
      <c r="S130" t="inlineStr">
        <is>
          <t>Тариф с завтраком</t>
        </is>
      </c>
      <c r="T130" t="n">
        <v>0</v>
      </c>
      <c r="U130" t="n">
        <v>56960</v>
      </c>
    </row>
    <row r="131">
      <c r="A131" t="inlineStr">
        <is>
          <t>20260811-8186-457781207</t>
        </is>
      </c>
      <c r="B131" t="n">
        <v>1</v>
      </c>
      <c r="C131" s="2" t="inlineStr">
        <is>
          <t>Анастасия Можайская</t>
        </is>
      </c>
      <c r="D131" s="3" t="n">
        <v>12450</v>
      </c>
      <c r="E131" s="4" t="n">
        <v>0</v>
      </c>
      <c r="F131" t="inlineStr">
        <is>
          <t>Прямые бронирования (стойка) [Чайковский]</t>
        </is>
      </c>
      <c r="G131" s="3">
        <f>ROUND(D131/(100-E131)*100,2)</f>
        <v/>
      </c>
      <c r="H131" s="5" t="n">
        <v>46245.58333333334</v>
      </c>
      <c r="I131" t="n">
        <v>1</v>
      </c>
      <c r="J131" s="3">
        <f>G131/I131</f>
        <v/>
      </c>
      <c r="K131">
        <f>IF(J131&gt;=5100,"ставка","мин.ставка")</f>
        <v/>
      </c>
      <c r="L131" s="3">
        <f>ROUND(IF(K131="мин.ставка",I131*100,G131/102*2),2)</f>
        <v/>
      </c>
      <c r="M131" s="5" t="n">
        <v>46246.5</v>
      </c>
      <c r="N131" t="inlineStr">
        <is>
          <t>TravelLine ресепшн</t>
        </is>
      </c>
      <c r="O131" s="2" t="inlineStr">
        <is>
          <t>СЕМЕЙНЫЙ НОМЕР КАТЕГОРИИ "СТАНДАРТ" ВТОРОЙ КОРПУС</t>
        </is>
      </c>
      <c r="P131" s="6" t="n"/>
      <c r="R131" t="inlineStr"/>
      <c r="S131" t="inlineStr">
        <is>
          <t>Тариф с завтраком</t>
        </is>
      </c>
      <c r="T131" t="n">
        <v>0</v>
      </c>
      <c r="U131" t="n">
        <v>12450</v>
      </c>
    </row>
    <row r="132">
      <c r="A132" t="inlineStr">
        <is>
          <t>20260812-8186-457335221</t>
        </is>
      </c>
      <c r="B132" t="n">
        <v>1</v>
      </c>
      <c r="C132" s="2" t="inlineStr">
        <is>
          <t>Анастасия Рочкус, Ирина Морозюк</t>
        </is>
      </c>
      <c r="D132" s="3" t="n">
        <v>43350</v>
      </c>
      <c r="E132" s="4" t="n">
        <v>0</v>
      </c>
      <c r="F132" t="inlineStr">
        <is>
          <t>Прямые бронирования (стойка) [Чайковский]</t>
        </is>
      </c>
      <c r="G132" s="3">
        <f>ROUND(D132/(100-E132)*100,2)</f>
        <v/>
      </c>
      <c r="H132" s="5" t="n">
        <v>46246.58333333334</v>
      </c>
      <c r="I132" t="n">
        <v>3</v>
      </c>
      <c r="J132" s="3">
        <f>G132/I132</f>
        <v/>
      </c>
      <c r="K132">
        <f>IF(J132&gt;=5100,"ставка","мин.ставка")</f>
        <v/>
      </c>
      <c r="L132" s="3">
        <f>ROUND(IF(K132="мин.ставка",I132*100,G132/102*2),2)</f>
        <v/>
      </c>
      <c r="M132" s="5" t="n">
        <v>46249.5</v>
      </c>
      <c r="N132" t="inlineStr">
        <is>
          <t>TravelLine ресепшн</t>
        </is>
      </c>
      <c r="O132" s="2" t="inlineStr">
        <is>
          <t>СЕМЕЙНЫЙ НОМЕР КАТЕГОРИИ "СТАНДАРТ" ВТОРОЙ КОРПУС</t>
        </is>
      </c>
      <c r="P132" s="6" t="n"/>
      <c r="R132" t="inlineStr"/>
      <c r="S132" t="inlineStr">
        <is>
          <t>Тариф с завтраком</t>
        </is>
      </c>
      <c r="T132" t="n">
        <v>16800</v>
      </c>
      <c r="U132" t="n">
        <v>60150</v>
      </c>
    </row>
    <row r="133">
      <c r="A133" t="inlineStr">
        <is>
          <t>20260731-8186-454546625</t>
        </is>
      </c>
      <c r="B133" t="n">
        <v>1</v>
      </c>
      <c r="C133" s="2" t="inlineStr">
        <is>
          <t>Анастасия Черепанова, Владислав Гудимов</t>
        </is>
      </c>
      <c r="D133" s="3" t="n">
        <v>13350</v>
      </c>
      <c r="E133" s="4" t="n">
        <v>0</v>
      </c>
      <c r="F133" t="inlineStr">
        <is>
          <t>Прямые бронирования (стойка) [Чайковский]</t>
        </is>
      </c>
      <c r="G133" s="3">
        <f>ROUND(D133/(100-E133)*100,2)</f>
        <v/>
      </c>
      <c r="H133" s="5" t="n">
        <v>46234.58333333334</v>
      </c>
      <c r="I133" t="n">
        <v>1</v>
      </c>
      <c r="J133" s="3">
        <f>G133/I133</f>
        <v/>
      </c>
      <c r="K133">
        <f>IF(J133&gt;=5100,"ставка","мин.ставка")</f>
        <v/>
      </c>
      <c r="L133" s="3">
        <f>ROUND(IF(K133="мин.ставка",I133*100,G133/102*2),2)</f>
        <v/>
      </c>
      <c r="M133" s="5" t="n">
        <v>46235.5</v>
      </c>
      <c r="N133" t="inlineStr">
        <is>
          <t>TravelLine ресепшн</t>
        </is>
      </c>
      <c r="O133" s="2" t="inlineStr">
        <is>
          <t>СТАНДАРТНЫЙ ДВУХМЕСТНЫЙ НОМЕР</t>
        </is>
      </c>
      <c r="P133" s="6" t="n"/>
      <c r="R133" t="inlineStr"/>
      <c r="S133" t="inlineStr">
        <is>
          <t>Тариф с завтраком</t>
        </is>
      </c>
      <c r="T133" t="n">
        <v>0</v>
      </c>
      <c r="U133" t="n">
        <v>13350</v>
      </c>
    </row>
    <row r="134">
      <c r="A134" t="inlineStr">
        <is>
          <t>20260728-8186-448905887</t>
        </is>
      </c>
      <c r="B134" t="n">
        <v>1</v>
      </c>
      <c r="C134" s="2" t="inlineStr">
        <is>
          <t>Анастасия Черепанова, Владислав Гудимов</t>
        </is>
      </c>
      <c r="D134" s="3" t="n">
        <v>23760</v>
      </c>
      <c r="E134" s="4" t="n">
        <v>20</v>
      </c>
      <c r="F134" t="inlineStr">
        <is>
          <t>ООО "КОМПАНИЯ БРОНЕВИК" [Чайковский]</t>
        </is>
      </c>
      <c r="G134" s="3">
        <f>ROUND(D134/(100-E134)*100,2)</f>
        <v/>
      </c>
      <c r="H134" s="5" t="n">
        <v>46231.58333333334</v>
      </c>
      <c r="I134" t="n">
        <v>3</v>
      </c>
      <c r="J134" s="3">
        <f>G134/I134</f>
        <v/>
      </c>
      <c r="K134">
        <f>IF(J134&gt;=5100,"ставка","мин.ставка")</f>
        <v/>
      </c>
      <c r="L134" s="3">
        <f>ROUND(IF(K134="мин.ставка",I134*100,G134/102*2),2)</f>
        <v/>
      </c>
      <c r="M134" s="5" t="n">
        <v>46234.5</v>
      </c>
      <c r="N134" t="inlineStr">
        <is>
          <t>TravelLine BR2</t>
        </is>
      </c>
      <c r="O134" s="2" t="inlineStr">
        <is>
          <t>СТАНДАРТНЫЙ ДВУХМЕСТНЫЙ НОМЕР (МАНСАРДА)</t>
        </is>
      </c>
      <c r="P134" s="6" t="n"/>
      <c r="R134" t="inlineStr"/>
      <c r="S134" t="inlineStr">
        <is>
          <t>Тариф с завтраком</t>
        </is>
      </c>
      <c r="T134" t="n">
        <v>0</v>
      </c>
      <c r="U134" t="n">
        <v>23760</v>
      </c>
    </row>
    <row r="135">
      <c r="A135" t="inlineStr">
        <is>
          <t>20260802-8186-452836411</t>
        </is>
      </c>
      <c r="B135" t="n">
        <v>1</v>
      </c>
      <c r="C135" s="2" t="inlineStr">
        <is>
          <t>АНАСТАСИЯ Чурилова</t>
        </is>
      </c>
      <c r="D135" s="3" t="n">
        <v>9080</v>
      </c>
      <c r="E135" s="4" t="n">
        <v>20</v>
      </c>
      <c r="F135" t="inlineStr">
        <is>
          <t>ООО "КОМПАНИЯ БРОНЕВИК" [Чайковский]</t>
        </is>
      </c>
      <c r="G135" s="3">
        <f>ROUND(D135/(100-E135)*100,2)</f>
        <v/>
      </c>
      <c r="H135" s="5" t="n">
        <v>46236.58333333334</v>
      </c>
      <c r="I135" t="n">
        <v>1</v>
      </c>
      <c r="J135" s="3">
        <f>G135/I135</f>
        <v/>
      </c>
      <c r="K135">
        <f>IF(J135&gt;=5100,"ставка","мин.ставка")</f>
        <v/>
      </c>
      <c r="L135" s="3">
        <f>ROUND(IF(K135="мин.ставка",I135*100,G135/102*2),2)</f>
        <v/>
      </c>
      <c r="M135" s="5" t="n">
        <v>46237.5</v>
      </c>
      <c r="N135" t="inlineStr">
        <is>
          <t>TravelLine BR2</t>
        </is>
      </c>
      <c r="O135" s="2" t="inlineStr">
        <is>
          <t>СТАНДАРТНЫЙ ДВУХМЕСТНЫЙ НОМЕР</t>
        </is>
      </c>
      <c r="P135" s="6" t="n"/>
      <c r="R135" t="inlineStr"/>
      <c r="S135" t="inlineStr">
        <is>
          <t>Тариф с завтраком</t>
        </is>
      </c>
      <c r="T135" t="n">
        <v>0</v>
      </c>
      <c r="U135" t="n">
        <v>9080</v>
      </c>
    </row>
    <row r="136">
      <c r="A136" t="inlineStr">
        <is>
          <t>20260712-8186-440208436</t>
        </is>
      </c>
      <c r="B136" t="n">
        <v>1</v>
      </c>
      <c r="C136" s="2" t="inlineStr">
        <is>
          <t>Анастасия Шандра, Ярослав Доброцветов</t>
        </is>
      </c>
      <c r="D136" s="3" t="n">
        <v>10146</v>
      </c>
      <c r="E136" s="4" t="n">
        <v>18</v>
      </c>
      <c r="F136" t="inlineStr">
        <is>
          <t>Яндекс.Путешествия [Чайковский]</t>
        </is>
      </c>
      <c r="G136" s="3">
        <f>ROUND(D136/(100-E136)*100,2)</f>
        <v/>
      </c>
      <c r="H136" s="5" t="n">
        <v>46215.58333333334</v>
      </c>
      <c r="I136" t="n">
        <v>1</v>
      </c>
      <c r="J136" s="3">
        <f>G136/I136</f>
        <v/>
      </c>
      <c r="K136">
        <f>IF(J136&gt;=5100,"ставка","мин.ставка")</f>
        <v/>
      </c>
      <c r="L136" s="3">
        <f>ROUND(IF(K136="мин.ставка",I136*100,G136/102*2),2)</f>
        <v/>
      </c>
      <c r="M136" s="5" t="n">
        <v>46216.5</v>
      </c>
      <c r="N136" t="inlineStr">
        <is>
          <t>TravelLine YAX</t>
        </is>
      </c>
      <c r="O136" s="2" t="inlineStr">
        <is>
          <t>СТАНДАРТНЫЙ ДВУХМЕСТНЫЙ НОМЕР</t>
        </is>
      </c>
      <c r="P136" s="6" t="n"/>
      <c r="R136" t="inlineStr"/>
      <c r="S136" t="inlineStr">
        <is>
          <t>Тариф с завтраком</t>
        </is>
      </c>
      <c r="T136" t="n">
        <v>0</v>
      </c>
      <c r="U136" t="n">
        <v>10146</v>
      </c>
    </row>
    <row r="137">
      <c r="A137" t="inlineStr">
        <is>
          <t>20260917-8186-464301061</t>
        </is>
      </c>
      <c r="B137" t="n">
        <v>1</v>
      </c>
      <c r="C137" s="2" t="inlineStr">
        <is>
          <t>Анастасия Ювченко</t>
        </is>
      </c>
      <c r="D137" s="3" t="n">
        <v>21440</v>
      </c>
      <c r="E137" s="4" t="n">
        <v>20</v>
      </c>
      <c r="F137" t="inlineStr">
        <is>
          <t>ООО "ХБ-ПРО" [Чайковский]</t>
        </is>
      </c>
      <c r="G137" s="3">
        <f>ROUND(D137/(100-E137)*100,2)</f>
        <v/>
      </c>
      <c r="H137" s="5" t="n">
        <v>46282.58333333334</v>
      </c>
      <c r="I137" t="n">
        <v>2</v>
      </c>
      <c r="J137" s="3">
        <f>G137/I137</f>
        <v/>
      </c>
      <c r="K137">
        <f>IF(J137&gt;=5100,"ставка","мин.ставка")</f>
        <v/>
      </c>
      <c r="L137" s="3">
        <f>ROUND(IF(K137="мин.ставка",I137*100,G137/102*2),2)</f>
        <v/>
      </c>
      <c r="M137" s="5" t="n">
        <v>46284.5</v>
      </c>
      <c r="N137" t="inlineStr">
        <is>
          <t>TravelLine UTS</t>
        </is>
      </c>
      <c r="O137" s="2" t="inlineStr">
        <is>
          <t>УЛУЧШЕННЫЙ ДВУХМЕСТНЫЙ НОМЕР</t>
        </is>
      </c>
      <c r="P137" s="6" t="n"/>
      <c r="R137" t="inlineStr"/>
      <c r="S137" t="inlineStr">
        <is>
          <t>Тариф с завтраком</t>
        </is>
      </c>
      <c r="T137" t="n">
        <v>0</v>
      </c>
      <c r="U137" t="n">
        <v>21440</v>
      </c>
    </row>
    <row r="138">
      <c r="A138" t="inlineStr">
        <is>
          <t>20260821-8186-458371765</t>
        </is>
      </c>
      <c r="B138" t="n">
        <v>1</v>
      </c>
      <c r="C138" s="2" t="inlineStr">
        <is>
          <t>АНАСТАСИЯ ЯСЕВА</t>
        </is>
      </c>
      <c r="D138" s="3" t="n">
        <v>33366</v>
      </c>
      <c r="E138" s="4" t="n">
        <v>0</v>
      </c>
      <c r="F138" t="inlineStr">
        <is>
          <t>Прямые бронирования (стойка) [Чайковский]</t>
        </is>
      </c>
      <c r="G138" s="3">
        <f>ROUND(D138/(100-E138)*100,2)</f>
        <v/>
      </c>
      <c r="H138" s="5" t="n">
        <v>46255.58333333334</v>
      </c>
      <c r="I138" t="n">
        <v>3</v>
      </c>
      <c r="J138" s="3">
        <f>G138/I138</f>
        <v/>
      </c>
      <c r="K138">
        <f>IF(J138&gt;=5100,"ставка","мин.ставка")</f>
        <v/>
      </c>
      <c r="L138" s="3">
        <f>ROUND(IF(K138="мин.ставка",I138*100,G138/102*2),2)</f>
        <v/>
      </c>
      <c r="M138" s="5" t="n">
        <v>46258.5</v>
      </c>
      <c r="N138" t="inlineStr">
        <is>
          <t>TravelLine CMB</t>
        </is>
      </c>
      <c r="O138" s="2" t="inlineStr">
        <is>
          <t>УЛУЧШЕННЫЙ ДВУХМЕСТНЫЙ НОМЕР</t>
        </is>
      </c>
      <c r="P138" s="6" t="n"/>
      <c r="R138" t="inlineStr"/>
      <c r="S138" t="inlineStr">
        <is>
          <t>Тариф с завтраком</t>
        </is>
      </c>
      <c r="T138" t="n">
        <v>0</v>
      </c>
      <c r="U138" t="n">
        <v>33366</v>
      </c>
    </row>
    <row r="139">
      <c r="A139" t="inlineStr">
        <is>
          <t>20260719-8186-450656170</t>
        </is>
      </c>
      <c r="B139" t="n">
        <v>1</v>
      </c>
      <c r="C139" s="2" t="inlineStr">
        <is>
          <t>АНАТОЛИЙ ВЕРЕВКИН</t>
        </is>
      </c>
      <c r="D139" s="3" t="n">
        <v>7900</v>
      </c>
      <c r="E139" s="4" t="n">
        <v>0</v>
      </c>
      <c r="F139" t="inlineStr">
        <is>
          <t>Прямые бронирования (стойка) [Чайковский]</t>
        </is>
      </c>
      <c r="G139" s="3">
        <f>ROUND(D139/(100-E139)*100,2)</f>
        <v/>
      </c>
      <c r="H139" s="5" t="n">
        <v>46222.58333333334</v>
      </c>
      <c r="I139" t="n">
        <v>1</v>
      </c>
      <c r="J139" s="3">
        <f>G139/I139</f>
        <v/>
      </c>
      <c r="K139">
        <f>IF(J139&gt;=5100,"ставка","мин.ставка")</f>
        <v/>
      </c>
      <c r="L139" s="3">
        <f>ROUND(IF(K139="мин.ставка",I139*100,G139/102*2),2)</f>
        <v/>
      </c>
      <c r="M139" s="5" t="n">
        <v>46223.5</v>
      </c>
      <c r="N139" t="inlineStr">
        <is>
          <t>TravelLine ресепшн</t>
        </is>
      </c>
      <c r="O139" s="2" t="inlineStr">
        <is>
          <t>СТАНДАРТНЫЙ ДВУХМЕСТНЫЙ НОМЕР (МАНСАРДА)</t>
        </is>
      </c>
      <c r="P139" s="6" t="n"/>
      <c r="R139" t="inlineStr"/>
      <c r="S139" t="inlineStr">
        <is>
          <t>Тариф с завтраком</t>
        </is>
      </c>
      <c r="T139" t="n">
        <v>0</v>
      </c>
      <c r="U139" t="n">
        <v>7900</v>
      </c>
    </row>
    <row r="140">
      <c r="A140" t="inlineStr">
        <is>
          <t>20260909-8186-464665870</t>
        </is>
      </c>
      <c r="B140" t="n">
        <v>1</v>
      </c>
      <c r="C140" s="2" t="inlineStr">
        <is>
          <t>АНАТОЛИЙ ДАНИЛОВИЧ, Анастасия Коневина</t>
        </is>
      </c>
      <c r="D140" s="3" t="n">
        <v>34042.5</v>
      </c>
      <c r="E140" s="4" t="n">
        <v>15</v>
      </c>
      <c r="F140" t="inlineStr">
        <is>
          <t>ООО "АКАДЕМ-ОНЛАЙН" [Чайковский]</t>
        </is>
      </c>
      <c r="G140" s="3">
        <f>ROUND(D140/(100-E140)*100,2)</f>
        <v/>
      </c>
      <c r="H140" s="5" t="n">
        <v>46274.58333333334</v>
      </c>
      <c r="I140" t="n">
        <v>3</v>
      </c>
      <c r="J140" s="3">
        <f>G140/I140</f>
        <v/>
      </c>
      <c r="K140">
        <f>IF(J140&gt;=5100,"ставка","мин.ставка")</f>
        <v/>
      </c>
      <c r="L140" s="3">
        <f>ROUND(IF(K140="мин.ставка",I140*100,G140/102*2),2)</f>
        <v/>
      </c>
      <c r="M140" s="5" t="n">
        <v>46277.75</v>
      </c>
      <c r="N140" t="inlineStr">
        <is>
          <t>TravelLine ACS</t>
        </is>
      </c>
      <c r="O140" s="2" t="inlineStr">
        <is>
          <t>СТАНДАРТНЫЙ ДВУХМЕСТНЫЙ НОМЕР</t>
        </is>
      </c>
      <c r="P140" s="6" t="n"/>
      <c r="R140" t="inlineStr"/>
      <c r="S140" t="inlineStr">
        <is>
          <t>Тариф с завтраком</t>
        </is>
      </c>
      <c r="T140" t="n">
        <v>3360</v>
      </c>
      <c r="U140" t="n">
        <v>37402.5</v>
      </c>
    </row>
    <row r="141">
      <c r="A141" t="inlineStr">
        <is>
          <t>20260902-8186-457424866</t>
        </is>
      </c>
      <c r="B141" t="n">
        <v>1</v>
      </c>
      <c r="C141" s="2" t="inlineStr">
        <is>
          <t>Анатолий Урюпов</t>
        </is>
      </c>
      <c r="D141" s="3" t="n">
        <v>13400</v>
      </c>
      <c r="E141" s="4" t="n">
        <v>0</v>
      </c>
      <c r="F141" t="inlineStr">
        <is>
          <t>Прямые бронирования (стойка) [Чайковский]</t>
        </is>
      </c>
      <c r="G141" s="3">
        <f>ROUND(D141/(100-E141)*100,2)</f>
        <v/>
      </c>
      <c r="H141" s="5" t="n">
        <v>46267.58333333334</v>
      </c>
      <c r="I141" t="n">
        <v>1</v>
      </c>
      <c r="J141" s="3">
        <f>G141/I141</f>
        <v/>
      </c>
      <c r="K141">
        <f>IF(J141&gt;=5100,"ставка","мин.ставка")</f>
        <v/>
      </c>
      <c r="L141" s="3">
        <f>ROUND(IF(K141="мин.ставка",I141*100,G141/102*2),2)</f>
        <v/>
      </c>
      <c r="M141" s="5" t="n">
        <v>46268.5</v>
      </c>
      <c r="N141" t="inlineStr">
        <is>
          <t>TravelLine ресепшн</t>
        </is>
      </c>
      <c r="O141" s="2" t="inlineStr">
        <is>
          <t>УЛУЧШЕННЫЙ ДВУХМЕСТНЫЙ НОМЕР</t>
        </is>
      </c>
      <c r="P141" s="6" t="n"/>
      <c r="R141" t="inlineStr"/>
      <c r="S141" t="inlineStr">
        <is>
          <t>Тариф с завтраком</t>
        </is>
      </c>
      <c r="T141" t="n">
        <v>0</v>
      </c>
      <c r="U141" t="n">
        <v>13400</v>
      </c>
    </row>
    <row r="142">
      <c r="A142" t="inlineStr">
        <is>
          <t>20260911-8186-464289251</t>
        </is>
      </c>
      <c r="B142" t="n">
        <v>1</v>
      </c>
      <c r="C142" s="2" t="inlineStr">
        <is>
          <t>Андрей Беляев</t>
        </is>
      </c>
      <c r="D142" s="3" t="n">
        <v>10998.15</v>
      </c>
      <c r="E142" s="4" t="n">
        <v>4</v>
      </c>
      <c r="F142" t="inlineStr">
        <is>
          <t>TravelLine Booking Engine [Чайковский]</t>
        </is>
      </c>
      <c r="G142" s="3">
        <f>ROUND(D142/(100-E142)*100,2)</f>
        <v/>
      </c>
      <c r="H142" s="5" t="n">
        <v>46276.75</v>
      </c>
      <c r="I142" t="n">
        <v>1</v>
      </c>
      <c r="J142" s="3">
        <f>G142/I142</f>
        <v/>
      </c>
      <c r="K142">
        <f>IF(J142&gt;=5100,"ставка","мин.ставка")</f>
        <v/>
      </c>
      <c r="L142" s="3">
        <f>ROUND(IF(K142="мин.ставка",I142*100,G142/102*2),2)</f>
        <v/>
      </c>
      <c r="M142" s="5" t="n">
        <v>46277.5</v>
      </c>
      <c r="N142" t="inlineStr">
        <is>
          <t>TravelLine сайт</t>
        </is>
      </c>
      <c r="O142" s="2" t="inlineStr">
        <is>
          <t>СТАНДАРТНЫЙ ДВУХМЕСТНЫЙ НОМЕР</t>
        </is>
      </c>
      <c r="P142" s="6" t="n"/>
      <c r="R142" t="inlineStr"/>
      <c r="S142" t="inlineStr">
        <is>
          <t>Тариф с завтраком</t>
        </is>
      </c>
      <c r="T142" t="n">
        <v>0</v>
      </c>
      <c r="U142" t="n">
        <v>10998.15</v>
      </c>
    </row>
    <row r="143">
      <c r="A143" t="inlineStr">
        <is>
          <t>20260916-8186-466082253</t>
        </is>
      </c>
      <c r="B143" t="n">
        <v>1</v>
      </c>
      <c r="C143" s="2" t="inlineStr">
        <is>
          <t>Андрей Бондарчук</t>
        </is>
      </c>
      <c r="D143" s="3" t="n">
        <v>14050.5</v>
      </c>
      <c r="E143" s="4" t="n">
        <v>4</v>
      </c>
      <c r="F143" t="inlineStr">
        <is>
          <t>TravelLine Booking Engine [Чайковский]</t>
        </is>
      </c>
      <c r="G143" s="3">
        <f>ROUND(D143/(100-E143)*100,2)</f>
        <v/>
      </c>
      <c r="H143" s="5" t="n">
        <v>46281.79166666666</v>
      </c>
      <c r="I143" t="n">
        <v>1</v>
      </c>
      <c r="J143" s="3">
        <f>G143/I143</f>
        <v/>
      </c>
      <c r="K143">
        <f>IF(J143&gt;=5100,"ставка","мин.ставка")</f>
        <v/>
      </c>
      <c r="L143" s="3">
        <f>ROUND(IF(K143="мин.ставка",I143*100,G143/102*2),2)</f>
        <v/>
      </c>
      <c r="M143" s="5" t="n">
        <v>46282.5</v>
      </c>
      <c r="N143" t="inlineStr">
        <is>
          <t>TravelLine сайт</t>
        </is>
      </c>
      <c r="O143" s="2" t="inlineStr">
        <is>
          <t>ПОЛУЛЮКС</t>
        </is>
      </c>
      <c r="P143" s="6" t="n"/>
      <c r="R143" t="inlineStr"/>
      <c r="S143" t="inlineStr">
        <is>
          <t>Тариф с завтраком</t>
        </is>
      </c>
      <c r="T143" t="n">
        <v>0</v>
      </c>
      <c r="U143" t="n">
        <v>14050.5</v>
      </c>
    </row>
    <row r="144">
      <c r="A144" t="inlineStr">
        <is>
          <t>20260930-8186-468765445</t>
        </is>
      </c>
      <c r="B144" t="n">
        <v>1</v>
      </c>
      <c r="C144" s="2" t="inlineStr">
        <is>
          <t>Андрей Внуков, Ольга Внукова</t>
        </is>
      </c>
      <c r="D144" s="3" t="n">
        <v>69600</v>
      </c>
      <c r="E144" s="4" t="n">
        <v>20</v>
      </c>
      <c r="F144" t="inlineStr">
        <is>
          <t>ООО «Дубль Гис» (OTELLO) [Чайковский]</t>
        </is>
      </c>
      <c r="G144" s="3">
        <f>ROUND(D144/(100-E144)*100,2)</f>
        <v/>
      </c>
      <c r="H144" s="5" t="n">
        <v>46295.58333333334</v>
      </c>
      <c r="I144" t="n">
        <v>6</v>
      </c>
      <c r="J144" s="3">
        <f>G144/I144</f>
        <v/>
      </c>
      <c r="K144">
        <f>IF(J144&gt;=5100,"ставка","мин.ставка")</f>
        <v/>
      </c>
      <c r="L144" s="3">
        <f>ROUND(IF(K144="мин.ставка",I144*100,G144/102*2),2)</f>
        <v/>
      </c>
      <c r="M144" s="5" t="n">
        <v>46301.5</v>
      </c>
      <c r="N144" t="inlineStr">
        <is>
          <t>TravelLine OL2</t>
        </is>
      </c>
      <c r="O144" s="2" t="inlineStr">
        <is>
          <t>ПОЛУЛЮКС</t>
        </is>
      </c>
      <c r="P144" s="6" t="n"/>
      <c r="R144" t="inlineStr"/>
      <c r="S144" t="inlineStr">
        <is>
          <t>Тариф с завтраком</t>
        </is>
      </c>
      <c r="T144" t="n">
        <v>0</v>
      </c>
      <c r="U144" t="n">
        <v>139200</v>
      </c>
    </row>
    <row r="145">
      <c r="A145" t="inlineStr">
        <is>
          <t>20260729-8186-452721975</t>
        </is>
      </c>
      <c r="B145" t="n">
        <v>1</v>
      </c>
      <c r="C145" s="2" t="inlineStr">
        <is>
          <t>АНДРЕЙ ВОРНОВСКИЙ</t>
        </is>
      </c>
      <c r="D145" s="3" t="n">
        <v>24650</v>
      </c>
      <c r="E145" s="4" t="n">
        <v>15</v>
      </c>
      <c r="F145" t="inlineStr">
        <is>
          <t>ООО "БРОНИРОВАНИЕ ГОСТИНИЦ" (OSTROVOK) [Чайковский]</t>
        </is>
      </c>
      <c r="G145" s="3">
        <f>ROUND(D145/(100-E145)*100,2)</f>
        <v/>
      </c>
      <c r="H145" s="5" t="n">
        <v>46232.58333333334</v>
      </c>
      <c r="I145" t="n">
        <v>2</v>
      </c>
      <c r="J145" s="3">
        <f>G145/I145</f>
        <v/>
      </c>
      <c r="K145">
        <f>IF(J145&gt;=5100,"ставка","мин.ставка")</f>
        <v/>
      </c>
      <c r="L145" s="3">
        <f>ROUND(IF(K145="мин.ставка",I145*100,G145/102*2),2)</f>
        <v/>
      </c>
      <c r="M145" s="5" t="n">
        <v>46234.5</v>
      </c>
      <c r="N145" t="inlineStr">
        <is>
          <t>TravelLine OTK</t>
        </is>
      </c>
      <c r="O145" s="2" t="inlineStr">
        <is>
          <t>ПОЛУЛЮКС</t>
        </is>
      </c>
      <c r="P145" s="6" t="n"/>
      <c r="R145" t="inlineStr"/>
      <c r="S145" t="inlineStr">
        <is>
          <t>Тариф с завтраком</t>
        </is>
      </c>
      <c r="T145" t="n">
        <v>0</v>
      </c>
      <c r="U145" t="n">
        <v>24650</v>
      </c>
    </row>
    <row r="146">
      <c r="A146" t="inlineStr">
        <is>
          <t>20260928-8186-468298353</t>
        </is>
      </c>
      <c r="B146" t="n">
        <v>1</v>
      </c>
      <c r="C146" s="2" t="inlineStr">
        <is>
          <t>АНДРЕЙ ВОРНОВСКИЙ</t>
        </is>
      </c>
      <c r="D146" s="3" t="n">
        <v>39690</v>
      </c>
      <c r="E146" s="4" t="n">
        <v>16</v>
      </c>
      <c r="F146" t="inlineStr">
        <is>
          <t>ООО "БРОНИРОВАНИЕ ГОСТИНИЦ" (OSTROVOK) [Чайковский]</t>
        </is>
      </c>
      <c r="G146" s="3">
        <f>ROUND(D146/(100-E146)*100,2)</f>
        <v/>
      </c>
      <c r="H146" s="5" t="n">
        <v>46293.58333333334</v>
      </c>
      <c r="I146" t="n">
        <v>4</v>
      </c>
      <c r="J146" s="3">
        <f>G146/I146</f>
        <v/>
      </c>
      <c r="K146">
        <f>IF(J146&gt;=5100,"ставка","мин.ставка")</f>
        <v/>
      </c>
      <c r="L146" s="3">
        <f>ROUND(IF(K146="мин.ставка",I146*100,G146/102*2),2)</f>
        <v/>
      </c>
      <c r="M146" s="5" t="n">
        <v>46297.5</v>
      </c>
      <c r="N146" t="inlineStr">
        <is>
          <t>TravelLine OTK</t>
        </is>
      </c>
      <c r="O146" s="2" t="inlineStr">
        <is>
          <t>СЕМЕЙНЫЙ НОМЕР КАТЕГОРИИ "СТАНДАРТ" ВТОРОЙ КОРПУС</t>
        </is>
      </c>
      <c r="P146" s="6" t="n"/>
      <c r="R146" t="inlineStr"/>
      <c r="S146" t="inlineStr">
        <is>
          <t>Тариф с завтраком</t>
        </is>
      </c>
      <c r="T146" t="n">
        <v>0</v>
      </c>
      <c r="U146" t="n">
        <v>39690</v>
      </c>
    </row>
    <row r="147">
      <c r="A147" t="inlineStr">
        <is>
          <t>20260930-8186-467523772</t>
        </is>
      </c>
      <c r="B147" t="n">
        <v>1</v>
      </c>
      <c r="C147" s="2" t="inlineStr">
        <is>
          <t>Андрей Голубов, Дарья Коломыц</t>
        </is>
      </c>
      <c r="D147" s="3" t="n">
        <v>43280</v>
      </c>
      <c r="E147" s="4" t="n">
        <v>20</v>
      </c>
      <c r="F147" t="inlineStr">
        <is>
          <t>ООО "КОМПАНИЯ БРОНЕВИК" [Чайковский]</t>
        </is>
      </c>
      <c r="G147" s="3">
        <f>ROUND(D147/(100-E147)*100,2)</f>
        <v/>
      </c>
      <c r="H147" s="5" t="n">
        <v>46295.58333333334</v>
      </c>
      <c r="I147" t="n">
        <v>6</v>
      </c>
      <c r="J147" s="3">
        <f>G147/I147</f>
        <v/>
      </c>
      <c r="K147">
        <f>IF(J147&gt;=5100,"ставка","мин.ставка")</f>
        <v/>
      </c>
      <c r="L147" s="3">
        <f>ROUND(IF(K147="мин.ставка",I147*100,G147/102*2),2)</f>
        <v/>
      </c>
      <c r="M147" s="5" t="n">
        <v>46301.5</v>
      </c>
      <c r="N147" t="inlineStr">
        <is>
          <t>TravelLine BR2</t>
        </is>
      </c>
      <c r="O147" s="2" t="inlineStr">
        <is>
          <t>СТАНДАРТНЫЙ ДВУХМЕСТНЫЙ НОМЕР</t>
        </is>
      </c>
      <c r="P147" s="6" t="n"/>
      <c r="R147" t="inlineStr"/>
      <c r="S147" t="inlineStr">
        <is>
          <t>Основной тариф без завтрака</t>
        </is>
      </c>
      <c r="T147" t="n">
        <v>0</v>
      </c>
      <c r="U147" t="n">
        <v>43280</v>
      </c>
    </row>
    <row r="148">
      <c r="A148" t="inlineStr">
        <is>
          <t>20260913-8186-455450305</t>
        </is>
      </c>
      <c r="B148" t="n">
        <v>1</v>
      </c>
      <c r="C148" s="2" t="inlineStr">
        <is>
          <t>Андрей Дайхес</t>
        </is>
      </c>
      <c r="D148" s="3" t="n">
        <v>56750</v>
      </c>
      <c r="E148" s="4" t="n">
        <v>0</v>
      </c>
      <c r="F148" t="inlineStr">
        <is>
          <t>Прямые бронирования (стойка) [Чайковский]</t>
        </is>
      </c>
      <c r="G148" s="3">
        <f>ROUND(D148/(100-E148)*100,2)</f>
        <v/>
      </c>
      <c r="H148" s="5" t="n">
        <v>46278.58333333334</v>
      </c>
      <c r="I148" t="n">
        <v>5</v>
      </c>
      <c r="J148" s="3">
        <f>G148/I148</f>
        <v/>
      </c>
      <c r="K148">
        <f>IF(J148&gt;=5100,"ставка","мин.ставка")</f>
        <v/>
      </c>
      <c r="L148" s="3">
        <f>ROUND(IF(K148="мин.ставка",I148*100,G148/102*2),2)</f>
        <v/>
      </c>
      <c r="M148" s="5" t="n">
        <v>46283.75</v>
      </c>
      <c r="N148" t="inlineStr">
        <is>
          <t>TravelLine ресепшн</t>
        </is>
      </c>
      <c r="O148" s="2" t="inlineStr">
        <is>
          <t>СТАНДАРТНЫЙ ДВУХМЕСТНЫЙ НОМЕР</t>
        </is>
      </c>
      <c r="P148" s="6" t="n"/>
      <c r="R148" t="inlineStr"/>
      <c r="S148" t="inlineStr">
        <is>
          <t>Тариф с завтраком</t>
        </is>
      </c>
      <c r="T148" t="n">
        <v>5675</v>
      </c>
      <c r="U148" t="n">
        <v>62425</v>
      </c>
    </row>
    <row r="149">
      <c r="A149" t="inlineStr">
        <is>
          <t>20260710-8186-449153360</t>
        </is>
      </c>
      <c r="B149" t="n">
        <v>1</v>
      </c>
      <c r="C149" s="2" t="inlineStr">
        <is>
          <t>АНДРЕЙ ДОБРЯКОВ, Алина Жукова</t>
        </is>
      </c>
      <c r="D149" s="3" t="n">
        <v>9880</v>
      </c>
      <c r="E149" s="4" t="n">
        <v>18</v>
      </c>
      <c r="F149" t="inlineStr">
        <is>
          <t>Яндекс.Путешествия [Чайковский]</t>
        </is>
      </c>
      <c r="G149" s="3">
        <f>ROUND(D149/(100-E149)*100,2)</f>
        <v/>
      </c>
      <c r="H149" s="5" t="n">
        <v>46213.58333333334</v>
      </c>
      <c r="I149" t="n">
        <v>1</v>
      </c>
      <c r="J149" s="3">
        <f>G149/I149</f>
        <v/>
      </c>
      <c r="K149">
        <f>IF(J149&gt;=5100,"ставка","мин.ставка")</f>
        <v/>
      </c>
      <c r="L149" s="3">
        <f>ROUND(IF(K149="мин.ставка",I149*100,G149/102*2),2)</f>
        <v/>
      </c>
      <c r="M149" s="5" t="n">
        <v>46214.5</v>
      </c>
      <c r="N149" t="inlineStr">
        <is>
          <t>TravelLine YAX</t>
        </is>
      </c>
      <c r="O149" s="2" t="inlineStr">
        <is>
          <t>СТАНДАРТНЫЙ ДВУХМЕСТНЫЙ НОМЕР</t>
        </is>
      </c>
      <c r="P149" s="6" t="n"/>
      <c r="R149" t="inlineStr"/>
      <c r="S149" t="inlineStr">
        <is>
          <t>Тариф с завтраком</t>
        </is>
      </c>
      <c r="T149" t="n">
        <v>0</v>
      </c>
      <c r="U149" t="n">
        <v>9880</v>
      </c>
    </row>
    <row r="150">
      <c r="A150" t="inlineStr">
        <is>
          <t>20260718-8186-451312706</t>
        </is>
      </c>
      <c r="B150" t="n">
        <v>1</v>
      </c>
      <c r="C150" s="2" t="inlineStr">
        <is>
          <t>АНДРЕЙ ДОБРЯКОВ, АЛИНА ЖУКОВА</t>
        </is>
      </c>
      <c r="D150" s="3" t="n">
        <v>12320</v>
      </c>
      <c r="E150" s="4" t="n">
        <v>18</v>
      </c>
      <c r="F150" t="inlineStr">
        <is>
          <t>Яндекс.Путешествия [Чайковский]</t>
        </is>
      </c>
      <c r="G150" s="3">
        <f>ROUND(D150/(100-E150)*100,2)</f>
        <v/>
      </c>
      <c r="H150" s="5" t="n">
        <v>46221.58333333334</v>
      </c>
      <c r="I150" t="n">
        <v>1</v>
      </c>
      <c r="J150" s="3">
        <f>G150/I150</f>
        <v/>
      </c>
      <c r="K150">
        <f>IF(J150&gt;=5100,"ставка","мин.ставка")</f>
        <v/>
      </c>
      <c r="L150" s="3">
        <f>ROUND(IF(K150="мин.ставка",I150*100,G150/102*2),2)</f>
        <v/>
      </c>
      <c r="M150" s="5" t="n">
        <v>46222.5</v>
      </c>
      <c r="N150" t="inlineStr">
        <is>
          <t>TravelLine YAX</t>
        </is>
      </c>
      <c r="O150" s="2" t="inlineStr">
        <is>
          <t>УЛУЧШЕННЫЙ ДВУХМЕСТНЫЙ НОМЕР</t>
        </is>
      </c>
      <c r="P150" s="6" t="n"/>
      <c r="R150" t="inlineStr"/>
      <c r="S150" t="inlineStr">
        <is>
          <t>Тариф с завтраком</t>
        </is>
      </c>
      <c r="T150" t="n">
        <v>0</v>
      </c>
      <c r="U150" t="n">
        <v>12320</v>
      </c>
    </row>
    <row r="151">
      <c r="A151" t="inlineStr">
        <is>
          <t>20260710-8186-448524052</t>
        </is>
      </c>
      <c r="B151" t="n">
        <v>1</v>
      </c>
      <c r="C151" s="2" t="inlineStr">
        <is>
          <t>Андрей Дьяков</t>
        </is>
      </c>
      <c r="D151" s="3" t="n">
        <v>11205</v>
      </c>
      <c r="E151" s="4" t="n">
        <v>0</v>
      </c>
      <c r="F151" t="inlineStr">
        <is>
          <t>Прямые бронирования (стойка) [Чайковский]</t>
        </is>
      </c>
      <c r="G151" s="3">
        <f>ROUND(D151/(100-E151)*100,2)</f>
        <v/>
      </c>
      <c r="H151" s="5" t="n">
        <v>46213.58333333334</v>
      </c>
      <c r="I151" t="n">
        <v>1</v>
      </c>
      <c r="J151" s="3">
        <f>G151/I151</f>
        <v/>
      </c>
      <c r="K151">
        <f>IF(J151&gt;=5100,"ставка","мин.ставка")</f>
        <v/>
      </c>
      <c r="L151" s="3">
        <f>ROUND(IF(K151="мин.ставка",I151*100,G151/102*2),2)</f>
        <v/>
      </c>
      <c r="M151" s="5" t="n">
        <v>46214.5</v>
      </c>
      <c r="N151" t="inlineStr">
        <is>
          <t>TravelLine ресепшн</t>
        </is>
      </c>
      <c r="O151" s="2" t="inlineStr">
        <is>
          <t>СЕМЕЙНЫЙ НОМЕР КАТЕГОРИИ "СТАНДАРТ" ВТОРОЙ КОРПУС</t>
        </is>
      </c>
      <c r="P151" s="6" t="n"/>
      <c r="R151" t="inlineStr"/>
      <c r="S151" t="inlineStr">
        <is>
          <t>Тариф с завтраком</t>
        </is>
      </c>
      <c r="T151" t="n">
        <v>0</v>
      </c>
      <c r="U151" t="n">
        <v>11205</v>
      </c>
    </row>
    <row r="152">
      <c r="A152" t="inlineStr">
        <is>
          <t>20260724-8186-452860606</t>
        </is>
      </c>
      <c r="B152" t="n">
        <v>1</v>
      </c>
      <c r="C152" s="2" t="inlineStr">
        <is>
          <t>Андрей Дьяков</t>
        </is>
      </c>
      <c r="D152" s="3" t="n">
        <v>13050</v>
      </c>
      <c r="E152" s="4" t="n">
        <v>0</v>
      </c>
      <c r="F152" t="inlineStr">
        <is>
          <t>Прямые бронирования (стойка) [Чайковский]</t>
        </is>
      </c>
      <c r="G152" s="3">
        <f>ROUND(D152/(100-E152)*100,2)</f>
        <v/>
      </c>
      <c r="H152" s="5" t="n">
        <v>46227.58333333334</v>
      </c>
      <c r="I152" t="n">
        <v>1</v>
      </c>
      <c r="J152" s="3">
        <f>G152/I152</f>
        <v/>
      </c>
      <c r="K152">
        <f>IF(J152&gt;=5100,"ставка","мин.ставка")</f>
        <v/>
      </c>
      <c r="L152" s="3">
        <f>ROUND(IF(K152="мин.ставка",I152*100,G152/102*2),2)</f>
        <v/>
      </c>
      <c r="M152" s="5" t="n">
        <v>46228.5</v>
      </c>
      <c r="N152" t="inlineStr">
        <is>
          <t>TravelLine ресепшн</t>
        </is>
      </c>
      <c r="O152" s="2" t="inlineStr">
        <is>
          <t>ПОЛУЛЮКС</t>
        </is>
      </c>
      <c r="P152" s="6" t="n"/>
      <c r="R152" t="inlineStr"/>
      <c r="S152" t="inlineStr">
        <is>
          <t>Тариф с завтраком</t>
        </is>
      </c>
      <c r="T152" t="n">
        <v>0</v>
      </c>
      <c r="U152" t="n">
        <v>13050</v>
      </c>
    </row>
    <row r="153">
      <c r="A153" t="inlineStr">
        <is>
          <t>20260821-8186-459665197</t>
        </is>
      </c>
      <c r="B153" t="n">
        <v>1</v>
      </c>
      <c r="C153" s="2" t="inlineStr">
        <is>
          <t>Андрей Дьяков</t>
        </is>
      </c>
      <c r="D153" s="3" t="n">
        <v>10215</v>
      </c>
      <c r="E153" s="4" t="n">
        <v>0</v>
      </c>
      <c r="F153" t="inlineStr">
        <is>
          <t>Прямые бронирования (стойка) [Чайковский]</t>
        </is>
      </c>
      <c r="G153" s="3">
        <f>ROUND(D153/(100-E153)*100,2)</f>
        <v/>
      </c>
      <c r="H153" s="5" t="n">
        <v>46255.58333333334</v>
      </c>
      <c r="I153" t="n">
        <v>1</v>
      </c>
      <c r="J153" s="3">
        <f>G153/I153</f>
        <v/>
      </c>
      <c r="K153">
        <f>IF(J153&gt;=5100,"ставка","мин.ставка")</f>
        <v/>
      </c>
      <c r="L153" s="3">
        <f>ROUND(IF(K153="мин.ставка",I153*100,G153/102*2),2)</f>
        <v/>
      </c>
      <c r="M153" s="5" t="n">
        <v>46256.5</v>
      </c>
      <c r="N153" t="inlineStr">
        <is>
          <t>TravelLine ресепшн</t>
        </is>
      </c>
      <c r="O153" s="2" t="inlineStr">
        <is>
          <t>СТАНДАРТНЫЙ ДВУХМЕСТНЫЙ НОМЕР</t>
        </is>
      </c>
      <c r="P153" s="6" t="n"/>
      <c r="R153" t="inlineStr"/>
      <c r="S153" t="inlineStr">
        <is>
          <t>Тариф с завтраком</t>
        </is>
      </c>
      <c r="T153" t="n">
        <v>0</v>
      </c>
      <c r="U153" t="n">
        <v>10215</v>
      </c>
    </row>
    <row r="154">
      <c r="A154" t="inlineStr">
        <is>
          <t>20260801-8186-417315012</t>
        </is>
      </c>
      <c r="B154" t="n">
        <v>1</v>
      </c>
      <c r="C154" s="2" t="inlineStr">
        <is>
          <t>АНДРЕЙ ЕЛИСТРАТОВ, ЕЛИЗАВЕТА БРЫНЗА</t>
        </is>
      </c>
      <c r="D154" s="3" t="n">
        <v>16500</v>
      </c>
      <c r="E154" s="4" t="n">
        <v>0</v>
      </c>
      <c r="F154" t="inlineStr">
        <is>
          <t>Прямые бронирования (стойка) [Чайковский]</t>
        </is>
      </c>
      <c r="G154" s="3">
        <f>ROUND(D154/(100-E154)*100,2)</f>
        <v/>
      </c>
      <c r="H154" s="5" t="n">
        <v>46235.58333333334</v>
      </c>
      <c r="I154" t="n">
        <v>1</v>
      </c>
      <c r="J154" s="3">
        <f>G154/I154</f>
        <v/>
      </c>
      <c r="K154">
        <f>IF(J154&gt;=5100,"ставка","мин.ставка")</f>
        <v/>
      </c>
      <c r="L154" s="3">
        <f>ROUND(IF(K154="мин.ставка",I154*100,G154/102*2),2)</f>
        <v/>
      </c>
      <c r="M154" s="5" t="n">
        <v>46236.5</v>
      </c>
      <c r="N154" t="inlineStr">
        <is>
          <t>TravelLine ресепшн</t>
        </is>
      </c>
      <c r="O154" s="2" t="inlineStr">
        <is>
          <t>ПОЛУЛЮКС</t>
        </is>
      </c>
      <c r="P154" s="6" t="n"/>
      <c r="R154" t="inlineStr"/>
      <c r="S154" t="inlineStr">
        <is>
          <t>Тариф с завтраком</t>
        </is>
      </c>
      <c r="T154" t="n">
        <v>0</v>
      </c>
      <c r="U154" t="n">
        <v>16500</v>
      </c>
    </row>
    <row r="155">
      <c r="A155" t="inlineStr">
        <is>
          <t>20260829-8186-455908212</t>
        </is>
      </c>
      <c r="B155" t="n">
        <v>1</v>
      </c>
      <c r="C155" s="2" t="inlineStr">
        <is>
          <t>АНДРЕЙ ЖАРОВ, КСЕНИЯ ЖАРОВА</t>
        </is>
      </c>
      <c r="D155" s="3" t="n">
        <v>67284</v>
      </c>
      <c r="E155" s="4" t="n">
        <v>16</v>
      </c>
      <c r="F155" t="inlineStr">
        <is>
          <t>ООО "БРОНИРОВАНИЕ ГОСТИНИЦ" (OSTROVOK) [Чайковский]</t>
        </is>
      </c>
      <c r="G155" s="3">
        <f>ROUND(D155/(100-E155)*100,2)</f>
        <v/>
      </c>
      <c r="H155" s="5" t="n">
        <v>46263.58333333334</v>
      </c>
      <c r="I155" t="n">
        <v>6</v>
      </c>
      <c r="J155" s="3">
        <f>G155/I155</f>
        <v/>
      </c>
      <c r="K155">
        <f>IF(J155&gt;=5100,"ставка","мин.ставка")</f>
        <v/>
      </c>
      <c r="L155" s="3">
        <f>ROUND(IF(K155="мин.ставка",I155*100,G155/102*2),2)</f>
        <v/>
      </c>
      <c r="M155" s="5" t="n">
        <v>46269.5</v>
      </c>
      <c r="N155" t="inlineStr">
        <is>
          <t>TravelLine OTK</t>
        </is>
      </c>
      <c r="O155" s="2" t="inlineStr">
        <is>
          <t>СТАНДАРТНЫЙ ДВУХМЕСТНЫЙ НОМЕР</t>
        </is>
      </c>
      <c r="P155" s="6" t="n"/>
      <c r="R155" t="inlineStr"/>
      <c r="S155" t="inlineStr">
        <is>
          <t>Тариф с завтраком</t>
        </is>
      </c>
      <c r="T155" t="n">
        <v>0</v>
      </c>
      <c r="U155" t="n">
        <v>67284</v>
      </c>
    </row>
    <row r="156">
      <c r="A156" t="inlineStr">
        <is>
          <t>20260729-8186-446530322</t>
        </is>
      </c>
      <c r="B156" t="n">
        <v>1</v>
      </c>
      <c r="C156" s="2" t="inlineStr">
        <is>
          <t>АНДРЕЙ ЖУКОВ, ГЕОРГИЙ БУГЕЛЬСКИЙ</t>
        </is>
      </c>
      <c r="D156" s="3" t="n">
        <v>12015</v>
      </c>
      <c r="E156" s="4" t="n">
        <v>0</v>
      </c>
      <c r="F156" t="inlineStr">
        <is>
          <t>Прямые бронирования (стойка) [Чайковский]</t>
        </is>
      </c>
      <c r="G156" s="3">
        <f>ROUND(D156/(100-E156)*100,2)</f>
        <v/>
      </c>
      <c r="H156" s="5" t="n">
        <v>46232.58333333334</v>
      </c>
      <c r="I156" t="n">
        <v>1</v>
      </c>
      <c r="J156" s="3">
        <f>G156/I156</f>
        <v/>
      </c>
      <c r="K156">
        <f>IF(J156&gt;=5100,"ставка","мин.ставка")</f>
        <v/>
      </c>
      <c r="L156" s="3">
        <f>ROUND(IF(K156="мин.ставка",I156*100,G156/102*2),2)</f>
        <v/>
      </c>
      <c r="M156" s="5" t="n">
        <v>46233.5</v>
      </c>
      <c r="N156" t="inlineStr">
        <is>
          <t>TravelLine ресепшн</t>
        </is>
      </c>
      <c r="O156" s="2" t="inlineStr">
        <is>
          <t>СТАНДАРТНЫЙ ДВУХМЕСТНЫЙ НОМЕР</t>
        </is>
      </c>
      <c r="P156" s="6" t="n"/>
      <c r="R156" t="inlineStr"/>
      <c r="S156" t="inlineStr">
        <is>
          <t>Тариф с завтраком</t>
        </is>
      </c>
      <c r="T156" t="n">
        <v>0</v>
      </c>
      <c r="U156" t="n">
        <v>12015</v>
      </c>
    </row>
    <row r="157">
      <c r="A157" t="inlineStr">
        <is>
          <t>20260701-8186-405717237</t>
        </is>
      </c>
      <c r="B157" t="n">
        <v>1</v>
      </c>
      <c r="C157" s="2" t="inlineStr">
        <is>
          <t>Андрей Зайцев, Наталья Зайцева</t>
        </is>
      </c>
      <c r="D157" s="3" t="n">
        <v>56826</v>
      </c>
      <c r="E157" s="4" t="n">
        <v>18</v>
      </c>
      <c r="F157" t="inlineStr">
        <is>
          <t>Яндекс.Путешествия [Чайковский]</t>
        </is>
      </c>
      <c r="G157" s="3">
        <f>ROUND(D157/(100-E157)*100,2)</f>
        <v/>
      </c>
      <c r="H157" s="5" t="n">
        <v>46204.58333333334</v>
      </c>
      <c r="I157" t="n">
        <v>7</v>
      </c>
      <c r="J157" s="3">
        <f>G157/I157</f>
        <v/>
      </c>
      <c r="K157">
        <f>IF(J157&gt;=5100,"ставка","мин.ставка")</f>
        <v/>
      </c>
      <c r="L157" s="3">
        <f>ROUND(IF(K157="мин.ставка",I157*100,G157/102*2),2)</f>
        <v/>
      </c>
      <c r="M157" s="5" t="n">
        <v>46211.5</v>
      </c>
      <c r="N157" t="inlineStr">
        <is>
          <t>TravelLine YAX</t>
        </is>
      </c>
      <c r="O157" s="2" t="inlineStr">
        <is>
          <t>СТАНДАРТНЫЙ ДВУХМЕСТНЫЙ НОМЕР (МАНСАРДА)</t>
        </is>
      </c>
      <c r="P157" s="6" t="n"/>
      <c r="R157" t="inlineStr"/>
      <c r="S157" t="inlineStr">
        <is>
          <t>Тариф с завтраком</t>
        </is>
      </c>
      <c r="T157" t="n">
        <v>0</v>
      </c>
      <c r="U157" t="n">
        <v>56826</v>
      </c>
    </row>
    <row r="158">
      <c r="A158" t="inlineStr">
        <is>
          <t>20260827-8186-451798611</t>
        </is>
      </c>
      <c r="B158" t="n">
        <v>1</v>
      </c>
      <c r="C158" s="2" t="inlineStr">
        <is>
          <t>Андрей Капралов, Ксения Ким</t>
        </is>
      </c>
      <c r="D158" s="3" t="n">
        <v>24640</v>
      </c>
      <c r="E158" s="4" t="n">
        <v>20</v>
      </c>
      <c r="F158" t="inlineStr">
        <is>
          <t>ООО "УК ГЦБ и Т" [Чайковский]</t>
        </is>
      </c>
      <c r="G158" s="3">
        <f>ROUND(D158/(100-E158)*100,2)</f>
        <v/>
      </c>
      <c r="H158" s="5" t="n">
        <v>46261.58333333334</v>
      </c>
      <c r="I158" t="n">
        <v>4</v>
      </c>
      <c r="J158" s="3">
        <f>G158/I158</f>
        <v/>
      </c>
      <c r="K158">
        <f>IF(J158&gt;=5100,"ставка","мин.ставка")</f>
        <v/>
      </c>
      <c r="L158" s="3">
        <f>ROUND(IF(K158="мин.ставка",I158*100,G158/102*2),2)</f>
        <v/>
      </c>
      <c r="M158" s="5" t="n">
        <v>46265.5</v>
      </c>
      <c r="N158" t="inlineStr">
        <is>
          <t>TravelLine CBC</t>
        </is>
      </c>
      <c r="O158" s="2" t="inlineStr">
        <is>
          <t>УЛУЧШЕННЫЙ ДВУХМЕСТНЫЙ НОМЕР</t>
        </is>
      </c>
      <c r="P158" s="6" t="n"/>
      <c r="R158" t="inlineStr"/>
      <c r="S158" t="inlineStr">
        <is>
          <t>Тариф с завтраком</t>
        </is>
      </c>
      <c r="T158" t="n">
        <v>30800</v>
      </c>
      <c r="U158" t="n">
        <v>55440</v>
      </c>
    </row>
    <row r="159">
      <c r="A159" t="inlineStr">
        <is>
          <t>20260807-8186-441275849</t>
        </is>
      </c>
      <c r="B159" t="n">
        <v>1</v>
      </c>
      <c r="C159" s="2" t="inlineStr">
        <is>
          <t>Андрей Кирюхин, Анастасия Кирюхина</t>
        </is>
      </c>
      <c r="D159" s="3" t="n">
        <v>26499.75</v>
      </c>
      <c r="E159" s="4" t="n">
        <v>4</v>
      </c>
      <c r="F159" t="inlineStr">
        <is>
          <t>TravelLine Booking Engine [Чайковский]</t>
        </is>
      </c>
      <c r="G159" s="3">
        <f>ROUND(D159/(100-E159)*100,2)</f>
        <v/>
      </c>
      <c r="H159" s="5" t="n">
        <v>46241.58333333334</v>
      </c>
      <c r="I159" t="n">
        <v>2</v>
      </c>
      <c r="J159" s="3">
        <f>G159/I159</f>
        <v/>
      </c>
      <c r="K159">
        <f>IF(J159&gt;=5100,"ставка","мин.ставка")</f>
        <v/>
      </c>
      <c r="L159" s="3">
        <f>ROUND(IF(K159="мин.ставка",I159*100,G159/102*2),2)</f>
        <v/>
      </c>
      <c r="M159" s="5" t="n">
        <v>46243.5</v>
      </c>
      <c r="N159" t="inlineStr">
        <is>
          <t>TravelLine сайт</t>
        </is>
      </c>
      <c r="O159" s="2" t="inlineStr">
        <is>
          <t>СТАНДАРТНЫЙ ДВУХМЕСТНЫЙ НОМЕР</t>
        </is>
      </c>
      <c r="P159" s="6" t="n"/>
      <c r="R159" t="inlineStr"/>
      <c r="S159" t="inlineStr">
        <is>
          <t>Тариф с завтраком</t>
        </is>
      </c>
      <c r="T159" t="n">
        <v>0</v>
      </c>
      <c r="U159" t="n">
        <v>26499.75</v>
      </c>
    </row>
    <row r="160">
      <c r="A160" t="inlineStr">
        <is>
          <t>20260817-8186-456950526</t>
        </is>
      </c>
      <c r="B160" t="n">
        <v>1</v>
      </c>
      <c r="C160" s="2" t="inlineStr">
        <is>
          <t>Андрей Красавцев</t>
        </is>
      </c>
      <c r="D160" s="3" t="n">
        <v>11350</v>
      </c>
      <c r="E160" s="4" t="n">
        <v>0</v>
      </c>
      <c r="F160" t="inlineStr">
        <is>
          <t>Прямые бронирования (стойка) [Чайковский]</t>
        </is>
      </c>
      <c r="G160" s="3">
        <f>ROUND(D160/(100-E160)*100,2)</f>
        <v/>
      </c>
      <c r="H160" s="5" t="n">
        <v>46251.58333333334</v>
      </c>
      <c r="I160" t="n">
        <v>1</v>
      </c>
      <c r="J160" s="3">
        <f>G160/I160</f>
        <v/>
      </c>
      <c r="K160">
        <f>IF(J160&gt;=5100,"ставка","мин.ставка")</f>
        <v/>
      </c>
      <c r="L160" s="3">
        <f>ROUND(IF(K160="мин.ставка",I160*100,G160/102*2),2)</f>
        <v/>
      </c>
      <c r="M160" s="5" t="n">
        <v>46252.5</v>
      </c>
      <c r="N160" t="inlineStr">
        <is>
          <t>TravelLine ресепшн</t>
        </is>
      </c>
      <c r="O160" s="2" t="inlineStr">
        <is>
          <t>СТАНДАРТНЫЙ ДВУХМЕСТНЫЙ НОМЕР</t>
        </is>
      </c>
      <c r="P160" s="6" t="n"/>
      <c r="R160" t="inlineStr"/>
      <c r="S160" t="inlineStr">
        <is>
          <t>Тариф с завтраком</t>
        </is>
      </c>
      <c r="T160" t="n">
        <v>0</v>
      </c>
      <c r="U160" t="n">
        <v>11350</v>
      </c>
    </row>
    <row r="161">
      <c r="A161" t="inlineStr">
        <is>
          <t>20260722-8186-452174809</t>
        </is>
      </c>
      <c r="B161" t="n">
        <v>1</v>
      </c>
      <c r="C161" s="2" t="inlineStr">
        <is>
          <t>Андрей Лукашенко</t>
        </is>
      </c>
      <c r="D161" s="3" t="n">
        <v>24310</v>
      </c>
      <c r="E161" s="4" t="n">
        <v>15</v>
      </c>
      <c r="F161" t="inlineStr">
        <is>
          <t>ООО "БРОНИРОВАНИЕ ГОСТИНИЦ" (OSTROVOK) [Чайковский]</t>
        </is>
      </c>
      <c r="G161" s="3">
        <f>ROUND(D161/(100-E161)*100,2)</f>
        <v/>
      </c>
      <c r="H161" s="5" t="n">
        <v>46225.58333333334</v>
      </c>
      <c r="I161" t="n">
        <v>2</v>
      </c>
      <c r="J161" s="3">
        <f>G161/I161</f>
        <v/>
      </c>
      <c r="K161">
        <f>IF(J161&gt;=5100,"ставка","мин.ставка")</f>
        <v/>
      </c>
      <c r="L161" s="3">
        <f>ROUND(IF(K161="мин.ставка",I161*100,G161/102*2),2)</f>
        <v/>
      </c>
      <c r="M161" s="5" t="n">
        <v>46227.5</v>
      </c>
      <c r="N161" t="inlineStr">
        <is>
          <t>TravelLine OTK</t>
        </is>
      </c>
      <c r="O161" s="2" t="inlineStr">
        <is>
          <t>ЛЮКС ВТОРОЙ КОРПУС</t>
        </is>
      </c>
      <c r="P161" s="6" t="n"/>
      <c r="R161" t="inlineStr"/>
      <c r="S161" t="inlineStr">
        <is>
          <t>Основной тариф без завтрака</t>
        </is>
      </c>
      <c r="T161" t="n">
        <v>0</v>
      </c>
      <c r="U161" t="n">
        <v>24310</v>
      </c>
    </row>
    <row r="162">
      <c r="A162" t="inlineStr">
        <is>
          <t>20260726-8186-453324720</t>
        </is>
      </c>
      <c r="B162" t="n">
        <v>1</v>
      </c>
      <c r="C162" s="2" t="inlineStr">
        <is>
          <t>Андрей Лукашенко</t>
        </is>
      </c>
      <c r="D162" s="3" t="n">
        <v>28050</v>
      </c>
      <c r="E162" s="4" t="n">
        <v>15</v>
      </c>
      <c r="F162" t="inlineStr">
        <is>
          <t>ООО "БРОНИРОВАНИЕ ГОСТИНИЦ" (OSTROVOK) [Чайковский]</t>
        </is>
      </c>
      <c r="G162" s="3">
        <f>ROUND(D162/(100-E162)*100,2)</f>
        <v/>
      </c>
      <c r="H162" s="5" t="n">
        <v>46229.58333333334</v>
      </c>
      <c r="I162" t="n">
        <v>3</v>
      </c>
      <c r="J162" s="3">
        <f>G162/I162</f>
        <v/>
      </c>
      <c r="K162">
        <f>IF(J162&gt;=5100,"ставка","мин.ставка")</f>
        <v/>
      </c>
      <c r="L162" s="3">
        <f>ROUND(IF(K162="мин.ставка",I162*100,G162/102*2),2)</f>
        <v/>
      </c>
      <c r="M162" s="5" t="n">
        <v>46232.5</v>
      </c>
      <c r="N162" t="inlineStr">
        <is>
          <t>TravelLine OTK</t>
        </is>
      </c>
      <c r="O162" s="2" t="inlineStr">
        <is>
          <t>ЛЮКС ВТОРОЙ КОРПУС</t>
        </is>
      </c>
      <c r="P162" s="6" t="n"/>
      <c r="R162" t="inlineStr"/>
      <c r="S162" t="inlineStr">
        <is>
          <t>Основной тариф без завтрака</t>
        </is>
      </c>
      <c r="T162" t="n">
        <v>0</v>
      </c>
      <c r="U162" t="n">
        <v>28050</v>
      </c>
    </row>
    <row r="163">
      <c r="A163" t="inlineStr">
        <is>
          <t>20260920-8186-466531471</t>
        </is>
      </c>
      <c r="B163" t="n">
        <v>1</v>
      </c>
      <c r="C163" s="2" t="inlineStr">
        <is>
          <t>Андрей Машков</t>
        </is>
      </c>
      <c r="D163" s="3" t="n">
        <v>13090</v>
      </c>
      <c r="E163" s="4" t="n">
        <v>15</v>
      </c>
      <c r="F163" t="inlineStr">
        <is>
          <t>ООО Тинькофф Путешествия [Чайковский]</t>
        </is>
      </c>
      <c r="G163" s="3">
        <f>ROUND(D163/(100-E163)*100,2)</f>
        <v/>
      </c>
      <c r="H163" s="5" t="n">
        <v>46285.75</v>
      </c>
      <c r="I163" t="n">
        <v>2</v>
      </c>
      <c r="J163" s="3">
        <f>G163/I163</f>
        <v/>
      </c>
      <c r="K163">
        <f>IF(J163&gt;=5100,"ставка","мин.ставка")</f>
        <v/>
      </c>
      <c r="L163" s="3">
        <f>ROUND(IF(K163="мин.ставка",I163*100,G163/102*2),2)</f>
        <v/>
      </c>
      <c r="M163" s="5" t="n">
        <v>46287.5</v>
      </c>
      <c r="N163" t="inlineStr">
        <is>
          <t>TravelLine TNK</t>
        </is>
      </c>
      <c r="O163" s="2" t="inlineStr">
        <is>
          <t>СТАНДАРТНЫЙ ОДНОМЕСТНЫЙ НОМЕР</t>
        </is>
      </c>
      <c r="P163" s="6" t="n"/>
      <c r="R163" t="inlineStr"/>
      <c r="S163" t="inlineStr">
        <is>
          <t>Тариф с завтраком</t>
        </is>
      </c>
      <c r="T163" t="n">
        <v>0</v>
      </c>
      <c r="U163" t="n">
        <v>13090</v>
      </c>
    </row>
    <row r="164">
      <c r="A164" t="inlineStr">
        <is>
          <t>20260720-8186-451695475</t>
        </is>
      </c>
      <c r="B164" t="n">
        <v>1</v>
      </c>
      <c r="C164" s="2" t="inlineStr">
        <is>
          <t>АНДРЕЙ МОХНОВ</t>
        </is>
      </c>
      <c r="D164" s="3" t="n">
        <v>14240</v>
      </c>
      <c r="E164" s="4" t="n">
        <v>0</v>
      </c>
      <c r="F164" t="inlineStr">
        <is>
          <t>Прямые бронирования (стойка) [Чайковский]</t>
        </is>
      </c>
      <c r="G164" s="3">
        <f>ROUND(D164/(100-E164)*100,2)</f>
        <v/>
      </c>
      <c r="H164" s="5" t="n">
        <v>46223.58333333334</v>
      </c>
      <c r="I164" t="n">
        <v>1</v>
      </c>
      <c r="J164" s="3">
        <f>G164/I164</f>
        <v/>
      </c>
      <c r="K164">
        <f>IF(J164&gt;=5100,"ставка","мин.ставка")</f>
        <v/>
      </c>
      <c r="L164" s="3">
        <f>ROUND(IF(K164="мин.ставка",I164*100,G164/102*2),2)</f>
        <v/>
      </c>
      <c r="M164" s="5" t="n">
        <v>46224.5</v>
      </c>
      <c r="N164" t="inlineStr">
        <is>
          <t>TravelLine ресепшн</t>
        </is>
      </c>
      <c r="O164" s="2" t="inlineStr">
        <is>
          <t>ЛЮКС ВТОРОЙ КОРПУС</t>
        </is>
      </c>
      <c r="P164" s="6" t="n"/>
      <c r="R164" t="inlineStr"/>
      <c r="S164" t="inlineStr">
        <is>
          <t>Тариф с завтраком</t>
        </is>
      </c>
      <c r="T164" t="n">
        <v>0</v>
      </c>
      <c r="U164" t="n">
        <v>14240</v>
      </c>
    </row>
    <row r="165">
      <c r="A165" t="inlineStr">
        <is>
          <t>20260727-8186-453604137</t>
        </is>
      </c>
      <c r="B165" t="n">
        <v>1</v>
      </c>
      <c r="C165" s="2" t="inlineStr">
        <is>
          <t>Андрей Мохнов</t>
        </is>
      </c>
      <c r="D165" s="3" t="n">
        <v>14240</v>
      </c>
      <c r="E165" s="4" t="n">
        <v>0</v>
      </c>
      <c r="F165" t="inlineStr">
        <is>
          <t>Прямые бронирования (стойка) [Чайковский]</t>
        </is>
      </c>
      <c r="G165" s="3">
        <f>ROUND(D165/(100-E165)*100,2)</f>
        <v/>
      </c>
      <c r="H165" s="5" t="n">
        <v>46230.58333333334</v>
      </c>
      <c r="I165" t="n">
        <v>1</v>
      </c>
      <c r="J165" s="3">
        <f>G165/I165</f>
        <v/>
      </c>
      <c r="K165">
        <f>IF(J165&gt;=5100,"ставка","мин.ставка")</f>
        <v/>
      </c>
      <c r="L165" s="3">
        <f>ROUND(IF(K165="мин.ставка",I165*100,G165/102*2),2)</f>
        <v/>
      </c>
      <c r="M165" s="5" t="n">
        <v>46231.5</v>
      </c>
      <c r="N165" t="inlineStr">
        <is>
          <t>TravelLine ресепшн</t>
        </is>
      </c>
      <c r="O165" s="2" t="inlineStr">
        <is>
          <t>ЛЮКС ВТОРОЙ КОРПУС</t>
        </is>
      </c>
      <c r="P165" s="6" t="n"/>
      <c r="R165" t="inlineStr"/>
      <c r="S165" t="inlineStr">
        <is>
          <t>Тариф с завтраком</t>
        </is>
      </c>
      <c r="T165" t="n">
        <v>0</v>
      </c>
      <c r="U165" t="n">
        <v>14240</v>
      </c>
    </row>
    <row r="166">
      <c r="A166" t="inlineStr">
        <is>
          <t>20260803-8186-454362212</t>
        </is>
      </c>
      <c r="B166" t="n">
        <v>1</v>
      </c>
      <c r="C166" s="2" t="inlineStr">
        <is>
          <t>андрей мохнов</t>
        </is>
      </c>
      <c r="D166" s="3" t="n">
        <v>14240</v>
      </c>
      <c r="E166" s="4" t="n">
        <v>0</v>
      </c>
      <c r="F166" t="inlineStr">
        <is>
          <t>Прямые бронирования (стойка) [Чайковский]</t>
        </is>
      </c>
      <c r="G166" s="3">
        <f>ROUND(D166/(100-E166)*100,2)</f>
        <v/>
      </c>
      <c r="H166" s="5" t="n">
        <v>46237.58333333334</v>
      </c>
      <c r="I166" t="n">
        <v>1</v>
      </c>
      <c r="J166" s="3">
        <f>G166/I166</f>
        <v/>
      </c>
      <c r="K166">
        <f>IF(J166&gt;=5100,"ставка","мин.ставка")</f>
        <v/>
      </c>
      <c r="L166" s="3">
        <f>ROUND(IF(K166="мин.ставка",I166*100,G166/102*2),2)</f>
        <v/>
      </c>
      <c r="M166" s="5" t="n">
        <v>46238.5</v>
      </c>
      <c r="N166" t="inlineStr">
        <is>
          <t>TravelLine ресепшн</t>
        </is>
      </c>
      <c r="O166" s="2" t="inlineStr">
        <is>
          <t>ЛЮКС ВТОРОЙ КОРПУС</t>
        </is>
      </c>
      <c r="P166" s="6" t="n"/>
      <c r="R166" t="inlineStr"/>
      <c r="S166" t="inlineStr">
        <is>
          <t>Тариф с завтраком</t>
        </is>
      </c>
      <c r="T166" t="n">
        <v>0</v>
      </c>
      <c r="U166" t="n">
        <v>14240</v>
      </c>
    </row>
    <row r="167">
      <c r="A167" t="inlineStr">
        <is>
          <t>20260810-8186-457354060</t>
        </is>
      </c>
      <c r="B167" t="n">
        <v>1</v>
      </c>
      <c r="C167" s="2" t="inlineStr">
        <is>
          <t>андрей мохнов</t>
        </is>
      </c>
      <c r="D167" s="3" t="n">
        <v>14240</v>
      </c>
      <c r="E167" s="4" t="n">
        <v>0</v>
      </c>
      <c r="F167" t="inlineStr">
        <is>
          <t>Прямые бронирования (стойка) [Чайковский]</t>
        </is>
      </c>
      <c r="G167" s="3">
        <f>ROUND(D167/(100-E167)*100,2)</f>
        <v/>
      </c>
      <c r="H167" s="5" t="n">
        <v>46244.58333333334</v>
      </c>
      <c r="I167" t="n">
        <v>1</v>
      </c>
      <c r="J167" s="3">
        <f>G167/I167</f>
        <v/>
      </c>
      <c r="K167">
        <f>IF(J167&gt;=5100,"ставка","мин.ставка")</f>
        <v/>
      </c>
      <c r="L167" s="3">
        <f>ROUND(IF(K167="мин.ставка",I167*100,G167/102*2),2)</f>
        <v/>
      </c>
      <c r="M167" s="5" t="n">
        <v>46245.5</v>
      </c>
      <c r="N167" t="inlineStr">
        <is>
          <t>TravelLine ресепшн</t>
        </is>
      </c>
      <c r="O167" s="2" t="inlineStr">
        <is>
          <t>ЛЮКС ВТОРОЙ КОРПУС</t>
        </is>
      </c>
      <c r="P167" s="6" t="n"/>
      <c r="R167" t="inlineStr"/>
      <c r="S167" t="inlineStr">
        <is>
          <t>Тариф с завтраком</t>
        </is>
      </c>
      <c r="T167" t="n">
        <v>0</v>
      </c>
      <c r="U167" t="n">
        <v>14240</v>
      </c>
    </row>
    <row r="168">
      <c r="A168" t="inlineStr">
        <is>
          <t>20260817-8186-459203359</t>
        </is>
      </c>
      <c r="B168" t="n">
        <v>1</v>
      </c>
      <c r="C168" s="2" t="inlineStr">
        <is>
          <t>Андрей Мохнов</t>
        </is>
      </c>
      <c r="D168" s="3" t="n">
        <v>9080</v>
      </c>
      <c r="E168" s="4" t="n">
        <v>0</v>
      </c>
      <c r="F168" t="inlineStr">
        <is>
          <t>Прямые бронирования (стойка) [Чайковский]</t>
        </is>
      </c>
      <c r="G168" s="3">
        <f>ROUND(D168/(100-E168)*100,2)</f>
        <v/>
      </c>
      <c r="H168" s="5" t="n">
        <v>46251.58333333334</v>
      </c>
      <c r="I168" t="n">
        <v>1</v>
      </c>
      <c r="J168" s="3">
        <f>G168/I168</f>
        <v/>
      </c>
      <c r="K168">
        <f>IF(J168&gt;=5100,"ставка","мин.ставка")</f>
        <v/>
      </c>
      <c r="L168" s="3">
        <f>ROUND(IF(K168="мин.ставка",I168*100,G168/102*2),2)</f>
        <v/>
      </c>
      <c r="M168" s="5" t="n">
        <v>46252.5</v>
      </c>
      <c r="N168" t="inlineStr">
        <is>
          <t>TravelLine ресепшн</t>
        </is>
      </c>
      <c r="O168" s="2" t="inlineStr">
        <is>
          <t>СТАНДАРТНЫЙ ДВУХМЕСТНЫЙ НОМЕР</t>
        </is>
      </c>
      <c r="P168" s="6" t="n"/>
      <c r="R168" t="inlineStr"/>
      <c r="S168" t="inlineStr">
        <is>
          <t>Тариф с завтраком</t>
        </is>
      </c>
      <c r="T168" t="n">
        <v>0</v>
      </c>
      <c r="U168" t="n">
        <v>9080</v>
      </c>
    </row>
    <row r="169">
      <c r="A169" t="inlineStr">
        <is>
          <t>20260903-8186-463391238</t>
        </is>
      </c>
      <c r="B169" t="n">
        <v>1</v>
      </c>
      <c r="C169" s="2" t="inlineStr">
        <is>
          <t>андрей мохнов</t>
        </is>
      </c>
      <c r="D169" s="3" t="n">
        <v>14240</v>
      </c>
      <c r="E169" s="4" t="n">
        <v>0</v>
      </c>
      <c r="F169" t="inlineStr">
        <is>
          <t>Прямые бронирования (стойка) [Чайковский]</t>
        </is>
      </c>
      <c r="G169" s="3">
        <f>ROUND(D169/(100-E169)*100,2)</f>
        <v/>
      </c>
      <c r="H169" s="5" t="n">
        <v>46268.58333333334</v>
      </c>
      <c r="I169" t="n">
        <v>1</v>
      </c>
      <c r="J169" s="3">
        <f>G169/I169</f>
        <v/>
      </c>
      <c r="K169">
        <f>IF(J169&gt;=5100,"ставка","мин.ставка")</f>
        <v/>
      </c>
      <c r="L169" s="3">
        <f>ROUND(IF(K169="мин.ставка",I169*100,G169/102*2),2)</f>
        <v/>
      </c>
      <c r="M169" s="5" t="n">
        <v>46269.5</v>
      </c>
      <c r="N169" t="inlineStr">
        <is>
          <t>TravelLine ресепшн</t>
        </is>
      </c>
      <c r="O169" s="2" t="inlineStr">
        <is>
          <t>ЛЮКС ВТОРОЙ КОРПУС</t>
        </is>
      </c>
      <c r="P169" s="6" t="n"/>
      <c r="R169" t="inlineStr"/>
      <c r="S169" t="inlineStr">
        <is>
          <t>Тариф с завтраком</t>
        </is>
      </c>
      <c r="T169" t="n">
        <v>0</v>
      </c>
      <c r="U169" t="n">
        <v>14240</v>
      </c>
    </row>
    <row r="170">
      <c r="A170" t="inlineStr">
        <is>
          <t>20260907-8186-464277168</t>
        </is>
      </c>
      <c r="B170" t="n">
        <v>1</v>
      </c>
      <c r="C170" s="2" t="inlineStr">
        <is>
          <t>андрей мохнов</t>
        </is>
      </c>
      <c r="D170" s="3" t="n">
        <v>14240</v>
      </c>
      <c r="E170" s="4" t="n">
        <v>0</v>
      </c>
      <c r="F170" t="inlineStr">
        <is>
          <t>Прямые бронирования (стойка) [Чайковский]</t>
        </is>
      </c>
      <c r="G170" s="3">
        <f>ROUND(D170/(100-E170)*100,2)</f>
        <v/>
      </c>
      <c r="H170" s="5" t="n">
        <v>46272.58333333334</v>
      </c>
      <c r="I170" t="n">
        <v>1</v>
      </c>
      <c r="J170" s="3">
        <f>G170/I170</f>
        <v/>
      </c>
      <c r="K170">
        <f>IF(J170&gt;=5100,"ставка","мин.ставка")</f>
        <v/>
      </c>
      <c r="L170" s="3">
        <f>ROUND(IF(K170="мин.ставка",I170*100,G170/102*2),2)</f>
        <v/>
      </c>
      <c r="M170" s="5" t="n">
        <v>46273.5</v>
      </c>
      <c r="N170" t="inlineStr">
        <is>
          <t>TravelLine ресепшн</t>
        </is>
      </c>
      <c r="O170" s="2" t="inlineStr">
        <is>
          <t>ЛЮКС ВТОРОЙ КОРПУС</t>
        </is>
      </c>
      <c r="P170" s="6" t="n"/>
      <c r="R170" t="inlineStr"/>
      <c r="S170" t="inlineStr">
        <is>
          <t>Тариф с завтраком</t>
        </is>
      </c>
      <c r="T170" t="n">
        <v>0</v>
      </c>
      <c r="U170" t="n">
        <v>14240</v>
      </c>
    </row>
    <row r="171">
      <c r="A171" t="inlineStr">
        <is>
          <t>20260914-8186-465856722</t>
        </is>
      </c>
      <c r="B171" t="n">
        <v>1</v>
      </c>
      <c r="C171" s="2" t="inlineStr">
        <is>
          <t>Андрей МОХНОВ</t>
        </is>
      </c>
      <c r="D171" s="3" t="n">
        <v>9960</v>
      </c>
      <c r="E171" s="4" t="n">
        <v>0</v>
      </c>
      <c r="F171" t="inlineStr">
        <is>
          <t>Прямые бронирования (стойка) [Чайковский]</t>
        </is>
      </c>
      <c r="G171" s="3">
        <f>ROUND(D171/(100-E171)*100,2)</f>
        <v/>
      </c>
      <c r="H171" s="5" t="n">
        <v>46279.58333333334</v>
      </c>
      <c r="I171" t="n">
        <v>1</v>
      </c>
      <c r="J171" s="3">
        <f>G171/I171</f>
        <v/>
      </c>
      <c r="K171">
        <f>IF(J171&gt;=5100,"ставка","мин.ставка")</f>
        <v/>
      </c>
      <c r="L171" s="3">
        <f>ROUND(IF(K171="мин.ставка",I171*100,G171/102*2),2)</f>
        <v/>
      </c>
      <c r="M171" s="5" t="n">
        <v>46280.5</v>
      </c>
      <c r="N171" t="inlineStr">
        <is>
          <t>TravelLine ресепшн</t>
        </is>
      </c>
      <c r="O171" s="2" t="inlineStr">
        <is>
          <t>СЕМЕЙНЫЙ НОМЕР КАТЕГОРИИ "СТАНДАРТ" ВТОРОЙ КОРПУС</t>
        </is>
      </c>
      <c r="P171" s="6" t="n"/>
      <c r="R171" t="inlineStr"/>
      <c r="S171" t="inlineStr">
        <is>
          <t>Тариф с завтраком</t>
        </is>
      </c>
      <c r="T171" t="n">
        <v>0</v>
      </c>
      <c r="U171" t="n">
        <v>9960</v>
      </c>
    </row>
    <row r="172">
      <c r="A172" t="inlineStr">
        <is>
          <t>20260817-8186-454348210</t>
        </is>
      </c>
      <c r="B172" t="n">
        <v>1</v>
      </c>
      <c r="C172" s="2" t="inlineStr">
        <is>
          <t>Андрей Назарьев</t>
        </is>
      </c>
      <c r="D172" s="3" t="n">
        <v>47560</v>
      </c>
      <c r="E172" s="4" t="n">
        <v>18</v>
      </c>
      <c r="F172" t="inlineStr">
        <is>
          <t>ООО "Эй энд Эй" [Чайковский]</t>
        </is>
      </c>
      <c r="G172" s="3">
        <f>ROUND(D172/(100-E172)*100,2)</f>
        <v/>
      </c>
      <c r="H172" s="5" t="n">
        <v>46251.58333333334</v>
      </c>
      <c r="I172" t="n">
        <v>4</v>
      </c>
      <c r="J172" s="3">
        <f>G172/I172</f>
        <v/>
      </c>
      <c r="K172">
        <f>IF(J172&gt;=5100,"ставка","мин.ставка")</f>
        <v/>
      </c>
      <c r="L172" s="3">
        <f>ROUND(IF(K172="мин.ставка",I172*100,G172/102*2),2)</f>
        <v/>
      </c>
      <c r="M172" s="5" t="n">
        <v>46255.5</v>
      </c>
      <c r="N172" t="inlineStr">
        <is>
          <t>TravelLine ANA</t>
        </is>
      </c>
      <c r="O172" s="2" t="inlineStr">
        <is>
          <t>ПОЛУЛЮКС</t>
        </is>
      </c>
      <c r="P172" s="6" t="n"/>
      <c r="R172" t="inlineStr"/>
      <c r="S172" t="inlineStr">
        <is>
          <t>Тариф с завтраком</t>
        </is>
      </c>
      <c r="T172" t="n">
        <v>0</v>
      </c>
      <c r="U172" t="n">
        <v>47560</v>
      </c>
    </row>
    <row r="173">
      <c r="A173" t="inlineStr">
        <is>
          <t>20260713-8186-448221235</t>
        </is>
      </c>
      <c r="B173" t="n">
        <v>1</v>
      </c>
      <c r="C173" s="2" t="inlineStr">
        <is>
          <t>Андрей Оклеев</t>
        </is>
      </c>
      <c r="D173" s="3" t="n">
        <v>45400</v>
      </c>
      <c r="E173" s="4" t="n">
        <v>4</v>
      </c>
      <c r="F173" t="inlineStr">
        <is>
          <t>TravelLine Booking Engine [Чайковский]</t>
        </is>
      </c>
      <c r="G173" s="3">
        <f>ROUND(D173/(100-E173)*100,2)</f>
        <v/>
      </c>
      <c r="H173" s="5" t="n">
        <v>46216.58333333334</v>
      </c>
      <c r="I173" t="n">
        <v>4</v>
      </c>
      <c r="J173" s="3">
        <f>G173/I173</f>
        <v/>
      </c>
      <c r="K173">
        <f>IF(J173&gt;=5100,"ставка","мин.ставка")</f>
        <v/>
      </c>
      <c r="L173" s="3">
        <f>ROUND(IF(K173="мин.ставка",I173*100,G173/102*2),2)</f>
        <v/>
      </c>
      <c r="M173" s="5" t="n">
        <v>46220.5</v>
      </c>
      <c r="N173" t="inlineStr">
        <is>
          <t>TravelLine сайт</t>
        </is>
      </c>
      <c r="O173" s="2" t="inlineStr">
        <is>
          <t>СТАНДАРТНЫЙ ДВУХМЕСТНЫЙ НОМЕР</t>
        </is>
      </c>
      <c r="P173" s="6" t="n"/>
      <c r="R173" t="inlineStr"/>
      <c r="S173" t="inlineStr">
        <is>
          <t>Тариф с завтраком</t>
        </is>
      </c>
      <c r="T173" t="n">
        <v>0</v>
      </c>
      <c r="U173" t="n">
        <v>90800</v>
      </c>
    </row>
    <row r="174">
      <c r="A174" t="inlineStr">
        <is>
          <t>20260817-8186-436077872</t>
        </is>
      </c>
      <c r="B174" t="n">
        <v>1</v>
      </c>
      <c r="C174" s="2" t="inlineStr">
        <is>
          <t>Андрей Полежаев, ТАТЬЯНА ПОЛЕЖАЕВА</t>
        </is>
      </c>
      <c r="D174" s="3" t="n">
        <v>9593.1</v>
      </c>
      <c r="E174" s="4" t="n">
        <v>4</v>
      </c>
      <c r="F174" t="inlineStr">
        <is>
          <t>TravelLine Booking Engine [Чайковский]</t>
        </is>
      </c>
      <c r="G174" s="3">
        <f>ROUND(D174/(100-E174)*100,2)</f>
        <v/>
      </c>
      <c r="H174" s="5" t="n">
        <v>46251.58333333334</v>
      </c>
      <c r="I174" t="n">
        <v>1</v>
      </c>
      <c r="J174" s="3">
        <f>G174/I174</f>
        <v/>
      </c>
      <c r="K174">
        <f>IF(J174&gt;=5100,"ставка","мин.ставка")</f>
        <v/>
      </c>
      <c r="L174" s="3">
        <f>ROUND(IF(K174="мин.ставка",I174*100,G174/102*2),2)</f>
        <v/>
      </c>
      <c r="M174" s="5" t="n">
        <v>46252.5</v>
      </c>
      <c r="N174" t="inlineStr">
        <is>
          <t>TravelLine сайт</t>
        </is>
      </c>
      <c r="O174" s="2" t="inlineStr">
        <is>
          <t>СТАНДАРТНЫЙ ДВУХМЕСТНЫЙ НОМЕР (МАНСАРДА)</t>
        </is>
      </c>
      <c r="P174" s="6" t="n"/>
      <c r="R174" t="inlineStr"/>
      <c r="S174" t="inlineStr">
        <is>
          <t>Тариф с завтраком</t>
        </is>
      </c>
      <c r="T174" t="n">
        <v>0</v>
      </c>
      <c r="U174" t="n">
        <v>9593.1</v>
      </c>
    </row>
    <row r="175">
      <c r="A175" t="inlineStr">
        <is>
          <t>20260908-8186-456428265</t>
        </is>
      </c>
      <c r="B175" t="n">
        <v>1</v>
      </c>
      <c r="C175" s="2" t="inlineStr">
        <is>
          <t>Андрей Ренжин</t>
        </is>
      </c>
      <c r="D175" s="3" t="n">
        <v>67000</v>
      </c>
      <c r="E175" s="4" t="n">
        <v>0</v>
      </c>
      <c r="F175" t="inlineStr">
        <is>
          <t>Прямые бронирования (стойка) [Чайковский]</t>
        </is>
      </c>
      <c r="G175" s="3">
        <f>ROUND(D175/(100-E175)*100,2)</f>
        <v/>
      </c>
      <c r="H175" s="5" t="n">
        <v>46273.58333333334</v>
      </c>
      <c r="I175" t="n">
        <v>5</v>
      </c>
      <c r="J175" s="3">
        <f>G175/I175</f>
        <v/>
      </c>
      <c r="K175">
        <f>IF(J175&gt;=5100,"ставка","мин.ставка")</f>
        <v/>
      </c>
      <c r="L175" s="3">
        <f>ROUND(IF(K175="мин.ставка",I175*100,G175/102*2),2)</f>
        <v/>
      </c>
      <c r="M175" s="5" t="n">
        <v>46278.5</v>
      </c>
      <c r="N175" t="inlineStr">
        <is>
          <t>TravelLine ресепшн</t>
        </is>
      </c>
      <c r="O175" s="2" t="inlineStr">
        <is>
          <t>УЛУЧШЕННЫЙ ДВУХМЕСТНЫЙ НОМЕР</t>
        </is>
      </c>
      <c r="P175" s="6" t="n"/>
      <c r="R175" t="inlineStr"/>
      <c r="S175" t="inlineStr">
        <is>
          <t>Тариф с завтраком</t>
        </is>
      </c>
      <c r="T175" t="n">
        <v>1300</v>
      </c>
      <c r="U175" t="n">
        <v>68300</v>
      </c>
    </row>
    <row r="176">
      <c r="A176" t="inlineStr">
        <is>
          <t>20260829-8186-457112567</t>
        </is>
      </c>
      <c r="B176" t="n">
        <v>1</v>
      </c>
      <c r="C176" s="2" t="inlineStr">
        <is>
          <t>Андрей Садовский, Софья Садовская</t>
        </is>
      </c>
      <c r="D176" s="3" t="n">
        <v>22161</v>
      </c>
      <c r="E176" s="4" t="n">
        <v>18</v>
      </c>
      <c r="F176" t="inlineStr">
        <is>
          <t>Яндекс.Путешествия [Чайковский]</t>
        </is>
      </c>
      <c r="G176" s="3">
        <f>ROUND(D176/(100-E176)*100,2)</f>
        <v/>
      </c>
      <c r="H176" s="5" t="n">
        <v>46263.58333333334</v>
      </c>
      <c r="I176" t="n">
        <v>2</v>
      </c>
      <c r="J176" s="3">
        <f>G176/I176</f>
        <v/>
      </c>
      <c r="K176">
        <f>IF(J176&gt;=5100,"ставка","мин.ставка")</f>
        <v/>
      </c>
      <c r="L176" s="3">
        <f>ROUND(IF(K176="мин.ставка",I176*100,G176/102*2),2)</f>
        <v/>
      </c>
      <c r="M176" s="5" t="n">
        <v>46265.5</v>
      </c>
      <c r="N176" t="inlineStr">
        <is>
          <t>TravelLine YAX</t>
        </is>
      </c>
      <c r="O176" s="2" t="inlineStr">
        <is>
          <t>СТАНДАРТНЫЙ ДВУХМЕСТНЫЙ НОМЕР</t>
        </is>
      </c>
      <c r="P176" s="6" t="n"/>
      <c r="R176" t="inlineStr"/>
      <c r="S176" t="inlineStr">
        <is>
          <t>Тариф с завтраком</t>
        </is>
      </c>
      <c r="T176" t="n">
        <v>0</v>
      </c>
      <c r="U176" t="n">
        <v>22161</v>
      </c>
    </row>
    <row r="177">
      <c r="A177" t="inlineStr">
        <is>
          <t>20260811-8186-423592923</t>
        </is>
      </c>
      <c r="B177" t="n">
        <v>1</v>
      </c>
      <c r="C177" s="2" t="inlineStr">
        <is>
          <t>Андрей Соловьев, Ирина Соловьева</t>
        </is>
      </c>
      <c r="D177" s="3" t="n">
        <v>28182</v>
      </c>
      <c r="E177" s="4" t="n">
        <v>17</v>
      </c>
      <c r="F177" t="inlineStr">
        <is>
          <t>ООО "ОНЛАЙН ИННОВАЦИИ" (101 Отель) [Чайковский]</t>
        </is>
      </c>
      <c r="G177" s="3">
        <f>ROUND(D177/(100-E177)*100,2)</f>
        <v/>
      </c>
      <c r="H177" s="5" t="n">
        <v>46245.58333333334</v>
      </c>
      <c r="I177" t="n">
        <v>2</v>
      </c>
      <c r="J177" s="3">
        <f>G177/I177</f>
        <v/>
      </c>
      <c r="K177">
        <f>IF(J177&gt;=5100,"ставка","мин.ставка")</f>
        <v/>
      </c>
      <c r="L177" s="3">
        <f>ROUND(IF(K177="мин.ставка",I177*100,G177/102*2),2)</f>
        <v/>
      </c>
      <c r="M177" s="5" t="n">
        <v>46247.5</v>
      </c>
      <c r="N177" t="inlineStr">
        <is>
          <t>TravelLine H1C</t>
        </is>
      </c>
      <c r="O177" s="2" t="inlineStr">
        <is>
          <t>УЛУЧШЕННЫЙ ДВУХМЕСТНЫЙ НОМЕР</t>
        </is>
      </c>
      <c r="P177" s="6" t="n"/>
      <c r="R177" t="inlineStr"/>
      <c r="S177" t="inlineStr">
        <is>
          <t>Тариф с завтраком</t>
        </is>
      </c>
      <c r="T177" t="n">
        <v>0</v>
      </c>
      <c r="U177" t="n">
        <v>28182</v>
      </c>
    </row>
    <row r="178">
      <c r="A178" t="inlineStr">
        <is>
          <t>20260818-8186-443505889</t>
        </is>
      </c>
      <c r="B178" t="n">
        <v>1</v>
      </c>
      <c r="C178" s="2" t="inlineStr">
        <is>
          <t>Андрей Федотов, Светлана Федотова</t>
        </is>
      </c>
      <c r="D178" s="3" t="n">
        <v>54480</v>
      </c>
      <c r="E178" s="4" t="n">
        <v>18</v>
      </c>
      <c r="F178" t="inlineStr">
        <is>
          <t>Яндекс.Путешествия [Чайковский]</t>
        </is>
      </c>
      <c r="G178" s="3">
        <f>ROUND(D178/(100-E178)*100,2)</f>
        <v/>
      </c>
      <c r="H178" s="5" t="n">
        <v>46252.58333333334</v>
      </c>
      <c r="I178" t="n">
        <v>6</v>
      </c>
      <c r="J178" s="3">
        <f>G178/I178</f>
        <v/>
      </c>
      <c r="K178">
        <f>IF(J178&gt;=5100,"ставка","мин.ставка")</f>
        <v/>
      </c>
      <c r="L178" s="3">
        <f>ROUND(IF(K178="мин.ставка",I178*100,G178/102*2),2)</f>
        <v/>
      </c>
      <c r="M178" s="5" t="n">
        <v>46258.5</v>
      </c>
      <c r="N178" t="inlineStr">
        <is>
          <t>TravelLine YAX</t>
        </is>
      </c>
      <c r="O178" s="2" t="inlineStr">
        <is>
          <t>СТАНДАРТНЫЙ ДВУХМЕСТНЫЙ НОМЕР</t>
        </is>
      </c>
      <c r="P178" s="6" t="n"/>
      <c r="R178" t="inlineStr"/>
      <c r="S178" t="inlineStr">
        <is>
          <t>Тариф с завтраком</t>
        </is>
      </c>
      <c r="T178" t="n">
        <v>0</v>
      </c>
      <c r="U178" t="n">
        <v>118560</v>
      </c>
    </row>
    <row r="179">
      <c r="A179" t="inlineStr">
        <is>
          <t>20260822-8186-448832829</t>
        </is>
      </c>
      <c r="B179" t="n">
        <v>1</v>
      </c>
      <c r="C179" s="2" t="inlineStr">
        <is>
          <t>Андрей Федянин, ОЛЬГА МИРОНЮК</t>
        </is>
      </c>
      <c r="D179" s="3" t="n">
        <v>88448.2</v>
      </c>
      <c r="E179" s="4" t="n">
        <v>4</v>
      </c>
      <c r="F179" t="inlineStr">
        <is>
          <t>TravelLine Booking Engine [Чайковский]</t>
        </is>
      </c>
      <c r="G179" s="3">
        <f>ROUND(D179/(100-E179)*100,2)</f>
        <v/>
      </c>
      <c r="H179" s="5" t="n">
        <v>46256.58333333334</v>
      </c>
      <c r="I179" t="n">
        <v>5</v>
      </c>
      <c r="J179" s="3">
        <f>G179/I179</f>
        <v/>
      </c>
      <c r="K179">
        <f>IF(J179&gt;=5100,"ставка","мин.ставка")</f>
        <v/>
      </c>
      <c r="L179" s="3">
        <f>ROUND(IF(K179="мин.ставка",I179*100,G179/102*2),2)</f>
        <v/>
      </c>
      <c r="M179" s="5" t="n">
        <v>46261.5</v>
      </c>
      <c r="N179" t="inlineStr">
        <is>
          <t>TravelLine сайт</t>
        </is>
      </c>
      <c r="O179" s="2" t="inlineStr">
        <is>
          <t>ЛЮКС ВТОРОЙ КОРПУС</t>
        </is>
      </c>
      <c r="P179" s="6" t="n"/>
      <c r="R179" t="inlineStr"/>
      <c r="S179" t="inlineStr">
        <is>
          <t>Тариф с завтраком</t>
        </is>
      </c>
      <c r="T179" t="n">
        <v>0</v>
      </c>
      <c r="U179" t="n">
        <v>88448.2</v>
      </c>
    </row>
    <row r="180">
      <c r="A180" t="inlineStr">
        <is>
          <t>20260916-8186-466291736</t>
        </is>
      </c>
      <c r="B180" t="n">
        <v>1</v>
      </c>
      <c r="C180" s="2" t="inlineStr">
        <is>
          <t>Андрей Феоктистов</t>
        </is>
      </c>
      <c r="D180" s="3" t="n">
        <v>12312.5</v>
      </c>
      <c r="E180" s="4" t="n">
        <v>4</v>
      </c>
      <c r="F180" t="inlineStr">
        <is>
          <t>TravelLine Booking Engine [Чайковский]</t>
        </is>
      </c>
      <c r="G180" s="3">
        <f>ROUND(D180/(100-E180)*100,2)</f>
        <v/>
      </c>
      <c r="H180" s="5" t="n">
        <v>46281.58333333334</v>
      </c>
      <c r="I180" t="n">
        <v>1</v>
      </c>
      <c r="J180" s="3">
        <f>G180/I180</f>
        <v/>
      </c>
      <c r="K180">
        <f>IF(J180&gt;=5100,"ставка","мин.ставка")</f>
        <v/>
      </c>
      <c r="L180" s="3">
        <f>ROUND(IF(K180="мин.ставка",I180*100,G180/102*2),2)</f>
        <v/>
      </c>
      <c r="M180" s="5" t="n">
        <v>46282.5</v>
      </c>
      <c r="N180" t="inlineStr">
        <is>
          <t>TravelLine сайт</t>
        </is>
      </c>
      <c r="O180" s="2" t="inlineStr">
        <is>
          <t>ЛЮКС ВТОРОЙ КОРПУС</t>
        </is>
      </c>
      <c r="P180" s="6" t="n"/>
      <c r="R180" t="inlineStr"/>
      <c r="S180" t="inlineStr">
        <is>
          <t>Основной тариф без завтрака</t>
        </is>
      </c>
      <c r="T180" t="n">
        <v>0</v>
      </c>
      <c r="U180" t="n">
        <v>12312.5</v>
      </c>
    </row>
    <row r="181">
      <c r="A181" t="inlineStr">
        <is>
          <t>20260919-8186-466617844</t>
        </is>
      </c>
      <c r="B181" t="n">
        <v>1</v>
      </c>
      <c r="C181" s="2" t="inlineStr">
        <is>
          <t>Андриан Куликов</t>
        </is>
      </c>
      <c r="D181" s="3" t="n">
        <v>11122</v>
      </c>
      <c r="E181" s="4" t="n">
        <v>17</v>
      </c>
      <c r="F181" t="inlineStr">
        <is>
          <t>ООО «Интернет Трэвел» (OZON) [Чайковский]</t>
        </is>
      </c>
      <c r="G181" s="3">
        <f>ROUND(D181/(100-E181)*100,2)</f>
        <v/>
      </c>
      <c r="H181" s="5" t="n">
        <v>46284.58333333334</v>
      </c>
      <c r="I181" t="n">
        <v>1</v>
      </c>
      <c r="J181" s="3">
        <f>G181/I181</f>
        <v/>
      </c>
      <c r="K181">
        <f>IF(J181&gt;=5100,"ставка","мин.ставка")</f>
        <v/>
      </c>
      <c r="L181" s="3">
        <f>ROUND(IF(K181="мин.ставка",I181*100,G181/102*2),2)</f>
        <v/>
      </c>
      <c r="M181" s="5" t="n">
        <v>46285.5</v>
      </c>
      <c r="N181" t="inlineStr">
        <is>
          <t>TravelLine OZ2</t>
        </is>
      </c>
      <c r="O181" s="2" t="inlineStr">
        <is>
          <t>УЛУЧШЕННЫЙ ДВУХМЕСТНЫЙ НОМЕР</t>
        </is>
      </c>
      <c r="P181" s="6" t="n"/>
      <c r="R181" t="inlineStr"/>
      <c r="S181" t="inlineStr">
        <is>
          <t>Тариф с завтраком</t>
        </is>
      </c>
      <c r="T181" t="n">
        <v>0</v>
      </c>
      <c r="U181" t="n">
        <v>11122</v>
      </c>
    </row>
    <row r="182">
      <c r="A182" t="inlineStr">
        <is>
          <t>20260906-8186-459280210</t>
        </is>
      </c>
      <c r="B182" t="n">
        <v>1</v>
      </c>
      <c r="C182" s="2" t="inlineStr">
        <is>
          <t>Анна Александровна Курносова</t>
        </is>
      </c>
      <c r="D182" s="3" t="n">
        <v>9080</v>
      </c>
      <c r="E182" s="4" t="n">
        <v>20</v>
      </c>
      <c r="F182" t="inlineStr">
        <is>
          <t>ООО "КОМПАНИЯ БРОНЕВИК" [Чайковский]</t>
        </is>
      </c>
      <c r="G182" s="3">
        <f>ROUND(D182/(100-E182)*100,2)</f>
        <v/>
      </c>
      <c r="H182" s="5" t="n">
        <v>46271.58333333334</v>
      </c>
      <c r="I182" t="n">
        <v>1</v>
      </c>
      <c r="J182" s="3">
        <f>G182/I182</f>
        <v/>
      </c>
      <c r="K182">
        <f>IF(J182&gt;=5100,"ставка","мин.ставка")</f>
        <v/>
      </c>
      <c r="L182" s="3">
        <f>ROUND(IF(K182="мин.ставка",I182*100,G182/102*2),2)</f>
        <v/>
      </c>
      <c r="M182" s="5" t="n">
        <v>46272.5</v>
      </c>
      <c r="N182" t="inlineStr">
        <is>
          <t>TravelLine BR2</t>
        </is>
      </c>
      <c r="O182" s="2" t="inlineStr">
        <is>
          <t>СТАНДАРТНЫЙ ДВУХМЕСТНЫЙ НОМЕР</t>
        </is>
      </c>
      <c r="P182" s="6" t="n"/>
      <c r="R182" t="inlineStr"/>
      <c r="S182" t="inlineStr">
        <is>
          <t>Тариф с завтраком</t>
        </is>
      </c>
      <c r="T182" t="n">
        <v>0</v>
      </c>
      <c r="U182" t="n">
        <v>9080</v>
      </c>
    </row>
    <row r="183">
      <c r="A183" t="inlineStr">
        <is>
          <t>20260817-8186-442297769</t>
        </is>
      </c>
      <c r="B183" t="n">
        <v>1</v>
      </c>
      <c r="C183" s="2" t="inlineStr">
        <is>
          <t>Анна Андреева</t>
        </is>
      </c>
      <c r="D183" s="3" t="n">
        <v>53399</v>
      </c>
      <c r="E183" s="4" t="n">
        <v>4</v>
      </c>
      <c r="F183" t="inlineStr">
        <is>
          <t>TravelLine Booking Engine [Чайковский]</t>
        </is>
      </c>
      <c r="G183" s="3">
        <f>ROUND(D183/(100-E183)*100,2)</f>
        <v/>
      </c>
      <c r="H183" s="5" t="n">
        <v>46251.58333333334</v>
      </c>
      <c r="I183" t="n">
        <v>4</v>
      </c>
      <c r="J183" s="3">
        <f>G183/I183</f>
        <v/>
      </c>
      <c r="K183">
        <f>IF(J183&gt;=5100,"ставка","мин.ставка")</f>
        <v/>
      </c>
      <c r="L183" s="3">
        <f>ROUND(IF(K183="мин.ставка",I183*100,G183/102*2),2)</f>
        <v/>
      </c>
      <c r="M183" s="5" t="n">
        <v>46255.5</v>
      </c>
      <c r="N183" t="inlineStr">
        <is>
          <t>TravelLine сайт</t>
        </is>
      </c>
      <c r="O183" s="2" t="inlineStr">
        <is>
          <t>УЛУЧШЕННЫЙ ДВУХМЕСТНЫЙ НОМЕР</t>
        </is>
      </c>
      <c r="P183" s="6" t="n"/>
      <c r="R183" t="inlineStr"/>
      <c r="S183" t="inlineStr">
        <is>
          <t>Тариф с завтраком</t>
        </is>
      </c>
      <c r="T183" t="n">
        <v>0</v>
      </c>
      <c r="U183" t="n">
        <v>98628.75</v>
      </c>
    </row>
    <row r="184">
      <c r="A184" t="inlineStr">
        <is>
          <t>20260825-8186-440853437</t>
        </is>
      </c>
      <c r="B184" t="n">
        <v>1</v>
      </c>
      <c r="C184" s="2" t="inlineStr">
        <is>
          <t>Анна Бродская, Михаил Шенбергер</t>
        </is>
      </c>
      <c r="D184" s="3" t="n">
        <v>33660</v>
      </c>
      <c r="E184" s="4" t="n">
        <v>15</v>
      </c>
      <c r="F184" t="inlineStr">
        <is>
          <t>ООО Тинькофф Путешествия [Чайковский]</t>
        </is>
      </c>
      <c r="G184" s="3">
        <f>ROUND(D184/(100-E184)*100,2)</f>
        <v/>
      </c>
      <c r="H184" s="5" t="n">
        <v>46259.58333333334</v>
      </c>
      <c r="I184" t="n">
        <v>4</v>
      </c>
      <c r="J184" s="3">
        <f>G184/I184</f>
        <v/>
      </c>
      <c r="K184">
        <f>IF(J184&gt;=5100,"ставка","мин.ставка")</f>
        <v/>
      </c>
      <c r="L184" s="3">
        <f>ROUND(IF(K184="мин.ставка",I184*100,G184/102*2),2)</f>
        <v/>
      </c>
      <c r="M184" s="5" t="n">
        <v>46263.5</v>
      </c>
      <c r="N184" t="inlineStr">
        <is>
          <t>TravelLine TNK</t>
        </is>
      </c>
      <c r="O184" s="2" t="inlineStr">
        <is>
          <t>СТАНДАРТНЫЙ ДВУХМЕСТНЫЙ НОМЕР (МАНСАРДА)</t>
        </is>
      </c>
      <c r="P184" s="6" t="n"/>
      <c r="R184" t="inlineStr"/>
      <c r="S184" t="inlineStr">
        <is>
          <t>Тариф с завтраком</t>
        </is>
      </c>
      <c r="T184" t="n">
        <v>0</v>
      </c>
      <c r="U184" t="n">
        <v>33660</v>
      </c>
    </row>
    <row r="185">
      <c r="A185" t="inlineStr">
        <is>
          <t>20260926-8186-463824819</t>
        </is>
      </c>
      <c r="B185" t="n">
        <v>1</v>
      </c>
      <c r="C185" s="2" t="inlineStr">
        <is>
          <t>АННА БЫКОВА, ТАТЬЯНА НИКИФОРОВА</t>
        </is>
      </c>
      <c r="D185" s="3" t="n">
        <v>34042.5</v>
      </c>
      <c r="E185" s="4" t="n">
        <v>15</v>
      </c>
      <c r="F185" t="inlineStr">
        <is>
          <t>ООО "Библио-Глобус Туроператор" [Чайковский]</t>
        </is>
      </c>
      <c r="G185" s="3">
        <f>ROUND(D185/(100-E185)*100,2)</f>
        <v/>
      </c>
      <c r="H185" s="5" t="n">
        <v>46291.58333333334</v>
      </c>
      <c r="I185" t="n">
        <v>3</v>
      </c>
      <c r="J185" s="3">
        <f>G185/I185</f>
        <v/>
      </c>
      <c r="K185">
        <f>IF(J185&gt;=5100,"ставка","мин.ставка")</f>
        <v/>
      </c>
      <c r="L185" s="3">
        <f>ROUND(IF(K185="мин.ставка",I185*100,G185/102*2),2)</f>
        <v/>
      </c>
      <c r="M185" s="5" t="n">
        <v>46294.5</v>
      </c>
      <c r="N185" t="inlineStr">
        <is>
          <t>TravelLine BGL</t>
        </is>
      </c>
      <c r="O185" s="2" t="inlineStr">
        <is>
          <t>СТАНДАРТНЫЙ ДВУХМЕСТНЫЙ НОМЕР</t>
        </is>
      </c>
      <c r="P185" s="6" t="n"/>
      <c r="R185" t="inlineStr"/>
      <c r="S185" t="inlineStr">
        <is>
          <t>Тариф с завтраком</t>
        </is>
      </c>
      <c r="T185" t="n">
        <v>0</v>
      </c>
      <c r="U185" t="n">
        <v>34042.5</v>
      </c>
    </row>
    <row r="186">
      <c r="A186" t="inlineStr">
        <is>
          <t>20260710-8186-443768768</t>
        </is>
      </c>
      <c r="B186" t="n">
        <v>1</v>
      </c>
      <c r="C186" s="2" t="inlineStr">
        <is>
          <t>Анна Волхонская, Алиса Ситало</t>
        </is>
      </c>
      <c r="D186" s="3" t="n">
        <v>35048.2</v>
      </c>
      <c r="E186" s="4" t="n">
        <v>4</v>
      </c>
      <c r="F186" t="inlineStr">
        <is>
          <t>TravelLine Booking Engine [Чайковский]</t>
        </is>
      </c>
      <c r="G186" s="3">
        <f>ROUND(D186/(100-E186)*100,2)</f>
        <v/>
      </c>
      <c r="H186" s="5" t="n">
        <v>46213.58333333334</v>
      </c>
      <c r="I186" t="n">
        <v>2</v>
      </c>
      <c r="J186" s="3">
        <f>G186/I186</f>
        <v/>
      </c>
      <c r="K186">
        <f>IF(J186&gt;=5100,"ставка","мин.ставка")</f>
        <v/>
      </c>
      <c r="L186" s="3">
        <f>ROUND(IF(K186="мин.ставка",I186*100,G186/102*2),2)</f>
        <v/>
      </c>
      <c r="M186" s="5" t="n">
        <v>46215.5</v>
      </c>
      <c r="N186" t="inlineStr">
        <is>
          <t>TravelLine сайт</t>
        </is>
      </c>
      <c r="O186" s="2" t="inlineStr">
        <is>
          <t>ЛЮКС ВТОРОЙ КОРПУС</t>
        </is>
      </c>
      <c r="P186" s="6" t="n"/>
      <c r="R186" t="inlineStr"/>
      <c r="S186" t="inlineStr">
        <is>
          <t>Тариф с завтраком</t>
        </is>
      </c>
      <c r="T186" t="n">
        <v>0</v>
      </c>
      <c r="U186" t="n">
        <v>35048.2</v>
      </c>
    </row>
    <row r="187">
      <c r="A187" t="inlineStr">
        <is>
          <t>20260811-8186-417991278</t>
        </is>
      </c>
      <c r="B187" t="n">
        <v>1</v>
      </c>
      <c r="C187" s="2" t="inlineStr">
        <is>
          <t>Анна ГУБАРЕВА</t>
        </is>
      </c>
      <c r="D187" s="3" t="n">
        <v>108960</v>
      </c>
      <c r="E187" s="4" t="n">
        <v>0</v>
      </c>
      <c r="F187" t="inlineStr">
        <is>
          <t>Прямые бронирования (стойка) [Чайковский]</t>
        </is>
      </c>
      <c r="G187" s="3">
        <f>ROUND(D187/(100-E187)*100,2)</f>
        <v/>
      </c>
      <c r="H187" s="5" t="n">
        <v>46245.58333333334</v>
      </c>
      <c r="I187" t="n">
        <v>12</v>
      </c>
      <c r="J187" s="3">
        <f>G187/I187</f>
        <v/>
      </c>
      <c r="K187">
        <f>IF(J187&gt;=5100,"ставка","мин.ставка")</f>
        <v/>
      </c>
      <c r="L187" s="3">
        <f>ROUND(IF(K187="мин.ставка",I187*100,G187/102*2),2)</f>
        <v/>
      </c>
      <c r="M187" s="5" t="n">
        <v>46257.5</v>
      </c>
      <c r="N187" t="inlineStr">
        <is>
          <t>TravelLine ресепшн</t>
        </is>
      </c>
      <c r="O187" s="2" t="inlineStr">
        <is>
          <t>СТАНДАРТНЫЙ ДВУХМЕСТНЫЙ НОМЕР</t>
        </is>
      </c>
      <c r="P187" s="6" t="n"/>
      <c r="R187" t="inlineStr"/>
      <c r="S187" t="inlineStr">
        <is>
          <t>Тариф с завтраком</t>
        </is>
      </c>
      <c r="T187" t="n">
        <v>0</v>
      </c>
      <c r="U187" t="n">
        <v>108960</v>
      </c>
    </row>
    <row r="188">
      <c r="A188" t="inlineStr">
        <is>
          <t>20260814-8186-418482615</t>
        </is>
      </c>
      <c r="B188" t="n">
        <v>1</v>
      </c>
      <c r="C188" s="2" t="inlineStr">
        <is>
          <t>Анна Данченко, Гульнара Мяльдзина</t>
        </is>
      </c>
      <c r="D188" s="3" t="n">
        <v>24640</v>
      </c>
      <c r="E188" s="4" t="n">
        <v>18</v>
      </c>
      <c r="F188" t="inlineStr">
        <is>
          <t>Яндекс.Путешествия [Чайковский]</t>
        </is>
      </c>
      <c r="G188" s="3">
        <f>ROUND(D188/(100-E188)*100,2)</f>
        <v/>
      </c>
      <c r="H188" s="5" t="n">
        <v>46248.58333333334</v>
      </c>
      <c r="I188" t="n">
        <v>2</v>
      </c>
      <c r="J188" s="3">
        <f>G188/I188</f>
        <v/>
      </c>
      <c r="K188">
        <f>IF(J188&gt;=5100,"ставка","мин.ставка")</f>
        <v/>
      </c>
      <c r="L188" s="3">
        <f>ROUND(IF(K188="мин.ставка",I188*100,G188/102*2),2)</f>
        <v/>
      </c>
      <c r="M188" s="5" t="n">
        <v>46250.5</v>
      </c>
      <c r="N188" t="inlineStr">
        <is>
          <t>TravelLine YAX</t>
        </is>
      </c>
      <c r="O188" s="2" t="inlineStr">
        <is>
          <t>УЛУЧШЕННЫЙ ДВУХМЕСТНЫЙ НОМЕР</t>
        </is>
      </c>
      <c r="P188" s="6" t="n"/>
      <c r="R188" t="inlineStr"/>
      <c r="S188" t="inlineStr">
        <is>
          <t>Тариф с завтраком</t>
        </is>
      </c>
      <c r="T188" t="n">
        <v>0</v>
      </c>
      <c r="U188" t="n">
        <v>24640</v>
      </c>
    </row>
    <row r="189">
      <c r="A189" t="inlineStr">
        <is>
          <t>20260826-8186-461070085</t>
        </is>
      </c>
      <c r="B189" t="n">
        <v>1</v>
      </c>
      <c r="C189" s="2" t="inlineStr">
        <is>
          <t>АННА ДЕМИДОВА</t>
        </is>
      </c>
      <c r="D189" s="3" t="n">
        <v>28942.5</v>
      </c>
      <c r="E189" s="4" t="n">
        <v>15</v>
      </c>
      <c r="F189" t="inlineStr">
        <is>
          <t>ООО "АКАДЕМ-ОНЛАЙН" [Чайковский]</t>
        </is>
      </c>
      <c r="G189" s="3">
        <f>ROUND(D189/(100-E189)*100,2)</f>
        <v/>
      </c>
      <c r="H189" s="5" t="n">
        <v>46260.58333333334</v>
      </c>
      <c r="I189" t="n">
        <v>3</v>
      </c>
      <c r="J189" s="3">
        <f>G189/I189</f>
        <v/>
      </c>
      <c r="K189">
        <f>IF(J189&gt;=5100,"ставка","мин.ставка")</f>
        <v/>
      </c>
      <c r="L189" s="3">
        <f>ROUND(IF(K189="мин.ставка",I189*100,G189/102*2),2)</f>
        <v/>
      </c>
      <c r="M189" s="5" t="n">
        <v>46263.5</v>
      </c>
      <c r="N189" t="inlineStr">
        <is>
          <t>TravelLine ACS</t>
        </is>
      </c>
      <c r="O189" s="2" t="inlineStr">
        <is>
          <t>СТАНДАРТНЫЙ ДВУХМЕСТНЫЙ НОМЕР</t>
        </is>
      </c>
      <c r="P189" s="6" t="n"/>
      <c r="R189" t="inlineStr"/>
      <c r="S189" t="inlineStr">
        <is>
          <t>Тариф с завтраком</t>
        </is>
      </c>
      <c r="T189" t="n">
        <v>0</v>
      </c>
      <c r="U189" t="n">
        <v>28942.5</v>
      </c>
    </row>
    <row r="190">
      <c r="A190" t="inlineStr">
        <is>
          <t>20260820-8186-455185910</t>
        </is>
      </c>
      <c r="B190" t="n">
        <v>1</v>
      </c>
      <c r="C190" s="2" t="inlineStr">
        <is>
          <t>Анна Дмитриева</t>
        </is>
      </c>
      <c r="D190" s="3" t="n">
        <v>6320</v>
      </c>
      <c r="E190" s="4" t="n">
        <v>20</v>
      </c>
      <c r="F190" t="inlineStr">
        <is>
          <t>ООО «Дубль Гис» (OTELLO) [Чайковский]</t>
        </is>
      </c>
      <c r="G190" s="3">
        <f>ROUND(D190/(100-E190)*100,2)</f>
        <v/>
      </c>
      <c r="H190" s="5" t="n">
        <v>46254.58333333334</v>
      </c>
      <c r="I190" t="n">
        <v>1</v>
      </c>
      <c r="J190" s="3">
        <f>G190/I190</f>
        <v/>
      </c>
      <c r="K190">
        <f>IF(J190&gt;=5100,"ставка","мин.ставка")</f>
        <v/>
      </c>
      <c r="L190" s="3">
        <f>ROUND(IF(K190="мин.ставка",I190*100,G190/102*2),2)</f>
        <v/>
      </c>
      <c r="M190" s="5" t="n">
        <v>46255.5</v>
      </c>
      <c r="N190" t="inlineStr">
        <is>
          <t>TravelLine OL2</t>
        </is>
      </c>
      <c r="O190" s="2" t="inlineStr">
        <is>
          <t>СТАНДАРТНЫЙ ДВУХМЕСТНЫЙ НОМЕР (МАНСАРДА)</t>
        </is>
      </c>
      <c r="P190" s="6" t="n"/>
      <c r="R190" t="inlineStr"/>
      <c r="S190" t="inlineStr">
        <is>
          <t>Тариф с завтраком</t>
        </is>
      </c>
      <c r="T190" t="n">
        <v>0</v>
      </c>
      <c r="U190" t="n">
        <v>6320</v>
      </c>
    </row>
    <row r="191">
      <c r="A191" t="inlineStr">
        <is>
          <t>20260729-8186-446530199</t>
        </is>
      </c>
      <c r="B191" t="n">
        <v>1</v>
      </c>
      <c r="C191" s="2" t="inlineStr">
        <is>
          <t>АННА ЖУКОВА, Мария Жукова</t>
        </is>
      </c>
      <c r="D191" s="3" t="n">
        <v>12015</v>
      </c>
      <c r="E191" s="4" t="n">
        <v>0</v>
      </c>
      <c r="F191" t="inlineStr">
        <is>
          <t>Прямые бронирования (стойка) [Чайковский]</t>
        </is>
      </c>
      <c r="G191" s="3">
        <f>ROUND(D191/(100-E191)*100,2)</f>
        <v/>
      </c>
      <c r="H191" s="5" t="n">
        <v>46232.58333333334</v>
      </c>
      <c r="I191" t="n">
        <v>1</v>
      </c>
      <c r="J191" s="3">
        <f>G191/I191</f>
        <v/>
      </c>
      <c r="K191">
        <f>IF(J191&gt;=5100,"ставка","мин.ставка")</f>
        <v/>
      </c>
      <c r="L191" s="3">
        <f>ROUND(IF(K191="мин.ставка",I191*100,G191/102*2),2)</f>
        <v/>
      </c>
      <c r="M191" s="5" t="n">
        <v>46233.5</v>
      </c>
      <c r="N191" t="inlineStr">
        <is>
          <t>TravelLine ресепшн</t>
        </is>
      </c>
      <c r="O191" s="2" t="inlineStr">
        <is>
          <t>СТАНДАРТНЫЙ ДВУХМЕСТНЫЙ НОМЕР</t>
        </is>
      </c>
      <c r="P191" s="6" t="n"/>
      <c r="R191" t="inlineStr"/>
      <c r="S191" t="inlineStr">
        <is>
          <t>Тариф с завтраком</t>
        </is>
      </c>
      <c r="T191" t="n">
        <v>0</v>
      </c>
      <c r="U191" t="n">
        <v>12015</v>
      </c>
    </row>
    <row r="192">
      <c r="A192" t="inlineStr">
        <is>
          <t>20260713-8186-440314213</t>
        </is>
      </c>
      <c r="B192" t="n">
        <v>1</v>
      </c>
      <c r="C192" s="2" t="inlineStr">
        <is>
          <t>АННА ЗАВИДОВА, ЗОЯ ЗАВИДОВА</t>
        </is>
      </c>
      <c r="D192" s="3" t="n">
        <v>68085</v>
      </c>
      <c r="E192" s="4" t="n">
        <v>0</v>
      </c>
      <c r="F192" t="inlineStr">
        <is>
          <t>ООО "АЛЕАН ОТДЫХ" [Чайковский]</t>
        </is>
      </c>
      <c r="G192" s="3">
        <f>ROUND(D192/(100-E192)*100,2)</f>
        <v/>
      </c>
      <c r="H192" s="5" t="n">
        <v>46216.58333333334</v>
      </c>
      <c r="I192" t="n">
        <v>6</v>
      </c>
      <c r="J192" s="3">
        <f>G192/I192</f>
        <v/>
      </c>
      <c r="K192">
        <f>IF(J192&gt;=5100,"ставка","мин.ставка")</f>
        <v/>
      </c>
      <c r="L192" s="3">
        <f>ROUND(IF(K192="мин.ставка",I192*100,G192/102*2),2)</f>
        <v/>
      </c>
      <c r="M192" s="5" t="n">
        <v>46222.5</v>
      </c>
      <c r="N192" t="inlineStr">
        <is>
          <t>TravelLine ALN</t>
        </is>
      </c>
      <c r="O192" s="2" t="inlineStr">
        <is>
          <t>СТАНДАРТНЫЙ ДВУХМЕСТНЫЙ НОМЕР</t>
        </is>
      </c>
      <c r="P192" s="6" t="n"/>
      <c r="R192" t="inlineStr"/>
      <c r="S192" t="inlineStr">
        <is>
          <t>Тариф с завтраком</t>
        </is>
      </c>
      <c r="T192" t="n">
        <v>0</v>
      </c>
      <c r="U192" t="n">
        <v>68085</v>
      </c>
    </row>
    <row r="193">
      <c r="A193" t="inlineStr">
        <is>
          <t>20260711-8186-449029236</t>
        </is>
      </c>
      <c r="B193" t="n">
        <v>1</v>
      </c>
      <c r="C193" s="2" t="inlineStr">
        <is>
          <t>Анна Иохим</t>
        </is>
      </c>
      <c r="D193" s="3" t="n">
        <v>14085.5</v>
      </c>
      <c r="E193" s="4" t="n">
        <v>4</v>
      </c>
      <c r="F193" t="inlineStr">
        <is>
          <t>TravelLine Booking Engine [Чайковский]</t>
        </is>
      </c>
      <c r="G193" s="3">
        <f>ROUND(D193/(100-E193)*100,2)</f>
        <v/>
      </c>
      <c r="H193" s="5" t="n">
        <v>46214.58333333334</v>
      </c>
      <c r="I193" t="n">
        <v>1</v>
      </c>
      <c r="J193" s="3">
        <f>G193/I193</f>
        <v/>
      </c>
      <c r="K193">
        <f>IF(J193&gt;=5100,"ставка","мин.ставка")</f>
        <v/>
      </c>
      <c r="L193" s="3">
        <f>ROUND(IF(K193="мин.ставка",I193*100,G193/102*2),2)</f>
        <v/>
      </c>
      <c r="M193" s="5" t="n">
        <v>46215.5</v>
      </c>
      <c r="N193" t="inlineStr">
        <is>
          <t>TravelLine сайт</t>
        </is>
      </c>
      <c r="O193" s="2" t="inlineStr">
        <is>
          <t>ЛЮКС ВТОРОЙ КОРПУС</t>
        </is>
      </c>
      <c r="P193" s="6" t="n"/>
      <c r="R193" t="inlineStr"/>
      <c r="S193" t="inlineStr">
        <is>
          <t>Основной тариф без завтрака</t>
        </is>
      </c>
      <c r="T193" t="n">
        <v>500</v>
      </c>
      <c r="U193" t="n">
        <v>14585.5</v>
      </c>
    </row>
    <row r="194">
      <c r="A194" t="inlineStr">
        <is>
          <t>20260824-8186-427406859</t>
        </is>
      </c>
      <c r="B194" t="n">
        <v>1</v>
      </c>
      <c r="C194" s="2" t="inlineStr">
        <is>
          <t>Анна Киташина, Ксения Киташина</t>
        </is>
      </c>
      <c r="D194" s="3" t="n">
        <v>59661.15</v>
      </c>
      <c r="E194" s="4" t="n">
        <v>4</v>
      </c>
      <c r="F194" t="inlineStr">
        <is>
          <t>TravelLine Booking Engine [Чайковский]</t>
        </is>
      </c>
      <c r="G194" s="3">
        <f>ROUND(D194/(100-E194)*100,2)</f>
        <v/>
      </c>
      <c r="H194" s="5" t="n">
        <v>46258.58333333334</v>
      </c>
      <c r="I194" t="n">
        <v>4</v>
      </c>
      <c r="J194" s="3">
        <f>G194/I194</f>
        <v/>
      </c>
      <c r="K194">
        <f>IF(J194&gt;=5100,"ставка","мин.ставка")</f>
        <v/>
      </c>
      <c r="L194" s="3">
        <f>ROUND(IF(K194="мин.ставка",I194*100,G194/102*2),2)</f>
        <v/>
      </c>
      <c r="M194" s="5" t="n">
        <v>46262.79166666666</v>
      </c>
      <c r="N194" t="inlineStr">
        <is>
          <t>TravelLine сайт</t>
        </is>
      </c>
      <c r="O194" s="2" t="inlineStr">
        <is>
          <t>СТАНДАРТНЫЙ ДВУХМЕСТНЫЙ НОМЕР</t>
        </is>
      </c>
      <c r="P194" s="6" t="n"/>
      <c r="R194" t="inlineStr"/>
      <c r="S194" t="inlineStr">
        <is>
          <t>Тариф с завтраком</t>
        </is>
      </c>
      <c r="T194" t="n">
        <v>0</v>
      </c>
      <c r="U194" t="n">
        <v>72597.3</v>
      </c>
    </row>
    <row r="195">
      <c r="A195" t="inlineStr">
        <is>
          <t>20260711-8186-428824372</t>
        </is>
      </c>
      <c r="B195" t="n">
        <v>1</v>
      </c>
      <c r="C195" s="2" t="inlineStr">
        <is>
          <t>Анна Кубышкина, Татьяна Жукова</t>
        </is>
      </c>
      <c r="D195" s="3" t="n">
        <v>10680</v>
      </c>
      <c r="E195" s="4" t="n">
        <v>18</v>
      </c>
      <c r="F195" t="inlineStr">
        <is>
          <t>Яндекс.Путешествия [Чайковский]</t>
        </is>
      </c>
      <c r="G195" s="3">
        <f>ROUND(D195/(100-E195)*100,2)</f>
        <v/>
      </c>
      <c r="H195" s="5" t="n">
        <v>46214.58333333334</v>
      </c>
      <c r="I195" t="n">
        <v>1</v>
      </c>
      <c r="J195" s="3">
        <f>G195/I195</f>
        <v/>
      </c>
      <c r="K195">
        <f>IF(J195&gt;=5100,"ставка","мин.ставка")</f>
        <v/>
      </c>
      <c r="L195" s="3">
        <f>ROUND(IF(K195="мин.ставка",I195*100,G195/102*2),2)</f>
        <v/>
      </c>
      <c r="M195" s="5" t="n">
        <v>46215.5</v>
      </c>
      <c r="N195" t="inlineStr">
        <is>
          <t>TravelLine YAX</t>
        </is>
      </c>
      <c r="O195" s="2" t="inlineStr">
        <is>
          <t>СТАНДАРТНЫЙ ДВУХМЕСТНЫЙ НОМЕР</t>
        </is>
      </c>
      <c r="P195" s="6" t="n"/>
      <c r="R195" t="inlineStr"/>
      <c r="S195" t="inlineStr">
        <is>
          <t>Тариф с завтраком</t>
        </is>
      </c>
      <c r="T195" t="n">
        <v>0</v>
      </c>
      <c r="U195" t="n">
        <v>10680</v>
      </c>
    </row>
    <row r="196">
      <c r="A196" t="inlineStr">
        <is>
          <t>20260825-8186-456275651</t>
        </is>
      </c>
      <c r="B196" t="n">
        <v>1</v>
      </c>
      <c r="C196" s="2" t="inlineStr">
        <is>
          <t>Анна Курносова</t>
        </is>
      </c>
      <c r="D196" s="3" t="n">
        <v>6320</v>
      </c>
      <c r="E196" s="4" t="n">
        <v>20</v>
      </c>
      <c r="F196" t="inlineStr">
        <is>
          <t>ООО "КОМПАНИЯ БРОНЕВИК" [Чайковский]</t>
        </is>
      </c>
      <c r="G196" s="3">
        <f>ROUND(D196/(100-E196)*100,2)</f>
        <v/>
      </c>
      <c r="H196" s="5" t="n">
        <v>46259.58333333334</v>
      </c>
      <c r="I196" t="n">
        <v>1</v>
      </c>
      <c r="J196" s="3">
        <f>G196/I196</f>
        <v/>
      </c>
      <c r="K196">
        <f>IF(J196&gt;=5100,"ставка","мин.ставка")</f>
        <v/>
      </c>
      <c r="L196" s="3">
        <f>ROUND(IF(K196="мин.ставка",I196*100,G196/102*2),2)</f>
        <v/>
      </c>
      <c r="M196" s="5" t="n">
        <v>46260.5</v>
      </c>
      <c r="N196" t="inlineStr">
        <is>
          <t>TravelLine BR2</t>
        </is>
      </c>
      <c r="O196" s="2" t="inlineStr">
        <is>
          <t>СТАНДАРТНЫЙ ДВУХМЕСТНЫЙ НОМЕР (МАНСАРДА)</t>
        </is>
      </c>
      <c r="P196" s="6" t="n"/>
      <c r="R196" t="inlineStr"/>
      <c r="S196" t="inlineStr">
        <is>
          <t>Тариф с завтраком</t>
        </is>
      </c>
      <c r="T196" t="n">
        <v>0</v>
      </c>
      <c r="U196" t="n">
        <v>6320</v>
      </c>
    </row>
    <row r="197">
      <c r="A197" t="inlineStr">
        <is>
          <t>20260726-8186-434777679</t>
        </is>
      </c>
      <c r="B197" t="n">
        <v>1</v>
      </c>
      <c r="C197" s="2" t="inlineStr">
        <is>
          <t>Анна Леер, Владимир Леер</t>
        </is>
      </c>
      <c r="D197" s="3" t="n">
        <v>14002.05</v>
      </c>
      <c r="E197" s="4" t="n">
        <v>4</v>
      </c>
      <c r="F197" t="inlineStr">
        <is>
          <t>TravelLine Booking Engine [Чайковский]</t>
        </is>
      </c>
      <c r="G197" s="3">
        <f>ROUND(D197/(100-E197)*100,2)</f>
        <v/>
      </c>
      <c r="H197" s="5" t="n">
        <v>46229.58333333334</v>
      </c>
      <c r="I197" t="n">
        <v>1</v>
      </c>
      <c r="J197" s="3">
        <f>G197/I197</f>
        <v/>
      </c>
      <c r="K197">
        <f>IF(J197&gt;=5100,"ставка","мин.ставка")</f>
        <v/>
      </c>
      <c r="L197" s="3">
        <f>ROUND(IF(K197="мин.ставка",I197*100,G197/102*2),2)</f>
        <v/>
      </c>
      <c r="M197" s="5" t="n">
        <v>46230.5</v>
      </c>
      <c r="N197" t="inlineStr">
        <is>
          <t>TravelLine сайт</t>
        </is>
      </c>
      <c r="O197" s="2" t="inlineStr">
        <is>
          <t>СЕМЕЙНЫЙ НОМЕР КАТЕГОРИИ "СТАНДАРТ" ВТОРОЙ КОРПУС</t>
        </is>
      </c>
      <c r="P197" s="6" t="n"/>
      <c r="R197" t="inlineStr"/>
      <c r="S197" t="inlineStr">
        <is>
          <t>Тариф с завтраком</t>
        </is>
      </c>
      <c r="T197" t="n">
        <v>0</v>
      </c>
      <c r="U197" t="n">
        <v>14002.05</v>
      </c>
    </row>
    <row r="198">
      <c r="A198" t="inlineStr">
        <is>
          <t>20260710-8186-441330666</t>
        </is>
      </c>
      <c r="B198" t="n">
        <v>1</v>
      </c>
      <c r="C198" s="2" t="inlineStr">
        <is>
          <t>Анна Лейнер</t>
        </is>
      </c>
      <c r="D198" s="3" t="n">
        <v>12782</v>
      </c>
      <c r="E198" s="4" t="n">
        <v>17</v>
      </c>
      <c r="F198" t="inlineStr">
        <is>
          <t>ООО "ОНЛАЙН ИННОВАЦИИ" (101 Отель) [Чайковский]</t>
        </is>
      </c>
      <c r="G198" s="3">
        <f>ROUND(D198/(100-E198)*100,2)</f>
        <v/>
      </c>
      <c r="H198" s="5" t="n">
        <v>46213.58333333334</v>
      </c>
      <c r="I198" t="n">
        <v>2</v>
      </c>
      <c r="J198" s="3">
        <f>G198/I198</f>
        <v/>
      </c>
      <c r="K198">
        <f>IF(J198&gt;=5100,"ставка","мин.ставка")</f>
        <v/>
      </c>
      <c r="L198" s="3">
        <f>ROUND(IF(K198="мин.ставка",I198*100,G198/102*2),2)</f>
        <v/>
      </c>
      <c r="M198" s="5" t="n">
        <v>46215.5</v>
      </c>
      <c r="N198" t="inlineStr">
        <is>
          <t>TravelLine H1C</t>
        </is>
      </c>
      <c r="O198" s="2" t="inlineStr">
        <is>
          <t>СТАНДАРТНЫЙ ОДНОМЕСТНЫЙ НОМЕР</t>
        </is>
      </c>
      <c r="P198" s="6" t="n"/>
      <c r="R198" t="inlineStr"/>
      <c r="S198" t="inlineStr">
        <is>
          <t>Тариф с завтраком</t>
        </is>
      </c>
      <c r="T198" t="n">
        <v>0</v>
      </c>
      <c r="U198" t="n">
        <v>12782</v>
      </c>
    </row>
    <row r="199">
      <c r="A199" t="inlineStr">
        <is>
          <t>20260924-8186-458488381</t>
        </is>
      </c>
      <c r="B199" t="n">
        <v>1</v>
      </c>
      <c r="C199" s="2" t="inlineStr">
        <is>
          <t>АННА МАНСУР</t>
        </is>
      </c>
      <c r="D199" s="3" t="n">
        <v>17252</v>
      </c>
      <c r="E199" s="4" t="n">
        <v>18</v>
      </c>
      <c r="F199" t="inlineStr">
        <is>
          <t>Яндекс.Путешествия [Чайковский]</t>
        </is>
      </c>
      <c r="G199" s="3">
        <f>ROUND(D199/(100-E199)*100,2)</f>
        <v/>
      </c>
      <c r="H199" s="5" t="n">
        <v>46289.58333333334</v>
      </c>
      <c r="I199" t="n">
        <v>2</v>
      </c>
      <c r="J199" s="3">
        <f>G199/I199</f>
        <v/>
      </c>
      <c r="K199">
        <f>IF(J199&gt;=5100,"ставка","мин.ставка")</f>
        <v/>
      </c>
      <c r="L199" s="3">
        <f>ROUND(IF(K199="мин.ставка",I199*100,G199/102*2),2)</f>
        <v/>
      </c>
      <c r="M199" s="5" t="n">
        <v>46291.5</v>
      </c>
      <c r="N199" t="inlineStr">
        <is>
          <t>TravelLine YAX</t>
        </is>
      </c>
      <c r="O199" s="2" t="inlineStr">
        <is>
          <t>СТАНДАРТНЫЙ ДВУХМЕСТНЫЙ НОМЕР</t>
        </is>
      </c>
      <c r="P199" s="6" t="n"/>
      <c r="R199" t="inlineStr"/>
      <c r="S199" t="inlineStr">
        <is>
          <t>Тариф с завтраком</t>
        </is>
      </c>
      <c r="T199" t="n">
        <v>0</v>
      </c>
      <c r="U199" t="n">
        <v>17252</v>
      </c>
    </row>
    <row r="200">
      <c r="A200" t="inlineStr">
        <is>
          <t>20260925-8186-465097921</t>
        </is>
      </c>
      <c r="B200" t="n">
        <v>1</v>
      </c>
      <c r="C200" s="2" t="inlineStr">
        <is>
          <t>Анна Милова, Георгий ТИМОФЕЕВ</t>
        </is>
      </c>
      <c r="D200" s="3" t="n">
        <v>32040</v>
      </c>
      <c r="E200" s="4" t="n">
        <v>0</v>
      </c>
      <c r="F200" t="inlineStr">
        <is>
          <t>Прямые бронирования (стойка) [Чайковский]</t>
        </is>
      </c>
      <c r="G200" s="3">
        <f>ROUND(D200/(100-E200)*100,2)</f>
        <v/>
      </c>
      <c r="H200" s="5" t="n">
        <v>46290.58333333334</v>
      </c>
      <c r="I200" t="n">
        <v>3</v>
      </c>
      <c r="J200" s="3">
        <f>G200/I200</f>
        <v/>
      </c>
      <c r="K200">
        <f>IF(J200&gt;=5100,"ставка","мин.ставка")</f>
        <v/>
      </c>
      <c r="L200" s="3">
        <f>ROUND(IF(K200="мин.ставка",I200*100,G200/102*2),2)</f>
        <v/>
      </c>
      <c r="M200" s="5" t="n">
        <v>46293.5</v>
      </c>
      <c r="N200" t="inlineStr">
        <is>
          <t>TravelLine ресепшн</t>
        </is>
      </c>
      <c r="O200" s="2" t="inlineStr">
        <is>
          <t>СТАНДАРТНЫЙ ДВУХМЕСТНЫЙ НОМЕР</t>
        </is>
      </c>
      <c r="P200" s="6" t="n"/>
      <c r="R200" t="inlineStr"/>
      <c r="S200" t="inlineStr">
        <is>
          <t>Тариф с завтраком</t>
        </is>
      </c>
      <c r="T200" t="n">
        <v>0</v>
      </c>
      <c r="U200" t="n">
        <v>32040</v>
      </c>
    </row>
    <row r="201">
      <c r="A201" t="inlineStr">
        <is>
          <t>20260924-8186-464881072</t>
        </is>
      </c>
      <c r="B201" t="n">
        <v>1</v>
      </c>
      <c r="C201" s="2" t="inlineStr">
        <is>
          <t>Анна Назаркина</t>
        </is>
      </c>
      <c r="D201" s="3" t="n">
        <v>17025</v>
      </c>
      <c r="E201" s="4" t="n">
        <v>18</v>
      </c>
      <c r="F201" t="inlineStr">
        <is>
          <t>Яндекс.Путешествия [Чайковский]</t>
        </is>
      </c>
      <c r="G201" s="3">
        <f>ROUND(D201/(100-E201)*100,2)</f>
        <v/>
      </c>
      <c r="H201" s="5" t="n">
        <v>46289.58333333334</v>
      </c>
      <c r="I201" t="n">
        <v>2</v>
      </c>
      <c r="J201" s="3">
        <f>G201/I201</f>
        <v/>
      </c>
      <c r="K201">
        <f>IF(J201&gt;=5100,"ставка","мин.ставка")</f>
        <v/>
      </c>
      <c r="L201" s="3">
        <f>ROUND(IF(K201="мин.ставка",I201*100,G201/102*2),2)</f>
        <v/>
      </c>
      <c r="M201" s="5" t="n">
        <v>46291.5</v>
      </c>
      <c r="N201" t="inlineStr">
        <is>
          <t>TravelLine YAX</t>
        </is>
      </c>
      <c r="O201" s="2" t="inlineStr">
        <is>
          <t>СТАНДАРТНЫЙ ДВУХМЕСТНЫЙ НОМЕР</t>
        </is>
      </c>
      <c r="P201" s="6" t="n"/>
      <c r="R201" t="inlineStr"/>
      <c r="S201" t="inlineStr">
        <is>
          <t>Тариф с завтраком</t>
        </is>
      </c>
      <c r="T201" t="n">
        <v>0</v>
      </c>
      <c r="U201" t="n">
        <v>17025</v>
      </c>
    </row>
    <row r="202">
      <c r="A202" t="inlineStr">
        <is>
          <t>20260818-8186-448584820</t>
        </is>
      </c>
      <c r="B202" t="n">
        <v>1</v>
      </c>
      <c r="C202" s="2" t="inlineStr">
        <is>
          <t>Анна Наумова, Кирилл Шокарев</t>
        </is>
      </c>
      <c r="D202" s="3" t="n">
        <v>8415</v>
      </c>
      <c r="E202" s="4" t="n">
        <v>15</v>
      </c>
      <c r="F202" t="inlineStr">
        <is>
          <t>ООО Тинькофф Путешествия [Чайковский]</t>
        </is>
      </c>
      <c r="G202" s="3">
        <f>ROUND(D202/(100-E202)*100,2)</f>
        <v/>
      </c>
      <c r="H202" s="5" t="n">
        <v>46252.58333333334</v>
      </c>
      <c r="I202" t="n">
        <v>1</v>
      </c>
      <c r="J202" s="3">
        <f>G202/I202</f>
        <v/>
      </c>
      <c r="K202">
        <f>IF(J202&gt;=5100,"ставка","мин.ставка")</f>
        <v/>
      </c>
      <c r="L202" s="3">
        <f>ROUND(IF(K202="мин.ставка",I202*100,G202/102*2),2)</f>
        <v/>
      </c>
      <c r="M202" s="5" t="n">
        <v>46253.5</v>
      </c>
      <c r="N202" t="inlineStr">
        <is>
          <t>TravelLine TNK</t>
        </is>
      </c>
      <c r="O202" s="2" t="inlineStr">
        <is>
          <t>СТАНДАРТНЫЙ ДВУХМЕСТНЫЙ НОМЕР (МАНСАРДА)</t>
        </is>
      </c>
      <c r="P202" s="6" t="n"/>
      <c r="R202" t="inlineStr"/>
      <c r="S202" t="inlineStr">
        <is>
          <t>Тариф с завтраком</t>
        </is>
      </c>
      <c r="T202" t="n">
        <v>0</v>
      </c>
      <c r="U202" t="n">
        <v>8415</v>
      </c>
    </row>
    <row r="203">
      <c r="A203" t="inlineStr">
        <is>
          <t>20260925-8186-464768138</t>
        </is>
      </c>
      <c r="B203" t="n">
        <v>1</v>
      </c>
      <c r="C203" s="2" t="inlineStr">
        <is>
          <t>Анна Новикова</t>
        </is>
      </c>
      <c r="D203" s="3" t="n">
        <v>6468</v>
      </c>
      <c r="E203" s="4" t="n">
        <v>16</v>
      </c>
      <c r="F203" t="inlineStr">
        <is>
          <t>ООО "БРОНИРОВАНИЕ ГОСТИНИЦ" (OSTROVOK) [Чайковский]</t>
        </is>
      </c>
      <c r="G203" s="3">
        <f>ROUND(D203/(100-E203)*100,2)</f>
        <v/>
      </c>
      <c r="H203" s="5" t="n">
        <v>46290.58333333334</v>
      </c>
      <c r="I203" t="n">
        <v>1</v>
      </c>
      <c r="J203" s="3">
        <f>G203/I203</f>
        <v/>
      </c>
      <c r="K203">
        <f>IF(J203&gt;=5100,"ставка","мин.ставка")</f>
        <v/>
      </c>
      <c r="L203" s="3">
        <f>ROUND(IF(K203="мин.ставка",I203*100,G203/102*2),2)</f>
        <v/>
      </c>
      <c r="M203" s="5" t="n">
        <v>46291.5</v>
      </c>
      <c r="N203" t="inlineStr">
        <is>
          <t>TravelLine OTK</t>
        </is>
      </c>
      <c r="O203" s="2" t="inlineStr">
        <is>
          <t>СТАНДАРТНЫЙ ОДНОМЕСТНЫЙ НОМЕР</t>
        </is>
      </c>
      <c r="P203" s="6" t="n"/>
      <c r="R203" t="inlineStr"/>
      <c r="S203" t="inlineStr">
        <is>
          <t>Тариф с завтраком</t>
        </is>
      </c>
      <c r="T203" t="n">
        <v>0</v>
      </c>
      <c r="U203" t="n">
        <v>6468</v>
      </c>
    </row>
    <row r="204">
      <c r="A204" t="inlineStr">
        <is>
          <t>20260730-8186-451556670</t>
        </is>
      </c>
      <c r="B204" t="n">
        <v>1</v>
      </c>
      <c r="C204" s="2" t="inlineStr">
        <is>
          <t>Анна Огородникова</t>
        </is>
      </c>
      <c r="D204" s="3" t="n">
        <v>22348.15</v>
      </c>
      <c r="E204" s="4" t="n">
        <v>4</v>
      </c>
      <c r="F204" t="inlineStr">
        <is>
          <t>TravelLine Booking Engine [Чайковский]</t>
        </is>
      </c>
      <c r="G204" s="3">
        <f>ROUND(D204/(100-E204)*100,2)</f>
        <v/>
      </c>
      <c r="H204" s="5" t="n">
        <v>46233.58333333334</v>
      </c>
      <c r="I204" t="n">
        <v>2</v>
      </c>
      <c r="J204" s="3">
        <f>G204/I204</f>
        <v/>
      </c>
      <c r="K204">
        <f>IF(J204&gt;=5100,"ставка","мин.ставка")</f>
        <v/>
      </c>
      <c r="L204" s="3">
        <f>ROUND(IF(K204="мин.ставка",I204*100,G204/102*2),2)</f>
        <v/>
      </c>
      <c r="M204" s="5" t="n">
        <v>46235.5</v>
      </c>
      <c r="N204" t="inlineStr">
        <is>
          <t>TravelLine сайт</t>
        </is>
      </c>
      <c r="O204" s="2" t="inlineStr">
        <is>
          <t>СТАНДАРТНЫЙ ДВУХМЕСТНЫЙ НОМЕР</t>
        </is>
      </c>
      <c r="P204" s="6" t="n"/>
      <c r="R204" t="inlineStr"/>
      <c r="S204" t="inlineStr">
        <is>
          <t>Тариф с завтраком</t>
        </is>
      </c>
      <c r="T204" t="n">
        <v>0</v>
      </c>
      <c r="U204" t="n">
        <v>22348.15</v>
      </c>
    </row>
    <row r="205">
      <c r="A205" t="inlineStr">
        <is>
          <t>20260813-8186-449476892</t>
        </is>
      </c>
      <c r="B205" t="n">
        <v>1</v>
      </c>
      <c r="C205" s="2" t="inlineStr">
        <is>
          <t>Анна Поздеева</t>
        </is>
      </c>
      <c r="D205" s="3" t="n">
        <v>24640</v>
      </c>
      <c r="E205" s="4" t="n">
        <v>18</v>
      </c>
      <c r="F205" t="inlineStr">
        <is>
          <t>Яндекс.Путешествия [Чайковский]</t>
        </is>
      </c>
      <c r="G205" s="3">
        <f>ROUND(D205/(100-E205)*100,2)</f>
        <v/>
      </c>
      <c r="H205" s="5" t="n">
        <v>46247.58333333334</v>
      </c>
      <c r="I205" t="n">
        <v>4</v>
      </c>
      <c r="J205" s="3">
        <f>G205/I205</f>
        <v/>
      </c>
      <c r="K205">
        <f>IF(J205&gt;=5100,"ставка","мин.ставка")</f>
        <v/>
      </c>
      <c r="L205" s="3">
        <f>ROUND(IF(K205="мин.ставка",I205*100,G205/102*2),2)</f>
        <v/>
      </c>
      <c r="M205" s="5" t="n">
        <v>46251.5</v>
      </c>
      <c r="N205" t="inlineStr">
        <is>
          <t>TravelLine YAX</t>
        </is>
      </c>
      <c r="O205" s="2" t="inlineStr">
        <is>
          <t>СТАНДАРТНЫЙ ОДНОМЕСТНЫЙ НОМЕР</t>
        </is>
      </c>
      <c r="P205" s="6" t="n"/>
      <c r="R205" t="inlineStr"/>
      <c r="S205" t="inlineStr">
        <is>
          <t>Тариф с завтраком</t>
        </is>
      </c>
      <c r="T205" t="n">
        <v>0</v>
      </c>
      <c r="U205" t="n">
        <v>24640</v>
      </c>
    </row>
    <row r="206">
      <c r="A206" t="inlineStr">
        <is>
          <t>20260921-8186-467014328</t>
        </is>
      </c>
      <c r="B206" t="n">
        <v>1</v>
      </c>
      <c r="C206" s="2" t="inlineStr">
        <is>
          <t>Анна Резинько, Михаил Резинько</t>
        </is>
      </c>
      <c r="D206" s="3" t="n">
        <v>11550</v>
      </c>
      <c r="E206" s="4" t="n">
        <v>18</v>
      </c>
      <c r="F206" t="inlineStr">
        <is>
          <t>Яндекс.Путешествия [Чайковский]</t>
        </is>
      </c>
      <c r="G206" s="3">
        <f>ROUND(D206/(100-E206)*100,2)</f>
        <v/>
      </c>
      <c r="H206" s="5" t="n">
        <v>46286.58333333334</v>
      </c>
      <c r="I206" t="n">
        <v>1</v>
      </c>
      <c r="J206" s="3">
        <f>G206/I206</f>
        <v/>
      </c>
      <c r="K206">
        <f>IF(J206&gt;=5100,"ставка","мин.ставка")</f>
        <v/>
      </c>
      <c r="L206" s="3">
        <f>ROUND(IF(K206="мин.ставка",I206*100,G206/102*2),2)</f>
        <v/>
      </c>
      <c r="M206" s="5" t="n">
        <v>46287.5</v>
      </c>
      <c r="N206" t="inlineStr">
        <is>
          <t>TravelLine YAX</t>
        </is>
      </c>
      <c r="O206" s="2" t="inlineStr">
        <is>
          <t>УЛУЧШЕННЫЙ ДВУХМЕСТНЫЙ НОМЕР</t>
        </is>
      </c>
      <c r="P206" s="6" t="n"/>
      <c r="R206" t="inlineStr"/>
      <c r="S206" t="inlineStr">
        <is>
          <t>Тариф с завтраком</t>
        </is>
      </c>
      <c r="T206" t="n">
        <v>0</v>
      </c>
      <c r="U206" t="n">
        <v>11550</v>
      </c>
    </row>
    <row r="207">
      <c r="A207" t="inlineStr">
        <is>
          <t>20260723-8186-449951672</t>
        </is>
      </c>
      <c r="B207" t="n">
        <v>1</v>
      </c>
      <c r="C207" s="2" t="inlineStr">
        <is>
          <t>Анна Семашко, Кирилл Михайлов</t>
        </is>
      </c>
      <c r="D207" s="3" t="n">
        <v>49252.5</v>
      </c>
      <c r="E207" s="4" t="n">
        <v>4</v>
      </c>
      <c r="F207" t="inlineStr">
        <is>
          <t>TravelLine Booking Engine [Чайковский]</t>
        </is>
      </c>
      <c r="G207" s="3">
        <f>ROUND(D207/(100-E207)*100,2)</f>
        <v/>
      </c>
      <c r="H207" s="5" t="n">
        <v>46226.58333333334</v>
      </c>
      <c r="I207" t="n">
        <v>3</v>
      </c>
      <c r="J207" s="3">
        <f>G207/I207</f>
        <v/>
      </c>
      <c r="K207">
        <f>IF(J207&gt;=5100,"ставка","мин.ставка")</f>
        <v/>
      </c>
      <c r="L207" s="3">
        <f>ROUND(IF(K207="мин.ставка",I207*100,G207/102*2),2)</f>
        <v/>
      </c>
      <c r="M207" s="5" t="n">
        <v>46229.5</v>
      </c>
      <c r="N207" t="inlineStr">
        <is>
          <t>TravelLine сайт</t>
        </is>
      </c>
      <c r="O207" s="2" t="inlineStr">
        <is>
          <t>ПОЛУЛЮКС</t>
        </is>
      </c>
      <c r="P207" s="6" t="n"/>
      <c r="R207" t="inlineStr"/>
      <c r="S207" t="inlineStr">
        <is>
          <t>Тариф с завтраком</t>
        </is>
      </c>
      <c r="T207" t="n">
        <v>3560</v>
      </c>
      <c r="U207" t="n">
        <v>52812.5</v>
      </c>
    </row>
    <row r="208">
      <c r="A208" t="inlineStr">
        <is>
          <t>20260907-8186-434979957</t>
        </is>
      </c>
      <c r="B208" t="n">
        <v>1</v>
      </c>
      <c r="C208" s="2" t="inlineStr">
        <is>
          <t>Анна Стом</t>
        </is>
      </c>
      <c r="D208" s="3" t="n">
        <v>31600</v>
      </c>
      <c r="E208" s="4" t="n">
        <v>0</v>
      </c>
      <c r="F208" t="inlineStr">
        <is>
          <t>Прямые бронирования (стойка) [Чайковский]</t>
        </is>
      </c>
      <c r="G208" s="3">
        <f>ROUND(D208/(100-E208)*100,2)</f>
        <v/>
      </c>
      <c r="H208" s="5" t="n">
        <v>46272.58333333334</v>
      </c>
      <c r="I208" t="n">
        <v>4</v>
      </c>
      <c r="J208" s="3">
        <f>G208/I208</f>
        <v/>
      </c>
      <c r="K208">
        <f>IF(J208&gt;=5100,"ставка","мин.ставка")</f>
        <v/>
      </c>
      <c r="L208" s="3">
        <f>ROUND(IF(K208="мин.ставка",I208*100,G208/102*2),2)</f>
        <v/>
      </c>
      <c r="M208" s="5" t="n">
        <v>46276.5</v>
      </c>
      <c r="N208" t="inlineStr">
        <is>
          <t>TravelLine ресепшн</t>
        </is>
      </c>
      <c r="O208" s="2" t="inlineStr">
        <is>
          <t>СТАНДАРТНЫЙ ДВУХМЕСТНЫЙ НОМЕР</t>
        </is>
      </c>
      <c r="P208" s="6" t="n"/>
      <c r="R208" t="inlineStr"/>
      <c r="S208" t="inlineStr">
        <is>
          <t>Тариф с завтраком</t>
        </is>
      </c>
      <c r="T208" t="n">
        <v>0</v>
      </c>
      <c r="U208" t="n">
        <v>31600</v>
      </c>
    </row>
    <row r="209">
      <c r="A209" t="inlineStr">
        <is>
          <t>20260701-8186-445465297</t>
        </is>
      </c>
      <c r="B209" t="n">
        <v>1</v>
      </c>
      <c r="C209" s="2" t="inlineStr">
        <is>
          <t>АННА ТЕЛЕГИНА</t>
        </is>
      </c>
      <c r="D209" s="3" t="n">
        <v>23200</v>
      </c>
      <c r="E209" s="4" t="n">
        <v>20</v>
      </c>
      <c r="F209" t="inlineStr">
        <is>
          <t>ООО "ХБ-ПРО" [Чайковский]</t>
        </is>
      </c>
      <c r="G209" s="3">
        <f>ROUND(D209/(100-E209)*100,2)</f>
        <v/>
      </c>
      <c r="H209" s="5" t="n">
        <v>46204.58333333334</v>
      </c>
      <c r="I209" t="n">
        <v>2</v>
      </c>
      <c r="J209" s="3">
        <f>G209/I209</f>
        <v/>
      </c>
      <c r="K209">
        <f>IF(J209&gt;=5100,"ставка","мин.ставка")</f>
        <v/>
      </c>
      <c r="L209" s="3">
        <f>ROUND(IF(K209="мин.ставка",I209*100,G209/102*2),2)</f>
        <v/>
      </c>
      <c r="M209" s="5" t="n">
        <v>46206.5</v>
      </c>
      <c r="N209" t="inlineStr">
        <is>
          <t>TravelLine UTS</t>
        </is>
      </c>
      <c r="O209" s="2" t="inlineStr">
        <is>
          <t>ПОЛУЛЮКС</t>
        </is>
      </c>
      <c r="P209" s="6" t="n"/>
      <c r="R209" t="inlineStr"/>
      <c r="S209" t="inlineStr">
        <is>
          <t>Тариф с завтраком</t>
        </is>
      </c>
      <c r="T209" t="n">
        <v>0</v>
      </c>
      <c r="U209" t="n">
        <v>23200</v>
      </c>
    </row>
    <row r="210">
      <c r="A210" t="inlineStr">
        <is>
          <t>20260817-8186-436203098</t>
        </is>
      </c>
      <c r="B210" t="n">
        <v>1</v>
      </c>
      <c r="C210" s="2" t="inlineStr">
        <is>
          <t>Анна Третьякова</t>
        </is>
      </c>
      <c r="D210" s="3" t="n">
        <v>25245</v>
      </c>
      <c r="E210" s="4" t="n">
        <v>15</v>
      </c>
      <c r="F210" t="inlineStr">
        <is>
          <t>ООО Тинькофф Путешествия [Чайковский]</t>
        </is>
      </c>
      <c r="G210" s="3">
        <f>ROUND(D210/(100-E210)*100,2)</f>
        <v/>
      </c>
      <c r="H210" s="5" t="n">
        <v>46251.58333333334</v>
      </c>
      <c r="I210" t="n">
        <v>3</v>
      </c>
      <c r="J210" s="3">
        <f>G210/I210</f>
        <v/>
      </c>
      <c r="K210">
        <f>IF(J210&gt;=5100,"ставка","мин.ставка")</f>
        <v/>
      </c>
      <c r="L210" s="3">
        <f>ROUND(IF(K210="мин.ставка",I210*100,G210/102*2),2)</f>
        <v/>
      </c>
      <c r="M210" s="5" t="n">
        <v>46254.5</v>
      </c>
      <c r="N210" t="inlineStr">
        <is>
          <t>TravelLine TNK</t>
        </is>
      </c>
      <c r="O210" s="2" t="inlineStr">
        <is>
          <t>СТАНДАРТНЫЙ ДВУХМЕСТНЫЙ НОМЕР (МАНСАРДА)</t>
        </is>
      </c>
      <c r="P210" s="6" t="n"/>
      <c r="R210" t="inlineStr"/>
      <c r="S210" t="inlineStr">
        <is>
          <t>Тариф с завтраком</t>
        </is>
      </c>
      <c r="T210" t="n">
        <v>4500</v>
      </c>
      <c r="U210" t="n">
        <v>29745</v>
      </c>
    </row>
    <row r="211">
      <c r="A211" t="inlineStr">
        <is>
          <t>20260831-8186-454299326</t>
        </is>
      </c>
      <c r="B211" t="n">
        <v>1</v>
      </c>
      <c r="C211" s="2" t="inlineStr">
        <is>
          <t>Анна Цыркова</t>
        </is>
      </c>
      <c r="D211" s="3" t="n">
        <v>12320</v>
      </c>
      <c r="E211" s="4" t="n">
        <v>18</v>
      </c>
      <c r="F211" t="inlineStr">
        <is>
          <t>Яндекс.Путешествия [Чайковский]</t>
        </is>
      </c>
      <c r="G211" s="3">
        <f>ROUND(D211/(100-E211)*100,2)</f>
        <v/>
      </c>
      <c r="H211" s="5" t="n">
        <v>46265.58333333334</v>
      </c>
      <c r="I211" t="n">
        <v>2</v>
      </c>
      <c r="J211" s="3">
        <f>G211/I211</f>
        <v/>
      </c>
      <c r="K211">
        <f>IF(J211&gt;=5100,"ставка","мин.ставка")</f>
        <v/>
      </c>
      <c r="L211" s="3">
        <f>ROUND(IF(K211="мин.ставка",I211*100,G211/102*2),2)</f>
        <v/>
      </c>
      <c r="M211" s="5" t="n">
        <v>46267.5</v>
      </c>
      <c r="N211" t="inlineStr">
        <is>
          <t>TravelLine YAX</t>
        </is>
      </c>
      <c r="O211" s="2" t="inlineStr">
        <is>
          <t>СТАНДАРТНЫЙ ОДНОМЕСТНЫЙ НОМЕР</t>
        </is>
      </c>
      <c r="P211" s="6" t="n"/>
      <c r="R211" t="inlineStr"/>
      <c r="S211" t="inlineStr">
        <is>
          <t>Тариф с завтраком</t>
        </is>
      </c>
      <c r="T211" t="n">
        <v>0</v>
      </c>
      <c r="U211" t="n">
        <v>12320</v>
      </c>
    </row>
    <row r="212">
      <c r="A212" t="inlineStr">
        <is>
          <t>20260727-8186-452904323</t>
        </is>
      </c>
      <c r="B212" t="n">
        <v>1</v>
      </c>
      <c r="C212" s="2" t="inlineStr">
        <is>
          <t>Анна Чернова</t>
        </is>
      </c>
      <c r="D212" s="3" t="n">
        <v>6320</v>
      </c>
      <c r="E212" s="4" t="n">
        <v>18</v>
      </c>
      <c r="F212" t="inlineStr">
        <is>
          <t>Яндекс.Путешествия [Чайковский]</t>
        </is>
      </c>
      <c r="G212" s="3">
        <f>ROUND(D212/(100-E212)*100,2)</f>
        <v/>
      </c>
      <c r="H212" s="5" t="n">
        <v>46230.58333333334</v>
      </c>
      <c r="I212" t="n">
        <v>1</v>
      </c>
      <c r="J212" s="3">
        <f>G212/I212</f>
        <v/>
      </c>
      <c r="K212">
        <f>IF(J212&gt;=5100,"ставка","мин.ставка")</f>
        <v/>
      </c>
      <c r="L212" s="3">
        <f>ROUND(IF(K212="мин.ставка",I212*100,G212/102*2),2)</f>
        <v/>
      </c>
      <c r="M212" s="5" t="n">
        <v>46231.5</v>
      </c>
      <c r="N212" t="inlineStr">
        <is>
          <t>TravelLine YAX</t>
        </is>
      </c>
      <c r="O212" s="2" t="inlineStr">
        <is>
          <t>СТАНДАРТНЫЙ ДВУХМЕСТНЫЙ НОМЕР (МАНСАРДА)</t>
        </is>
      </c>
      <c r="P212" s="6" t="n"/>
      <c r="R212" t="inlineStr"/>
      <c r="S212" t="inlineStr">
        <is>
          <t>Тариф с завтраком</t>
        </is>
      </c>
      <c r="T212" t="n">
        <v>0</v>
      </c>
      <c r="U212" t="n">
        <v>6320</v>
      </c>
    </row>
    <row r="213">
      <c r="A213" t="inlineStr">
        <is>
          <t>20260902-8186-463008969</t>
        </is>
      </c>
      <c r="B213" t="n">
        <v>1</v>
      </c>
      <c r="C213" s="2" t="inlineStr">
        <is>
          <t>АННА ЧЕРНОВА</t>
        </is>
      </c>
      <c r="D213" s="3" t="n">
        <v>9960</v>
      </c>
      <c r="E213" s="4" t="n">
        <v>18</v>
      </c>
      <c r="F213" t="inlineStr">
        <is>
          <t>Яндекс.Путешествия [Чайковский]</t>
        </is>
      </c>
      <c r="G213" s="3">
        <f>ROUND(D213/(100-E213)*100,2)</f>
        <v/>
      </c>
      <c r="H213" s="5" t="n">
        <v>46267.58333333334</v>
      </c>
      <c r="I213" t="n">
        <v>1</v>
      </c>
      <c r="J213" s="3">
        <f>G213/I213</f>
        <v/>
      </c>
      <c r="K213">
        <f>IF(J213&gt;=5100,"ставка","мин.ставка")</f>
        <v/>
      </c>
      <c r="L213" s="3">
        <f>ROUND(IF(K213="мин.ставка",I213*100,G213/102*2),2)</f>
        <v/>
      </c>
      <c r="M213" s="5" t="n">
        <v>46268.5</v>
      </c>
      <c r="N213" t="inlineStr">
        <is>
          <t>TravelLine YAX</t>
        </is>
      </c>
      <c r="O213" s="2" t="inlineStr">
        <is>
          <t>СЕМЕЙНЫЙ НОМЕР КАТЕГОРИИ "СТАНДАРТ" ВТОРОЙ КОРПУС</t>
        </is>
      </c>
      <c r="P213" s="6" t="n"/>
      <c r="R213" t="inlineStr"/>
      <c r="S213" t="inlineStr">
        <is>
          <t>Тариф с завтраком</t>
        </is>
      </c>
      <c r="T213" t="n">
        <v>0</v>
      </c>
      <c r="U213" t="n">
        <v>9960</v>
      </c>
    </row>
    <row r="214">
      <c r="A214" t="inlineStr">
        <is>
          <t>20260929-8186-469009651</t>
        </is>
      </c>
      <c r="B214" t="n">
        <v>1</v>
      </c>
      <c r="C214" s="2" t="inlineStr">
        <is>
          <t>АННА ЧЕРНОВА</t>
        </is>
      </c>
      <c r="D214" s="3" t="n">
        <v>10720</v>
      </c>
      <c r="E214" s="4" t="n">
        <v>18</v>
      </c>
      <c r="F214" t="inlineStr">
        <is>
          <t>Яндекс.Путешествия [Чайковский]</t>
        </is>
      </c>
      <c r="G214" s="3">
        <f>ROUND(D214/(100-E214)*100,2)</f>
        <v/>
      </c>
      <c r="H214" s="5" t="n">
        <v>46294.58333333334</v>
      </c>
      <c r="I214" t="n">
        <v>1</v>
      </c>
      <c r="J214" s="3">
        <f>G214/I214</f>
        <v/>
      </c>
      <c r="K214">
        <f>IF(J214&gt;=5100,"ставка","мин.ставка")</f>
        <v/>
      </c>
      <c r="L214" s="3">
        <f>ROUND(IF(K214="мин.ставка",I214*100,G214/102*2),2)</f>
        <v/>
      </c>
      <c r="M214" s="5" t="n">
        <v>46295.5</v>
      </c>
      <c r="N214" t="inlineStr">
        <is>
          <t>TravelLine YAX</t>
        </is>
      </c>
      <c r="O214" s="2" t="inlineStr">
        <is>
          <t>УЛУЧШЕННЫЙ ДВУХМЕСТНЫЙ НОМЕР</t>
        </is>
      </c>
      <c r="P214" s="6" t="n"/>
      <c r="R214" t="inlineStr"/>
      <c r="S214" t="inlineStr">
        <is>
          <t>Тариф с завтраком</t>
        </is>
      </c>
      <c r="T214" t="n">
        <v>0</v>
      </c>
      <c r="U214" t="n">
        <v>10720</v>
      </c>
    </row>
    <row r="215">
      <c r="A215" t="inlineStr">
        <is>
          <t>20260922-8186-467585284</t>
        </is>
      </c>
      <c r="B215" t="n">
        <v>1</v>
      </c>
      <c r="C215" s="2" t="inlineStr">
        <is>
          <t>Антон Кальвинов</t>
        </is>
      </c>
      <c r="D215" s="3" t="n">
        <v>18160</v>
      </c>
      <c r="E215" s="4" t="n">
        <v>20</v>
      </c>
      <c r="F215" t="inlineStr">
        <is>
          <t>ООО "КОМПАНИЯ БРОНЕВИК" [Чайковский]</t>
        </is>
      </c>
      <c r="G215" s="3">
        <f>ROUND(D215/(100-E215)*100,2)</f>
        <v/>
      </c>
      <c r="H215" s="5" t="n">
        <v>46287.58333333334</v>
      </c>
      <c r="I215" t="n">
        <v>2</v>
      </c>
      <c r="J215" s="3">
        <f>G215/I215</f>
        <v/>
      </c>
      <c r="K215">
        <f>IF(J215&gt;=5100,"ставка","мин.ставка")</f>
        <v/>
      </c>
      <c r="L215" s="3">
        <f>ROUND(IF(K215="мин.ставка",I215*100,G215/102*2),2)</f>
        <v/>
      </c>
      <c r="M215" s="5" t="n">
        <v>46289.5</v>
      </c>
      <c r="N215" t="inlineStr">
        <is>
          <t>TravelLine BR2</t>
        </is>
      </c>
      <c r="O215" s="2" t="inlineStr">
        <is>
          <t>СТАНДАРТНЫЙ ДВУХМЕСТНЫЙ НОМЕР</t>
        </is>
      </c>
      <c r="P215" s="6" t="n"/>
      <c r="R215" t="inlineStr"/>
      <c r="S215" t="inlineStr">
        <is>
          <t>Тариф с завтраком</t>
        </is>
      </c>
      <c r="T215" t="n">
        <v>0</v>
      </c>
      <c r="U215" t="n">
        <v>18160</v>
      </c>
    </row>
    <row r="216">
      <c r="A216" t="inlineStr">
        <is>
          <t>20260807-8186-454714281</t>
        </is>
      </c>
      <c r="B216" t="n">
        <v>1</v>
      </c>
      <c r="C216" s="2" t="inlineStr">
        <is>
          <t>Антон Климин</t>
        </is>
      </c>
      <c r="D216" s="3" t="n">
        <v>12782</v>
      </c>
      <c r="E216" s="4" t="n">
        <v>0</v>
      </c>
      <c r="F216" t="inlineStr">
        <is>
          <t>Прямые бронирования (стойка) [Чайковский]</t>
        </is>
      </c>
      <c r="G216" s="3">
        <f>ROUND(D216/(100-E216)*100,2)</f>
        <v/>
      </c>
      <c r="H216" s="5" t="n">
        <v>46241.58333333334</v>
      </c>
      <c r="I216" t="n">
        <v>2</v>
      </c>
      <c r="J216" s="3">
        <f>G216/I216</f>
        <v/>
      </c>
      <c r="K216">
        <f>IF(J216&gt;=5100,"ставка","мин.ставка")</f>
        <v/>
      </c>
      <c r="L216" s="3">
        <f>ROUND(IF(K216="мин.ставка",I216*100,G216/102*2),2)</f>
        <v/>
      </c>
      <c r="M216" s="5" t="n">
        <v>46243.5</v>
      </c>
      <c r="N216" t="inlineStr">
        <is>
          <t>TravelLine CMB</t>
        </is>
      </c>
      <c r="O216" s="2" t="inlineStr">
        <is>
          <t>СТАНДАРТНЫЙ ОДНОМЕСТНЫЙ НОМЕР</t>
        </is>
      </c>
      <c r="P216" s="6" t="n"/>
      <c r="R216" t="inlineStr"/>
      <c r="S216" t="inlineStr">
        <is>
          <t>Тариф с завтраком</t>
        </is>
      </c>
      <c r="T216" t="n">
        <v>0</v>
      </c>
      <c r="U216" t="n">
        <v>12782</v>
      </c>
    </row>
    <row r="217">
      <c r="A217" t="inlineStr">
        <is>
          <t>20260922-8186-466199429</t>
        </is>
      </c>
      <c r="B217" t="n">
        <v>1</v>
      </c>
      <c r="C217" s="2" t="inlineStr">
        <is>
          <t>АНТОН КУЗЬМИН</t>
        </is>
      </c>
      <c r="D217" s="3" t="n">
        <v>27921</v>
      </c>
      <c r="E217" s="4" t="n">
        <v>18</v>
      </c>
      <c r="F217" t="inlineStr">
        <is>
          <t>ООО "ТРИВИО СЕРВИС" [Чайковский]</t>
        </is>
      </c>
      <c r="G217" s="3">
        <f>ROUND(D217/(100-E217)*100,2)</f>
        <v/>
      </c>
      <c r="H217" s="5" t="n">
        <v>46287.29166666666</v>
      </c>
      <c r="I217" t="n">
        <v>3</v>
      </c>
      <c r="J217" s="3">
        <f>G217/I217</f>
        <v/>
      </c>
      <c r="K217">
        <f>IF(J217&gt;=5100,"ставка","мин.ставка")</f>
        <v/>
      </c>
      <c r="L217" s="3">
        <f>ROUND(IF(K217="мин.ставка",I217*100,G217/102*2),2)</f>
        <v/>
      </c>
      <c r="M217" s="5" t="n">
        <v>46290.5</v>
      </c>
      <c r="N217" t="inlineStr">
        <is>
          <t>TravelLine TIO</t>
        </is>
      </c>
      <c r="O217" s="2" t="inlineStr">
        <is>
          <t>СТАНДАРТНЫЙ ДВУХМЕСТНЫЙ НОМЕР</t>
        </is>
      </c>
      <c r="P217" s="6" t="n"/>
      <c r="R217" t="inlineStr"/>
      <c r="S217" t="inlineStr">
        <is>
          <t>Тариф с завтраком</t>
        </is>
      </c>
      <c r="T217" t="n">
        <v>9307</v>
      </c>
      <c r="U217" t="n">
        <v>37228</v>
      </c>
    </row>
    <row r="218">
      <c r="A218" t="inlineStr">
        <is>
          <t>20260712-8186-420926544</t>
        </is>
      </c>
      <c r="B218" t="n">
        <v>1</v>
      </c>
      <c r="C218" s="2" t="inlineStr">
        <is>
          <t>Антон Левкович, ИРИНА ЛЕВКОВИЧ</t>
        </is>
      </c>
      <c r="D218" s="3" t="n">
        <v>64080</v>
      </c>
      <c r="E218" s="4" t="n">
        <v>18</v>
      </c>
      <c r="F218" t="inlineStr">
        <is>
          <t>Яндекс.Путешествия [Чайковский]</t>
        </is>
      </c>
      <c r="G218" s="3">
        <f>ROUND(D218/(100-E218)*100,2)</f>
        <v/>
      </c>
      <c r="H218" s="5" t="n">
        <v>46215.58333333334</v>
      </c>
      <c r="I218" t="n">
        <v>6</v>
      </c>
      <c r="J218" s="3">
        <f>G218/I218</f>
        <v/>
      </c>
      <c r="K218">
        <f>IF(J218&gt;=5100,"ставка","мин.ставка")</f>
        <v/>
      </c>
      <c r="L218" s="3">
        <f>ROUND(IF(K218="мин.ставка",I218*100,G218/102*2),2)</f>
        <v/>
      </c>
      <c r="M218" s="5" t="n">
        <v>46221.5</v>
      </c>
      <c r="N218" t="inlineStr">
        <is>
          <t>TravelLine YAX</t>
        </is>
      </c>
      <c r="O218" s="2" t="inlineStr">
        <is>
          <t>СТАНДАРТНЫЙ ДВУХМЕСТНЫЙ НОМЕР</t>
        </is>
      </c>
      <c r="P218" s="6" t="n"/>
      <c r="R218" t="inlineStr"/>
      <c r="S218" t="inlineStr">
        <is>
          <t>Тариф с завтраком</t>
        </is>
      </c>
      <c r="T218" t="n">
        <v>0</v>
      </c>
      <c r="U218" t="n">
        <v>64080</v>
      </c>
    </row>
    <row r="219">
      <c r="A219" t="inlineStr">
        <is>
          <t>20260915-8186-462867776</t>
        </is>
      </c>
      <c r="B219" t="n">
        <v>1</v>
      </c>
      <c r="C219" s="2" t="inlineStr">
        <is>
          <t>Антон Панарин, Елена Гущина</t>
        </is>
      </c>
      <c r="D219" s="3" t="n">
        <v>26180</v>
      </c>
      <c r="E219" s="4" t="n">
        <v>15</v>
      </c>
      <c r="F219" t="inlineStr">
        <is>
          <t>ООО Тинькофф Путешествия [Чайковский]</t>
        </is>
      </c>
      <c r="G219" s="3">
        <f>ROUND(D219/(100-E219)*100,2)</f>
        <v/>
      </c>
      <c r="H219" s="5" t="n">
        <v>46280.91666666666</v>
      </c>
      <c r="I219" t="n">
        <v>2</v>
      </c>
      <c r="J219" s="3">
        <f>G219/I219</f>
        <v/>
      </c>
      <c r="K219">
        <f>IF(J219&gt;=5100,"ставка","мин.ставка")</f>
        <v/>
      </c>
      <c r="L219" s="3">
        <f>ROUND(IF(K219="мин.ставка",I219*100,G219/102*2),2)</f>
        <v/>
      </c>
      <c r="M219" s="5" t="n">
        <v>46282.5</v>
      </c>
      <c r="N219" t="inlineStr">
        <is>
          <t>TravelLine TNK</t>
        </is>
      </c>
      <c r="O219" s="2" t="inlineStr">
        <is>
          <t>УЛУЧШЕННЫЙ ДВУХМЕСТНЫЙ НОМЕР</t>
        </is>
      </c>
      <c r="P219" s="6" t="n"/>
      <c r="R219" t="inlineStr"/>
      <c r="S219" t="inlineStr">
        <is>
          <t>Тариф с завтраком</t>
        </is>
      </c>
      <c r="T219" t="n">
        <v>0</v>
      </c>
      <c r="U219" t="n">
        <v>26180</v>
      </c>
    </row>
    <row r="220">
      <c r="A220" t="inlineStr">
        <is>
          <t>20260713-8186-448881093</t>
        </is>
      </c>
      <c r="B220" t="n">
        <v>1</v>
      </c>
      <c r="C220" s="2" t="inlineStr">
        <is>
          <t>Антон Порядин</t>
        </is>
      </c>
      <c r="D220" s="3" t="n">
        <v>6478</v>
      </c>
      <c r="E220" s="4" t="n">
        <v>18</v>
      </c>
      <c r="F220" t="inlineStr">
        <is>
          <t>ООО "Эй энд Эй" [Чайковский]</t>
        </is>
      </c>
      <c r="G220" s="3">
        <f>ROUND(D220/(100-E220)*100,2)</f>
        <v/>
      </c>
      <c r="H220" s="5" t="n">
        <v>46216.58333333334</v>
      </c>
      <c r="I220" t="n">
        <v>1</v>
      </c>
      <c r="J220" s="3">
        <f>G220/I220</f>
        <v/>
      </c>
      <c r="K220">
        <f>IF(J220&gt;=5100,"ставка","мин.ставка")</f>
        <v/>
      </c>
      <c r="L220" s="3">
        <f>ROUND(IF(K220="мин.ставка",I220*100,G220/102*2),2)</f>
        <v/>
      </c>
      <c r="M220" s="5" t="n">
        <v>46217.5</v>
      </c>
      <c r="N220" t="inlineStr">
        <is>
          <t>TravelLine ANA</t>
        </is>
      </c>
      <c r="O220" s="2" t="inlineStr">
        <is>
          <t>СТАНДАРТНЫЙ ДВУХМЕСТНЫЙ НОМЕР (МАНСАРДА)</t>
        </is>
      </c>
      <c r="P220" s="6" t="n"/>
      <c r="R220" t="inlineStr"/>
      <c r="S220" t="inlineStr">
        <is>
          <t>Тариф с завтраком</t>
        </is>
      </c>
      <c r="T220" t="n">
        <v>0</v>
      </c>
      <c r="U220" t="n">
        <v>6478</v>
      </c>
    </row>
    <row r="221">
      <c r="A221" t="inlineStr">
        <is>
          <t>20260806-8186-450640950</t>
        </is>
      </c>
      <c r="B221" t="n">
        <v>1</v>
      </c>
      <c r="C221" s="2" t="inlineStr">
        <is>
          <t>АНТОН СЕМЕНЦОВ</t>
        </is>
      </c>
      <c r="D221" s="3" t="n">
        <v>28942.5</v>
      </c>
      <c r="E221" s="4" t="n">
        <v>15</v>
      </c>
      <c r="F221" t="inlineStr">
        <is>
          <t>ООО «12Т» (ранее ONE TWO TRIP) [Чайковский]</t>
        </is>
      </c>
      <c r="G221" s="3">
        <f>ROUND(D221/(100-E221)*100,2)</f>
        <v/>
      </c>
      <c r="H221" s="5" t="n">
        <v>46240.58333333334</v>
      </c>
      <c r="I221" t="n">
        <v>3</v>
      </c>
      <c r="J221" s="3">
        <f>G221/I221</f>
        <v/>
      </c>
      <c r="K221">
        <f>IF(J221&gt;=5100,"ставка","мин.ставка")</f>
        <v/>
      </c>
      <c r="L221" s="3">
        <f>ROUND(IF(K221="мин.ставка",I221*100,G221/102*2),2)</f>
        <v/>
      </c>
      <c r="M221" s="5" t="n">
        <v>46243.5</v>
      </c>
      <c r="N221" t="inlineStr">
        <is>
          <t>TravelLine OTT</t>
        </is>
      </c>
      <c r="O221" s="2" t="inlineStr">
        <is>
          <t>СТАНДАРТНЫЙ ДВУХМЕСТНЫЙ НОМЕР</t>
        </is>
      </c>
      <c r="P221" s="6" t="n"/>
      <c r="R221" t="inlineStr"/>
      <c r="S221" t="inlineStr">
        <is>
          <t>Тариф с завтраком</t>
        </is>
      </c>
      <c r="T221" t="n">
        <v>0</v>
      </c>
      <c r="U221" t="n">
        <v>86827.5</v>
      </c>
    </row>
    <row r="222">
      <c r="A222" t="inlineStr">
        <is>
          <t>20260728-8186-452928899</t>
        </is>
      </c>
      <c r="B222" t="n">
        <v>1</v>
      </c>
      <c r="C222" s="2" t="inlineStr">
        <is>
          <t>Антон Тузов</t>
        </is>
      </c>
      <c r="D222" s="3" t="n">
        <v>6320</v>
      </c>
      <c r="E222" s="4" t="n">
        <v>20</v>
      </c>
      <c r="F222" t="inlineStr">
        <is>
          <t>ООО "УК ГЦБ и Т" [Чайковский]</t>
        </is>
      </c>
      <c r="G222" s="3">
        <f>ROUND(D222/(100-E222)*100,2)</f>
        <v/>
      </c>
      <c r="H222" s="5" t="n">
        <v>46231.58333333334</v>
      </c>
      <c r="I222" t="n">
        <v>1</v>
      </c>
      <c r="J222" s="3">
        <f>G222/I222</f>
        <v/>
      </c>
      <c r="K222">
        <f>IF(J222&gt;=5100,"ставка","мин.ставка")</f>
        <v/>
      </c>
      <c r="L222" s="3">
        <f>ROUND(IF(K222="мин.ставка",I222*100,G222/102*2),2)</f>
        <v/>
      </c>
      <c r="M222" s="5" t="n">
        <v>46232.5</v>
      </c>
      <c r="N222" t="inlineStr">
        <is>
          <t>TravelLine CBC</t>
        </is>
      </c>
      <c r="O222" s="2" t="inlineStr">
        <is>
          <t>СТАНДАРТНЫЙ ДВУХМЕСТНЫЙ НОМЕР (МАНСАРДА)</t>
        </is>
      </c>
      <c r="P222" s="6" t="n"/>
      <c r="R222" t="inlineStr"/>
      <c r="S222" t="inlineStr">
        <is>
          <t>Тариф с завтраком</t>
        </is>
      </c>
      <c r="T222" t="n">
        <v>0</v>
      </c>
      <c r="U222" t="n">
        <v>6320</v>
      </c>
    </row>
    <row r="223">
      <c r="A223" t="inlineStr">
        <is>
          <t>20260723-8186-439560864</t>
        </is>
      </c>
      <c r="B223" t="n">
        <v>1</v>
      </c>
      <c r="C223" s="2" t="inlineStr">
        <is>
          <t>Антон Чуйко, Варвара Соловьева</t>
        </is>
      </c>
      <c r="D223" s="3" t="n">
        <v>22695</v>
      </c>
      <c r="E223" s="4" t="n">
        <v>15</v>
      </c>
      <c r="F223" t="inlineStr">
        <is>
          <t>ООО "БРОНИРОВАНИЕ ГОСТИНИЦ" (OSTROVOK) [Чайковский]</t>
        </is>
      </c>
      <c r="G223" s="3">
        <f>ROUND(D223/(100-E223)*100,2)</f>
        <v/>
      </c>
      <c r="H223" s="5" t="n">
        <v>46226.58333333334</v>
      </c>
      <c r="I223" t="n">
        <v>2</v>
      </c>
      <c r="J223" s="3">
        <f>G223/I223</f>
        <v/>
      </c>
      <c r="K223">
        <f>IF(J223&gt;=5100,"ставка","мин.ставка")</f>
        <v/>
      </c>
      <c r="L223" s="3">
        <f>ROUND(IF(K223="мин.ставка",I223*100,G223/102*2),2)</f>
        <v/>
      </c>
      <c r="M223" s="5" t="n">
        <v>46228.5</v>
      </c>
      <c r="N223" t="inlineStr">
        <is>
          <t>TravelLine OTK</t>
        </is>
      </c>
      <c r="O223" s="2" t="inlineStr">
        <is>
          <t>СТАНДАРТНЫЙ ДВУХМЕСТНЫЙ НОМЕР</t>
        </is>
      </c>
      <c r="P223" s="6" t="n"/>
      <c r="R223" t="inlineStr"/>
      <c r="S223" t="inlineStr">
        <is>
          <t>Тариф с завтраком</t>
        </is>
      </c>
      <c r="T223" t="n">
        <v>0</v>
      </c>
      <c r="U223" t="n">
        <v>22695</v>
      </c>
    </row>
    <row r="224">
      <c r="A224" t="inlineStr">
        <is>
          <t>20260711-8186-447668511</t>
        </is>
      </c>
      <c r="B224" t="n">
        <v>1</v>
      </c>
      <c r="C224" s="2" t="inlineStr">
        <is>
          <t>Ариадна Рокоссовская, Юрий Лепский</t>
        </is>
      </c>
      <c r="D224" s="3" t="n">
        <v>12282.5</v>
      </c>
      <c r="E224" s="4" t="n">
        <v>15</v>
      </c>
      <c r="F224" t="inlineStr">
        <is>
          <t>ООО "БРОНИРОВАНИЕ ГОСТИНИЦ" (OSTROVOK) [Чайковский]</t>
        </is>
      </c>
      <c r="G224" s="3">
        <f>ROUND(D224/(100-E224)*100,2)</f>
        <v/>
      </c>
      <c r="H224" s="5" t="n">
        <v>46214.58333333334</v>
      </c>
      <c r="I224" t="n">
        <v>1</v>
      </c>
      <c r="J224" s="3">
        <f>G224/I224</f>
        <v/>
      </c>
      <c r="K224">
        <f>IF(J224&gt;=5100,"ставка","мин.ставка")</f>
        <v/>
      </c>
      <c r="L224" s="3">
        <f>ROUND(IF(K224="мин.ставка",I224*100,G224/102*2),2)</f>
        <v/>
      </c>
      <c r="M224" s="5" t="n">
        <v>46215.5</v>
      </c>
      <c r="N224" t="inlineStr">
        <is>
          <t>TravelLine OTK</t>
        </is>
      </c>
      <c r="O224" s="2" t="inlineStr">
        <is>
          <t>СЕМЕЙНЫЙ НОМЕР КАТЕГОРИИ "СТАНДАРТ" ВТОРОЙ КОРПУС</t>
        </is>
      </c>
      <c r="P224" s="6" t="n"/>
      <c r="R224" t="inlineStr"/>
      <c r="S224" t="inlineStr">
        <is>
          <t>Тариф с завтраком</t>
        </is>
      </c>
      <c r="T224" t="n">
        <v>0</v>
      </c>
      <c r="U224" t="n">
        <v>12282.5</v>
      </c>
    </row>
    <row r="225">
      <c r="A225" t="inlineStr">
        <is>
          <t>20260904-8186-461720395</t>
        </is>
      </c>
      <c r="B225" t="n">
        <v>1</v>
      </c>
      <c r="C225" s="2" t="inlineStr">
        <is>
          <t>Арина Глебова</t>
        </is>
      </c>
      <c r="D225" s="3" t="n">
        <v>36320</v>
      </c>
      <c r="E225" s="4" t="n">
        <v>20</v>
      </c>
      <c r="F225" t="inlineStr">
        <is>
          <t>ООО "КОМПАНИЯ БРОНЕВИК" [Чайковский]</t>
        </is>
      </c>
      <c r="G225" s="3">
        <f>ROUND(D225/(100-E225)*100,2)</f>
        <v/>
      </c>
      <c r="H225" s="5" t="n">
        <v>46269.58333333334</v>
      </c>
      <c r="I225" t="n">
        <v>4</v>
      </c>
      <c r="J225" s="3">
        <f>G225/I225</f>
        <v/>
      </c>
      <c r="K225">
        <f>IF(J225&gt;=5100,"ставка","мин.ставка")</f>
        <v/>
      </c>
      <c r="L225" s="3">
        <f>ROUND(IF(K225="мин.ставка",I225*100,G225/102*2),2)</f>
        <v/>
      </c>
      <c r="M225" s="5" t="n">
        <v>46273.5</v>
      </c>
      <c r="N225" t="inlineStr">
        <is>
          <t>TravelLine BR2</t>
        </is>
      </c>
      <c r="O225" s="2" t="inlineStr">
        <is>
          <t>СТАНДАРТНЫЙ ДВУХМЕСТНЫЙ НОМЕР</t>
        </is>
      </c>
      <c r="P225" s="6" t="n"/>
      <c r="R225" t="inlineStr"/>
      <c r="S225" t="inlineStr">
        <is>
          <t>Тариф с завтраком</t>
        </is>
      </c>
      <c r="T225" t="n">
        <v>0</v>
      </c>
      <c r="U225" t="n">
        <v>36320</v>
      </c>
    </row>
    <row r="226">
      <c r="A226" t="inlineStr">
        <is>
          <t>20260824-8186-408385125</t>
        </is>
      </c>
      <c r="B226" t="n">
        <v>1</v>
      </c>
      <c r="C226" s="2" t="inlineStr">
        <is>
          <t>Арина Николаенкова</t>
        </is>
      </c>
      <c r="D226" s="3" t="n">
        <v>47281.5</v>
      </c>
      <c r="E226" s="4" t="n">
        <v>4</v>
      </c>
      <c r="F226" t="inlineStr">
        <is>
          <t>TravelLine Booking Engine [Чайковский]</t>
        </is>
      </c>
      <c r="G226" s="3">
        <f>ROUND(D226/(100-E226)*100,2)</f>
        <v/>
      </c>
      <c r="H226" s="5" t="n">
        <v>46258.58333333334</v>
      </c>
      <c r="I226" t="n">
        <v>6</v>
      </c>
      <c r="J226" s="3">
        <f>G226/I226</f>
        <v/>
      </c>
      <c r="K226">
        <f>IF(J226&gt;=5100,"ставка","мин.ставка")</f>
        <v/>
      </c>
      <c r="L226" s="3">
        <f>ROUND(IF(K226="мин.ставка",I226*100,G226/102*2),2)</f>
        <v/>
      </c>
      <c r="M226" s="5" t="n">
        <v>46264.5</v>
      </c>
      <c r="N226" t="inlineStr">
        <is>
          <t>TravelLine сайт</t>
        </is>
      </c>
      <c r="O226" s="2" t="inlineStr">
        <is>
          <t>СТАНДАРТНЫЙ ДВУХМЕСТНЫЙ НОМЕР (МАНСАРДА)</t>
        </is>
      </c>
      <c r="P226" s="6" t="n"/>
      <c r="R226" t="inlineStr"/>
      <c r="S226" t="inlineStr">
        <is>
          <t>Тариф с завтраком</t>
        </is>
      </c>
      <c r="T226" t="n">
        <v>0</v>
      </c>
      <c r="U226" t="n">
        <v>47281.5</v>
      </c>
    </row>
    <row r="227">
      <c r="A227" t="inlineStr">
        <is>
          <t>20260929-8186-467723154</t>
        </is>
      </c>
      <c r="B227" t="n">
        <v>1</v>
      </c>
      <c r="C227" s="2" t="inlineStr">
        <is>
          <t>Аркадий Лурье, Ангелина Лурье</t>
        </is>
      </c>
      <c r="D227" s="3" t="n">
        <v>61625</v>
      </c>
      <c r="E227" s="4" t="n">
        <v>0</v>
      </c>
      <c r="F227" t="inlineStr">
        <is>
          <t>ООО "АЛЕАН ОТДЫХ" [Чайковский]</t>
        </is>
      </c>
      <c r="G227" s="3">
        <f>ROUND(D227/(100-E227)*100,2)</f>
        <v/>
      </c>
      <c r="H227" s="5" t="n">
        <v>46294.58333333334</v>
      </c>
      <c r="I227" t="n">
        <v>6</v>
      </c>
      <c r="J227" s="3">
        <f>G227/I227</f>
        <v/>
      </c>
      <c r="K227">
        <f>IF(J227&gt;=5100,"ставка","мин.ставка")</f>
        <v/>
      </c>
      <c r="L227" s="3">
        <f>ROUND(IF(K227="мин.ставка",I227*100,G227/102*2),2)</f>
        <v/>
      </c>
      <c r="M227" s="5" t="n">
        <v>46300.5</v>
      </c>
      <c r="N227" t="inlineStr">
        <is>
          <t>TravelLine ALN</t>
        </is>
      </c>
      <c r="O227" s="2" t="inlineStr">
        <is>
          <t>СТАНДАРТНЫЙ ДВУХМЕСТНЫЙ НОМЕР</t>
        </is>
      </c>
      <c r="P227" s="6" t="n"/>
      <c r="R227" t="inlineStr"/>
      <c r="S227" t="inlineStr">
        <is>
          <t>Тариф с завтраком</t>
        </is>
      </c>
      <c r="T227" t="n">
        <v>0</v>
      </c>
      <c r="U227" t="n">
        <v>61625</v>
      </c>
    </row>
    <row r="228">
      <c r="A228" t="inlineStr">
        <is>
          <t>20260728-8186-453751353</t>
        </is>
      </c>
      <c r="B228" t="n">
        <v>1</v>
      </c>
      <c r="C228" s="2" t="inlineStr">
        <is>
          <t>аркадий плява</t>
        </is>
      </c>
      <c r="D228" s="3" t="n">
        <v>8900</v>
      </c>
      <c r="E228" s="4" t="n">
        <v>0</v>
      </c>
      <c r="F228" t="inlineStr">
        <is>
          <t>Прямые бронирования (стойка) [Чайковский]</t>
        </is>
      </c>
      <c r="G228" s="3">
        <f>ROUND(D228/(100-E228)*100,2)</f>
        <v/>
      </c>
      <c r="H228" s="5" t="n">
        <v>46231.58333333334</v>
      </c>
      <c r="I228" t="n">
        <v>1</v>
      </c>
      <c r="J228" s="3">
        <f>G228/I228</f>
        <v/>
      </c>
      <c r="K228">
        <f>IF(J228&gt;=5100,"ставка","мин.ставка")</f>
        <v/>
      </c>
      <c r="L228" s="3">
        <f>ROUND(IF(K228="мин.ставка",I228*100,G228/102*2),2)</f>
        <v/>
      </c>
      <c r="M228" s="5" t="n">
        <v>46232.5</v>
      </c>
      <c r="N228" t="inlineStr">
        <is>
          <t>TravelLine ресепшн</t>
        </is>
      </c>
      <c r="O228" s="2" t="inlineStr">
        <is>
          <t>СТАНДАРТНЫЙ ДВУХМЕСТНЫЙ НОМЕР</t>
        </is>
      </c>
      <c r="P228" s="6" t="n"/>
      <c r="R228" t="inlineStr"/>
      <c r="S228" t="inlineStr">
        <is>
          <t>Тариф с завтраком</t>
        </is>
      </c>
      <c r="T228" t="n">
        <v>0</v>
      </c>
      <c r="U228" t="n">
        <v>8900</v>
      </c>
    </row>
    <row r="229">
      <c r="A229" t="inlineStr">
        <is>
          <t>20260925-8186-468345543</t>
        </is>
      </c>
      <c r="B229" t="n">
        <v>1</v>
      </c>
      <c r="C229" s="2" t="inlineStr">
        <is>
          <t>Арсен Силанян, Юлия Егорова</t>
        </is>
      </c>
      <c r="D229" s="3" t="n">
        <v>14002.05</v>
      </c>
      <c r="E229" s="4" t="n">
        <v>4</v>
      </c>
      <c r="F229" t="inlineStr">
        <is>
          <t>TravelLine Booking Engine [Чайковский]</t>
        </is>
      </c>
      <c r="G229" s="3">
        <f>ROUND(D229/(100-E229)*100,2)</f>
        <v/>
      </c>
      <c r="H229" s="5" t="n">
        <v>46290.58333333334</v>
      </c>
      <c r="I229" t="n">
        <v>1</v>
      </c>
      <c r="J229" s="3">
        <f>G229/I229</f>
        <v/>
      </c>
      <c r="K229">
        <f>IF(J229&gt;=5100,"ставка","мин.ставка")</f>
        <v/>
      </c>
      <c r="L229" s="3">
        <f>ROUND(IF(K229="мин.ставка",I229*100,G229/102*2),2)</f>
        <v/>
      </c>
      <c r="M229" s="5" t="n">
        <v>46291.5</v>
      </c>
      <c r="N229" t="inlineStr">
        <is>
          <t>TravelLine сайт</t>
        </is>
      </c>
      <c r="O229" s="2" t="inlineStr">
        <is>
          <t>СЕМЕЙНЫЙ НОМЕР КАТЕГОРИИ "СТАНДАРТ" ВТОРОЙ КОРПУС</t>
        </is>
      </c>
      <c r="P229" s="6" t="n"/>
      <c r="R229" t="inlineStr"/>
      <c r="S229" t="inlineStr">
        <is>
          <t>Тариф с завтраком</t>
        </is>
      </c>
      <c r="T229" t="n">
        <v>0</v>
      </c>
      <c r="U229" t="n">
        <v>14002.05</v>
      </c>
    </row>
    <row r="230">
      <c r="A230" t="inlineStr">
        <is>
          <t>20260807-8186-455506727</t>
        </is>
      </c>
      <c r="B230" t="n">
        <v>1</v>
      </c>
      <c r="C230" s="2" t="inlineStr">
        <is>
          <t>Арсений Молотков, Екатерина Молоткова</t>
        </is>
      </c>
      <c r="D230" s="3" t="n">
        <v>8217</v>
      </c>
      <c r="E230" s="4" t="n">
        <v>18</v>
      </c>
      <c r="F230" t="inlineStr">
        <is>
          <t>Яндекс.Путешествия [Чайковский]</t>
        </is>
      </c>
      <c r="G230" s="3">
        <f>ROUND(D230/(100-E230)*100,2)</f>
        <v/>
      </c>
      <c r="H230" s="5" t="n">
        <v>46241.58333333334</v>
      </c>
      <c r="I230" t="n">
        <v>1</v>
      </c>
      <c r="J230" s="3">
        <f>G230/I230</f>
        <v/>
      </c>
      <c r="K230">
        <f>IF(J230&gt;=5100,"ставка","мин.ставка")</f>
        <v/>
      </c>
      <c r="L230" s="3">
        <f>ROUND(IF(K230="мин.ставка",I230*100,G230/102*2),2)</f>
        <v/>
      </c>
      <c r="M230" s="5" t="n">
        <v>46242.5</v>
      </c>
      <c r="N230" t="inlineStr">
        <is>
          <t>TravelLine YAX</t>
        </is>
      </c>
      <c r="O230" s="2" t="inlineStr">
        <is>
          <t>СТАНДАРТНЫЙ ДВУХМЕСТНЫЙ НОМЕР (МАНСАРДА)</t>
        </is>
      </c>
      <c r="P230" s="6" t="n"/>
      <c r="R230" t="inlineStr"/>
      <c r="S230" t="inlineStr">
        <is>
          <t>Тариф с завтраком</t>
        </is>
      </c>
      <c r="T230" t="n">
        <v>0</v>
      </c>
      <c r="U230" t="n">
        <v>8217</v>
      </c>
    </row>
    <row r="231">
      <c r="A231" t="inlineStr">
        <is>
          <t>20260821-8186-445193379</t>
        </is>
      </c>
      <c r="B231" t="n">
        <v>1</v>
      </c>
      <c r="C231" s="2" t="inlineStr">
        <is>
          <t>Артем Белоногов</t>
        </is>
      </c>
      <c r="D231" s="3" t="n">
        <v>6764</v>
      </c>
      <c r="E231" s="4" t="n">
        <v>17</v>
      </c>
      <c r="F231" t="inlineStr">
        <is>
          <t>ООО «Интернет Трэвел» (OZON) [Чайковский]</t>
        </is>
      </c>
      <c r="G231" s="3">
        <f>ROUND(D231/(100-E231)*100,2)</f>
        <v/>
      </c>
      <c r="H231" s="5" t="n">
        <v>46255.58333333334</v>
      </c>
      <c r="I231" t="n">
        <v>1</v>
      </c>
      <c r="J231" s="3">
        <f>G231/I231</f>
        <v/>
      </c>
      <c r="K231">
        <f>IF(J231&gt;=5100,"ставка","мин.ставка")</f>
        <v/>
      </c>
      <c r="L231" s="3">
        <f>ROUND(IF(K231="мин.ставка",I231*100,G231/102*2),2)</f>
        <v/>
      </c>
      <c r="M231" s="5" t="n">
        <v>46256.5</v>
      </c>
      <c r="N231" t="inlineStr">
        <is>
          <t>TravelLine OZ2</t>
        </is>
      </c>
      <c r="O231" s="2" t="inlineStr">
        <is>
          <t>СТАНДАРТНЫЙ ДВУХМЕСТНЫЙ НОМЕР (МАНСАРДА)</t>
        </is>
      </c>
      <c r="P231" s="6" t="n"/>
      <c r="R231" t="inlineStr"/>
      <c r="S231" t="inlineStr">
        <is>
          <t>Тариф с завтраком</t>
        </is>
      </c>
      <c r="T231" t="n">
        <v>0</v>
      </c>
      <c r="U231" t="n">
        <v>6764</v>
      </c>
    </row>
    <row r="232">
      <c r="A232" t="inlineStr">
        <is>
          <t>20260822-8186-445188441</t>
        </is>
      </c>
      <c r="B232" t="n">
        <v>1</v>
      </c>
      <c r="C232" s="2" t="inlineStr">
        <is>
          <t>Артем Белоногов</t>
        </is>
      </c>
      <c r="D232" s="3" t="n">
        <v>6557</v>
      </c>
      <c r="E232" s="4" t="n">
        <v>17</v>
      </c>
      <c r="F232" t="inlineStr">
        <is>
          <t>ООО «Интернет Трэвел» (OZON) [Чайковский]</t>
        </is>
      </c>
      <c r="G232" s="3">
        <f>ROUND(D232/(100-E232)*100,2)</f>
        <v/>
      </c>
      <c r="H232" s="5" t="n">
        <v>46256.58333333334</v>
      </c>
      <c r="I232" t="n">
        <v>1</v>
      </c>
      <c r="J232" s="3">
        <f>G232/I232</f>
        <v/>
      </c>
      <c r="K232">
        <f>IF(J232&gt;=5100,"ставка","мин.ставка")</f>
        <v/>
      </c>
      <c r="L232" s="3">
        <f>ROUND(IF(K232="мин.ставка",I232*100,G232/102*2),2)</f>
        <v/>
      </c>
      <c r="M232" s="5" t="n">
        <v>46257.5</v>
      </c>
      <c r="N232" t="inlineStr">
        <is>
          <t>TravelLine OZ2</t>
        </is>
      </c>
      <c r="O232" s="2" t="inlineStr">
        <is>
          <t>СТАНДАРТНЫЙ ДВУХМЕСТНЫЙ НОМЕР (МАНСАРДА)</t>
        </is>
      </c>
      <c r="P232" s="6" t="n"/>
      <c r="R232" t="inlineStr"/>
      <c r="S232" t="inlineStr">
        <is>
          <t>Тариф с завтраком</t>
        </is>
      </c>
      <c r="T232" t="n">
        <v>0</v>
      </c>
      <c r="U232" t="n">
        <v>6557</v>
      </c>
    </row>
    <row r="233">
      <c r="A233" t="inlineStr">
        <is>
          <t>20260930-8186-466726157</t>
        </is>
      </c>
      <c r="B233" t="n">
        <v>1</v>
      </c>
      <c r="C233" s="2" t="inlineStr">
        <is>
          <t>АРТЕМ ВОРОБЕЙ-РОМАНОВ</t>
        </is>
      </c>
      <c r="D233" s="3" t="n">
        <v>11680</v>
      </c>
      <c r="E233" s="4" t="n">
        <v>20</v>
      </c>
      <c r="F233" t="inlineStr">
        <is>
          <t>ООО "ХБ-ПРО" [Чайковский]</t>
        </is>
      </c>
      <c r="G233" s="3">
        <f>ROUND(D233/(100-E233)*100,2)</f>
        <v/>
      </c>
      <c r="H233" s="5" t="n">
        <v>46295.58333333334</v>
      </c>
      <c r="I233" t="n">
        <v>2</v>
      </c>
      <c r="J233" s="3">
        <f>G233/I233</f>
        <v/>
      </c>
      <c r="K233">
        <f>IF(J233&gt;=5100,"ставка","мин.ставка")</f>
        <v/>
      </c>
      <c r="L233" s="3">
        <f>ROUND(IF(K233="мин.ставка",I233*100,G233/102*2),2)</f>
        <v/>
      </c>
      <c r="M233" s="5" t="n">
        <v>46297.5</v>
      </c>
      <c r="N233" t="inlineStr">
        <is>
          <t>TravelLine UTS</t>
        </is>
      </c>
      <c r="O233" s="2" t="inlineStr">
        <is>
          <t>СТАНДАРТНЫЙ ОДНОМЕСТНЫЙ НОМЕР</t>
        </is>
      </c>
      <c r="P233" s="6" t="n"/>
      <c r="R233" t="inlineStr"/>
      <c r="S233" t="inlineStr">
        <is>
          <t>Тариф с завтраком</t>
        </is>
      </c>
      <c r="T233" t="n">
        <v>0</v>
      </c>
      <c r="U233" t="n">
        <v>11680</v>
      </c>
    </row>
    <row r="234">
      <c r="A234" t="inlineStr">
        <is>
          <t>20260922-8186-467596417</t>
        </is>
      </c>
      <c r="B234" t="n">
        <v>1</v>
      </c>
      <c r="C234" s="2" t="inlineStr">
        <is>
          <t>Артем Дертев, Виринея Дертева</t>
        </is>
      </c>
      <c r="D234" s="3" t="n">
        <v>21945</v>
      </c>
      <c r="E234" s="4" t="n">
        <v>18</v>
      </c>
      <c r="F234" t="inlineStr">
        <is>
          <t>Яндекс.Путешествия [Чайковский]</t>
        </is>
      </c>
      <c r="G234" s="3">
        <f>ROUND(D234/(100-E234)*100,2)</f>
        <v/>
      </c>
      <c r="H234" s="5" t="n">
        <v>46287.58333333334</v>
      </c>
      <c r="I234" t="n">
        <v>2</v>
      </c>
      <c r="J234" s="3">
        <f>G234/I234</f>
        <v/>
      </c>
      <c r="K234">
        <f>IF(J234&gt;=5100,"ставка","мин.ставка")</f>
        <v/>
      </c>
      <c r="L234" s="3">
        <f>ROUND(IF(K234="мин.ставка",I234*100,G234/102*2),2)</f>
        <v/>
      </c>
      <c r="M234" s="5" t="n">
        <v>46289.5</v>
      </c>
      <c r="N234" t="inlineStr">
        <is>
          <t>TravelLine YAX</t>
        </is>
      </c>
      <c r="O234" s="2" t="inlineStr">
        <is>
          <t>УЛУЧШЕННЫЙ ДВУХМЕСТНЫЙ НОМЕР</t>
        </is>
      </c>
      <c r="P234" s="6" t="n"/>
      <c r="R234" t="inlineStr"/>
      <c r="S234" t="inlineStr">
        <is>
          <t>Тариф с завтраком</t>
        </is>
      </c>
      <c r="T234" t="n">
        <v>0</v>
      </c>
      <c r="U234" t="n">
        <v>21945</v>
      </c>
    </row>
    <row r="235">
      <c r="A235" t="inlineStr">
        <is>
          <t>20260727-8186-447561905</t>
        </is>
      </c>
      <c r="B235" t="n">
        <v>1</v>
      </c>
      <c r="C235" s="2" t="inlineStr">
        <is>
          <t>Артём Зельдич, Анастасия Кондратьева</t>
        </is>
      </c>
      <c r="D235" s="3" t="n">
        <v>40584</v>
      </c>
      <c r="E235" s="4" t="n">
        <v>18</v>
      </c>
      <c r="F235" t="inlineStr">
        <is>
          <t>Яндекс.Путешествия [Чайковский]</t>
        </is>
      </c>
      <c r="G235" s="3">
        <f>ROUND(D235/(100-E235)*100,2)</f>
        <v/>
      </c>
      <c r="H235" s="5" t="n">
        <v>46230.58333333334</v>
      </c>
      <c r="I235" t="n">
        <v>4</v>
      </c>
      <c r="J235" s="3">
        <f>G235/I235</f>
        <v/>
      </c>
      <c r="K235">
        <f>IF(J235&gt;=5100,"ставка","мин.ставка")</f>
        <v/>
      </c>
      <c r="L235" s="3">
        <f>ROUND(IF(K235="мин.ставка",I235*100,G235/102*2),2)</f>
        <v/>
      </c>
      <c r="M235" s="5" t="n">
        <v>46234.5</v>
      </c>
      <c r="N235" t="inlineStr">
        <is>
          <t>TravelLine YAX</t>
        </is>
      </c>
      <c r="O235" s="2" t="inlineStr">
        <is>
          <t>СТАНДАРТНЫЙ ДВУХМЕСТНЫЙ НОМЕР</t>
        </is>
      </c>
      <c r="P235" s="6" t="n"/>
      <c r="R235" t="inlineStr"/>
      <c r="S235" t="inlineStr">
        <is>
          <t>Тариф с завтраком</t>
        </is>
      </c>
      <c r="T235" t="n">
        <v>0</v>
      </c>
      <c r="U235" t="n">
        <v>40584</v>
      </c>
    </row>
    <row r="236">
      <c r="A236" t="inlineStr">
        <is>
          <t>20260803-8186-450274713</t>
        </is>
      </c>
      <c r="B236" t="n">
        <v>1</v>
      </c>
      <c r="C236" s="2" t="inlineStr">
        <is>
          <t>Артем Кавалерян</t>
        </is>
      </c>
      <c r="D236" s="3" t="n">
        <v>124679.75</v>
      </c>
      <c r="E236" s="4" t="n">
        <v>4</v>
      </c>
      <c r="F236" t="inlineStr">
        <is>
          <t>TravelLine Booking Engine [Чайковский]</t>
        </is>
      </c>
      <c r="G236" s="3">
        <f>ROUND(D236/(100-E236)*100,2)</f>
        <v/>
      </c>
      <c r="H236" s="5" t="n">
        <v>46237.58333333334</v>
      </c>
      <c r="I236" t="n">
        <v>11</v>
      </c>
      <c r="J236" s="3">
        <f>G236/I236</f>
        <v/>
      </c>
      <c r="K236">
        <f>IF(J236&gt;=5100,"ставка","мин.ставка")</f>
        <v/>
      </c>
      <c r="L236" s="3">
        <f>ROUND(IF(K236="мин.ставка",I236*100,G236/102*2),2)</f>
        <v/>
      </c>
      <c r="M236" s="5" t="n">
        <v>46248.5</v>
      </c>
      <c r="N236" t="inlineStr">
        <is>
          <t>TravelLine сайт</t>
        </is>
      </c>
      <c r="O236" s="2" t="inlineStr">
        <is>
          <t>СТАНДАРТНЫЙ ДВУХМЕСТНЫЙ НОМЕР</t>
        </is>
      </c>
      <c r="P236" s="6" t="n"/>
      <c r="R236" t="inlineStr"/>
      <c r="S236" t="inlineStr">
        <is>
          <t>Тариф с завтраком</t>
        </is>
      </c>
      <c r="T236" t="n">
        <v>2640</v>
      </c>
      <c r="U236" t="n">
        <v>127319.75</v>
      </c>
    </row>
    <row r="237">
      <c r="A237" t="inlineStr">
        <is>
          <t>20260828-8186-459849342</t>
        </is>
      </c>
      <c r="B237" t="n">
        <v>1</v>
      </c>
      <c r="C237" s="2" t="inlineStr">
        <is>
          <t>Артём Калинин, Александра Конторина</t>
        </is>
      </c>
      <c r="D237" s="3" t="n">
        <v>21360</v>
      </c>
      <c r="E237" s="4" t="n">
        <v>20</v>
      </c>
      <c r="F237" t="inlineStr">
        <is>
          <t>ООО "КОМПАНИЯ БРОНЕВИК" [Чайковский]</t>
        </is>
      </c>
      <c r="G237" s="3">
        <f>ROUND(D237/(100-E237)*100,2)</f>
        <v/>
      </c>
      <c r="H237" s="5" t="n">
        <v>46262.58333333334</v>
      </c>
      <c r="I237" t="n">
        <v>2</v>
      </c>
      <c r="J237" s="3">
        <f>G237/I237</f>
        <v/>
      </c>
      <c r="K237">
        <f>IF(J237&gt;=5100,"ставка","мин.ставка")</f>
        <v/>
      </c>
      <c r="L237" s="3">
        <f>ROUND(IF(K237="мин.ставка",I237*100,G237/102*2),2)</f>
        <v/>
      </c>
      <c r="M237" s="5" t="n">
        <v>46264.5</v>
      </c>
      <c r="N237" t="inlineStr">
        <is>
          <t>TravelLine BR2</t>
        </is>
      </c>
      <c r="O237" s="2" t="inlineStr">
        <is>
          <t>СТАНДАРТНЫЙ ДВУХМЕСТНЫЙ НОМЕР</t>
        </is>
      </c>
      <c r="P237" s="6" t="n"/>
      <c r="R237" t="inlineStr"/>
      <c r="S237" t="inlineStr">
        <is>
          <t>Тариф с завтраком</t>
        </is>
      </c>
      <c r="T237" t="n">
        <v>0</v>
      </c>
      <c r="U237" t="n">
        <v>21360</v>
      </c>
    </row>
    <row r="238">
      <c r="A238" t="inlineStr">
        <is>
          <t>20260918-8186-466399590</t>
        </is>
      </c>
      <c r="B238" t="n">
        <v>1</v>
      </c>
      <c r="C238" s="2" t="inlineStr">
        <is>
          <t>АРТЁМ КИРИЧЕНКО, Виолетта Хисамова</t>
        </is>
      </c>
      <c r="D238" s="3" t="n">
        <v>17248.2</v>
      </c>
      <c r="E238" s="4" t="n">
        <v>4</v>
      </c>
      <c r="F238" t="inlineStr">
        <is>
          <t>TravelLine Booking Engine [Чайковский]</t>
        </is>
      </c>
      <c r="G238" s="3">
        <f>ROUND(D238/(100-E238)*100,2)</f>
        <v/>
      </c>
      <c r="H238" s="5" t="n">
        <v>46283.58333333334</v>
      </c>
      <c r="I238" t="n">
        <v>1</v>
      </c>
      <c r="J238" s="3">
        <f>G238/I238</f>
        <v/>
      </c>
      <c r="K238">
        <f>IF(J238&gt;=5100,"ставка","мин.ставка")</f>
        <v/>
      </c>
      <c r="L238" s="3">
        <f>ROUND(IF(K238="мин.ставка",I238*100,G238/102*2),2)</f>
        <v/>
      </c>
      <c r="M238" s="5" t="n">
        <v>46284.5</v>
      </c>
      <c r="N238" t="inlineStr">
        <is>
          <t>TravelLine сайт</t>
        </is>
      </c>
      <c r="O238" s="2" t="inlineStr">
        <is>
          <t>ЛЮКС ВТОРОЙ КОРПУС</t>
        </is>
      </c>
      <c r="P238" s="6" t="n"/>
      <c r="R238" t="inlineStr"/>
      <c r="S238" t="inlineStr">
        <is>
          <t>Тариф с завтраком</t>
        </is>
      </c>
      <c r="T238" t="n">
        <v>0</v>
      </c>
      <c r="U238" t="n">
        <v>17248.2</v>
      </c>
    </row>
    <row r="239">
      <c r="A239" t="inlineStr">
        <is>
          <t>20260727-8186-449472645</t>
        </is>
      </c>
      <c r="B239" t="n">
        <v>1</v>
      </c>
      <c r="C239" s="2" t="inlineStr">
        <is>
          <t>Артем Лисичкин, Полина Григорьева</t>
        </is>
      </c>
      <c r="D239" s="3" t="n">
        <v>8217</v>
      </c>
      <c r="E239" s="4" t="n">
        <v>17</v>
      </c>
      <c r="F239" t="inlineStr">
        <is>
          <t>ООО «Дубль Гис» (OTELLO) [Чайковский]</t>
        </is>
      </c>
      <c r="G239" s="3">
        <f>ROUND(D239/(100-E239)*100,2)</f>
        <v/>
      </c>
      <c r="H239" s="5" t="n">
        <v>46230.58333333334</v>
      </c>
      <c r="I239" t="n">
        <v>1</v>
      </c>
      <c r="J239" s="3">
        <f>G239/I239</f>
        <v/>
      </c>
      <c r="K239">
        <f>IF(J239&gt;=5100,"ставка","мин.ставка")</f>
        <v/>
      </c>
      <c r="L239" s="3">
        <f>ROUND(IF(K239="мин.ставка",I239*100,G239/102*2),2)</f>
        <v/>
      </c>
      <c r="M239" s="5" t="n">
        <v>46231.5</v>
      </c>
      <c r="N239" t="inlineStr">
        <is>
          <t>TravelLine OL2</t>
        </is>
      </c>
      <c r="O239" s="2" t="inlineStr">
        <is>
          <t>СТАНДАРТНЫЙ ДВУХМЕСТНЫЙ НОМЕР (МАНСАРДА)</t>
        </is>
      </c>
      <c r="P239" s="6" t="n"/>
      <c r="R239" t="inlineStr"/>
      <c r="S239" t="inlineStr">
        <is>
          <t>Тариф с завтраком</t>
        </is>
      </c>
      <c r="T239" t="n">
        <v>0</v>
      </c>
      <c r="U239" t="n">
        <v>8217</v>
      </c>
    </row>
    <row r="240">
      <c r="A240" t="inlineStr">
        <is>
          <t>20260829-8186-462311294</t>
        </is>
      </c>
      <c r="B240" t="n">
        <v>1</v>
      </c>
      <c r="C240" s="2" t="inlineStr">
        <is>
          <t>Артем Соколовский, ЮЛИЯ СОКОЛОВСКАЯ</t>
        </is>
      </c>
      <c r="D240" s="3" t="n">
        <v>12015</v>
      </c>
      <c r="E240" s="4" t="n">
        <v>0</v>
      </c>
      <c r="F240" t="inlineStr">
        <is>
          <t>Прямые бронирования (стойка) [Чайковский]</t>
        </is>
      </c>
      <c r="G240" s="3">
        <f>ROUND(D240/(100-E240)*100,2)</f>
        <v/>
      </c>
      <c r="H240" s="5" t="n">
        <v>46263.58333333334</v>
      </c>
      <c r="I240" t="n">
        <v>1</v>
      </c>
      <c r="J240" s="3">
        <f>G240/I240</f>
        <v/>
      </c>
      <c r="K240">
        <f>IF(J240&gt;=5100,"ставка","мин.ставка")</f>
        <v/>
      </c>
      <c r="L240" s="3">
        <f>ROUND(IF(K240="мин.ставка",I240*100,G240/102*2),2)</f>
        <v/>
      </c>
      <c r="M240" s="5" t="n">
        <v>46264.5</v>
      </c>
      <c r="N240" t="inlineStr">
        <is>
          <t>TravelLine ресепшн</t>
        </is>
      </c>
      <c r="O240" s="2" t="inlineStr">
        <is>
          <t>СТАНДАРТНЫЙ ДВУХМЕСТНЫЙ НОМЕР</t>
        </is>
      </c>
      <c r="P240" s="6" t="n"/>
      <c r="R240" t="inlineStr"/>
      <c r="S240" t="inlineStr">
        <is>
          <t>Тариф с завтраком</t>
        </is>
      </c>
      <c r="T240" t="n">
        <v>0</v>
      </c>
      <c r="U240" t="n">
        <v>12015</v>
      </c>
    </row>
    <row r="241">
      <c r="A241" t="inlineStr">
        <is>
          <t>20260717-8186-443674528</t>
        </is>
      </c>
      <c r="B241" t="n">
        <v>1</v>
      </c>
      <c r="C241" s="2" t="inlineStr">
        <is>
          <t>АРТЕМ СПИВАКОВ, ЭММА СПИВАКОВА</t>
        </is>
      </c>
      <c r="D241" s="3" t="n">
        <v>21360</v>
      </c>
      <c r="E241" s="4" t="n">
        <v>18</v>
      </c>
      <c r="F241" t="inlineStr">
        <is>
          <t>Яндекс.Путешествия [Чайковский]</t>
        </is>
      </c>
      <c r="G241" s="3">
        <f>ROUND(D241/(100-E241)*100,2)</f>
        <v/>
      </c>
      <c r="H241" s="5" t="n">
        <v>46220.58333333334</v>
      </c>
      <c r="I241" t="n">
        <v>2</v>
      </c>
      <c r="J241" s="3">
        <f>G241/I241</f>
        <v/>
      </c>
      <c r="K241">
        <f>IF(J241&gt;=5100,"ставка","мин.ставка")</f>
        <v/>
      </c>
      <c r="L241" s="3">
        <f>ROUND(IF(K241="мин.ставка",I241*100,G241/102*2),2)</f>
        <v/>
      </c>
      <c r="M241" s="5" t="n">
        <v>46222.5</v>
      </c>
      <c r="N241" t="inlineStr">
        <is>
          <t>TravelLine YAX</t>
        </is>
      </c>
      <c r="O241" s="2" t="inlineStr">
        <is>
          <t>СТАНДАРТНЫЙ ДВУХМЕСТНЫЙ НОМЕР</t>
        </is>
      </c>
      <c r="P241" s="6" t="n"/>
      <c r="R241" t="inlineStr"/>
      <c r="S241" t="inlineStr">
        <is>
          <t>Тариф с завтраком</t>
        </is>
      </c>
      <c r="T241" t="n">
        <v>0</v>
      </c>
      <c r="U241" t="n">
        <v>21360</v>
      </c>
    </row>
    <row r="242">
      <c r="A242" t="inlineStr">
        <is>
          <t>20260730-8186-451142955</t>
        </is>
      </c>
      <c r="B242" t="n">
        <v>1</v>
      </c>
      <c r="C242" s="2" t="inlineStr">
        <is>
          <t>Артём Шкилёв</t>
        </is>
      </c>
      <c r="D242" s="3" t="n">
        <v>33000</v>
      </c>
      <c r="E242" s="4" t="n">
        <v>0</v>
      </c>
      <c r="F242" t="inlineStr">
        <is>
          <t>Прямые бронирования (стойка) [Чайковский]</t>
        </is>
      </c>
      <c r="G242" s="3">
        <f>ROUND(D242/(100-E242)*100,2)</f>
        <v/>
      </c>
      <c r="H242" s="5" t="n">
        <v>46233.58333333334</v>
      </c>
      <c r="I242" t="n">
        <v>2</v>
      </c>
      <c r="J242" s="3">
        <f>G242/I242</f>
        <v/>
      </c>
      <c r="K242">
        <f>IF(J242&gt;=5100,"ставка","мин.ставка")</f>
        <v/>
      </c>
      <c r="L242" s="3">
        <f>ROUND(IF(K242="мин.ставка",I242*100,G242/102*2),2)</f>
        <v/>
      </c>
      <c r="M242" s="5" t="n">
        <v>46235.5</v>
      </c>
      <c r="N242" t="inlineStr">
        <is>
          <t>TravelLine ресепшн</t>
        </is>
      </c>
      <c r="O242" s="2" t="inlineStr">
        <is>
          <t>ПОЛУЛЮКС</t>
        </is>
      </c>
      <c r="P242" s="6" t="n"/>
      <c r="R242" t="inlineStr"/>
      <c r="S242" t="inlineStr">
        <is>
          <t>Тариф с завтраком</t>
        </is>
      </c>
      <c r="T242" t="n">
        <v>0</v>
      </c>
      <c r="U242" t="n">
        <v>33000</v>
      </c>
    </row>
    <row r="243">
      <c r="A243" t="inlineStr">
        <is>
          <t>20260911-8186-464717084</t>
        </is>
      </c>
      <c r="B243" t="n">
        <v>1</v>
      </c>
      <c r="C243" s="2" t="inlineStr">
        <is>
          <t>Артур Абуляев</t>
        </is>
      </c>
      <c r="D243" s="3" t="n">
        <v>20000</v>
      </c>
      <c r="E243" s="4" t="n">
        <v>20</v>
      </c>
      <c r="F243" t="inlineStr">
        <is>
          <t>ООО «Дубль Гис» (OTELLO) [Чайковский]</t>
        </is>
      </c>
      <c r="G243" s="3">
        <f>ROUND(D243/(100-E243)*100,2)</f>
        <v/>
      </c>
      <c r="H243" s="5" t="n">
        <v>46276.58333333334</v>
      </c>
      <c r="I243" t="n">
        <v>2</v>
      </c>
      <c r="J243" s="3">
        <f>G243/I243</f>
        <v/>
      </c>
      <c r="K243">
        <f>IF(J243&gt;=5100,"ставка","мин.ставка")</f>
        <v/>
      </c>
      <c r="L243" s="3">
        <f>ROUND(IF(K243="мин.ставка",I243*100,G243/102*2),2)</f>
        <v/>
      </c>
      <c r="M243" s="5" t="n">
        <v>46278.5</v>
      </c>
      <c r="N243" t="inlineStr">
        <is>
          <t>TravelLine OL2</t>
        </is>
      </c>
      <c r="O243" s="2" t="inlineStr">
        <is>
          <t>ЛЮКС ВТОРОЙ КОРПУС</t>
        </is>
      </c>
      <c r="P243" s="6" t="n"/>
      <c r="R243" t="inlineStr"/>
      <c r="S243" t="inlineStr">
        <is>
          <t>Основной тариф без завтрака</t>
        </is>
      </c>
      <c r="T243" t="n">
        <v>0</v>
      </c>
      <c r="U243" t="n">
        <v>20000</v>
      </c>
    </row>
    <row r="244">
      <c r="A244" t="inlineStr">
        <is>
          <t>20260830-8186-462320006</t>
        </is>
      </c>
      <c r="B244" t="n">
        <v>1</v>
      </c>
      <c r="C244" s="2" t="inlineStr">
        <is>
          <t>АРХИП ЗАМОСКОВНЫЙ</t>
        </is>
      </c>
      <c r="D244" s="3" t="n">
        <v>6636</v>
      </c>
      <c r="E244" s="4" t="n">
        <v>16</v>
      </c>
      <c r="F244" t="inlineStr">
        <is>
          <t>ООО "БРОНИРОВАНИЕ ГОСТИНИЦ" (OSTROVOK) [Чайковский]</t>
        </is>
      </c>
      <c r="G244" s="3">
        <f>ROUND(D244/(100-E244)*100,2)</f>
        <v/>
      </c>
      <c r="H244" s="5" t="n">
        <v>46264.58333333334</v>
      </c>
      <c r="I244" t="n">
        <v>1</v>
      </c>
      <c r="J244" s="3">
        <f>G244/I244</f>
        <v/>
      </c>
      <c r="K244">
        <f>IF(J244&gt;=5100,"ставка","мин.ставка")</f>
        <v/>
      </c>
      <c r="L244" s="3">
        <f>ROUND(IF(K244="мин.ставка",I244*100,G244/102*2),2)</f>
        <v/>
      </c>
      <c r="M244" s="5" t="n">
        <v>46265.5</v>
      </c>
      <c r="N244" t="inlineStr">
        <is>
          <t>TravelLine OTK</t>
        </is>
      </c>
      <c r="O244" s="2" t="inlineStr">
        <is>
          <t>СТАНДАРТНЫЙ ДВУХМЕСТНЫЙ НОМЕР</t>
        </is>
      </c>
      <c r="P244" s="6" t="n"/>
      <c r="R244" t="inlineStr"/>
      <c r="S244" t="inlineStr">
        <is>
          <t>Тариф с завтраком</t>
        </is>
      </c>
      <c r="T244" t="n">
        <v>0</v>
      </c>
      <c r="U244" t="n">
        <v>6636</v>
      </c>
    </row>
    <row r="245">
      <c r="A245" t="inlineStr">
        <is>
          <t>20260830-8186-462361686</t>
        </is>
      </c>
      <c r="B245" t="n">
        <v>1</v>
      </c>
      <c r="C245" s="2" t="inlineStr">
        <is>
          <t>Ася Абрамова</t>
        </is>
      </c>
      <c r="D245" s="3" t="n">
        <v>11122</v>
      </c>
      <c r="E245" s="4" t="n">
        <v>18</v>
      </c>
      <c r="F245" t="inlineStr">
        <is>
          <t>Яндекс.Путешествия [Чайковский]</t>
        </is>
      </c>
      <c r="G245" s="3">
        <f>ROUND(D245/(100-E245)*100,2)</f>
        <v/>
      </c>
      <c r="H245" s="5" t="n">
        <v>46264.58333333334</v>
      </c>
      <c r="I245" t="n">
        <v>1</v>
      </c>
      <c r="J245" s="3">
        <f>G245/I245</f>
        <v/>
      </c>
      <c r="K245">
        <f>IF(J245&gt;=5100,"ставка","мин.ставка")</f>
        <v/>
      </c>
      <c r="L245" s="3">
        <f>ROUND(IF(K245="мин.ставка",I245*100,G245/102*2),2)</f>
        <v/>
      </c>
      <c r="M245" s="5" t="n">
        <v>46265.66666666666</v>
      </c>
      <c r="N245" t="inlineStr">
        <is>
          <t>TravelLine YAX</t>
        </is>
      </c>
      <c r="O245" s="2" t="inlineStr">
        <is>
          <t>ЛЮКС ВТОРОЙ КОРПУС</t>
        </is>
      </c>
      <c r="P245" s="6" t="n"/>
      <c r="R245" t="inlineStr"/>
      <c r="S245" t="inlineStr">
        <is>
          <t>Тариф с завтраком</t>
        </is>
      </c>
      <c r="T245" t="n">
        <v>2560</v>
      </c>
      <c r="U245" t="n">
        <v>13682</v>
      </c>
    </row>
    <row r="246">
      <c r="A246" t="inlineStr">
        <is>
          <t>20260816-8186-458968810</t>
        </is>
      </c>
      <c r="B246" t="n">
        <v>1</v>
      </c>
      <c r="C246" s="2" t="inlineStr">
        <is>
          <t>Ахмед Гамзатов, Наталья Воробьёва</t>
        </is>
      </c>
      <c r="D246" s="3" t="n">
        <v>32752.5</v>
      </c>
      <c r="E246" s="4" t="n">
        <v>4</v>
      </c>
      <c r="F246" t="inlineStr">
        <is>
          <t>TravelLine Booking Engine [Чайковский]</t>
        </is>
      </c>
      <c r="G246" s="3">
        <f>ROUND(D246/(100-E246)*100,2)</f>
        <v/>
      </c>
      <c r="H246" s="5" t="n">
        <v>46250.58333333334</v>
      </c>
      <c r="I246" t="n">
        <v>2</v>
      </c>
      <c r="J246" s="3">
        <f>G246/I246</f>
        <v/>
      </c>
      <c r="K246">
        <f>IF(J246&gt;=5100,"ставка","мин.ставка")</f>
        <v/>
      </c>
      <c r="L246" s="3">
        <f>ROUND(IF(K246="мин.ставка",I246*100,G246/102*2),2)</f>
        <v/>
      </c>
      <c r="M246" s="5" t="n">
        <v>46252.5</v>
      </c>
      <c r="N246" t="inlineStr">
        <is>
          <t>TravelLine сайт</t>
        </is>
      </c>
      <c r="O246" s="2" t="inlineStr">
        <is>
          <t>ПОЛУЛЮКС</t>
        </is>
      </c>
      <c r="P246" s="6" t="n"/>
      <c r="R246" t="inlineStr"/>
      <c r="S246" t="inlineStr">
        <is>
          <t>Тариф с завтраком</t>
        </is>
      </c>
      <c r="T246" t="n">
        <v>0</v>
      </c>
      <c r="U246" t="n">
        <v>32752.5</v>
      </c>
    </row>
    <row r="247">
      <c r="A247" t="inlineStr">
        <is>
          <t>20260703-8186-447441430</t>
        </is>
      </c>
      <c r="B247" t="n">
        <v>1</v>
      </c>
      <c r="C247" s="2" t="inlineStr">
        <is>
          <t>Баатр Лиджиев, Виктория Лиджиева</t>
        </is>
      </c>
      <c r="D247" s="3" t="n">
        <v>5880</v>
      </c>
      <c r="E247" s="4" t="n">
        <v>18</v>
      </c>
      <c r="F247" t="inlineStr">
        <is>
          <t>Яндекс.Путешествия [Чайковский]</t>
        </is>
      </c>
      <c r="G247" s="3">
        <f>ROUND(D247/(100-E247)*100,2)</f>
        <v/>
      </c>
      <c r="H247" s="5" t="n">
        <v>46206.58333333334</v>
      </c>
      <c r="I247" t="n">
        <v>1</v>
      </c>
      <c r="J247" s="3">
        <f>G247/I247</f>
        <v/>
      </c>
      <c r="K247">
        <f>IF(J247&gt;=5100,"ставка","мин.ставка")</f>
        <v/>
      </c>
      <c r="L247" s="3">
        <f>ROUND(IF(K247="мин.ставка",I247*100,G247/102*2),2)</f>
        <v/>
      </c>
      <c r="M247" s="5" t="n">
        <v>46207.5</v>
      </c>
      <c r="N247" t="inlineStr">
        <is>
          <t>TravelLine YAX</t>
        </is>
      </c>
      <c r="O247" s="2" t="inlineStr">
        <is>
          <t>СЕМЕЙНЫЙ НОМЕР КАТЕГОРИИ "СТАНДАРТ" ВТОРОЙ КОРПУС</t>
        </is>
      </c>
      <c r="P247" s="6" t="n"/>
      <c r="R247" t="inlineStr"/>
      <c r="S247" t="inlineStr">
        <is>
          <t>Основной тариф без завтрака</t>
        </is>
      </c>
      <c r="T247" t="n">
        <v>0</v>
      </c>
      <c r="U247" t="n">
        <v>5880</v>
      </c>
    </row>
    <row r="248">
      <c r="A248" t="inlineStr">
        <is>
          <t>20260630-8186-444910095</t>
        </is>
      </c>
      <c r="B248" t="n">
        <v>1</v>
      </c>
      <c r="C248" s="2" t="inlineStr">
        <is>
          <t>Булат Зарипов, САФИНА ЗАРИПОВА</t>
        </is>
      </c>
      <c r="D248" s="3" t="n">
        <v>32160</v>
      </c>
      <c r="E248" s="4" t="n">
        <v>20</v>
      </c>
      <c r="F248" t="inlineStr">
        <is>
          <t>ООО "УК ГЦБ и Т" [Чайковский]</t>
        </is>
      </c>
      <c r="G248" s="3">
        <f>ROUND(D248/(100-E248)*100,2)</f>
        <v/>
      </c>
      <c r="H248" s="5" t="n">
        <v>46203.58333333334</v>
      </c>
      <c r="I248" t="n">
        <v>3</v>
      </c>
      <c r="J248" s="3">
        <f>G248/I248</f>
        <v/>
      </c>
      <c r="K248">
        <f>IF(J248&gt;=5100,"ставка","мин.ставка")</f>
        <v/>
      </c>
      <c r="L248" s="3">
        <f>ROUND(IF(K248="мин.ставка",I248*100,G248/102*2),2)</f>
        <v/>
      </c>
      <c r="M248" s="5" t="n">
        <v>46206.5</v>
      </c>
      <c r="N248" t="inlineStr">
        <is>
          <t>TravelLine CBC</t>
        </is>
      </c>
      <c r="O248" s="2" t="inlineStr">
        <is>
          <t>ПОЛУЛЮКС</t>
        </is>
      </c>
      <c r="P248" s="6" t="n"/>
      <c r="R248" t="inlineStr"/>
      <c r="S248" t="inlineStr">
        <is>
          <t>Тариф с завтраком</t>
        </is>
      </c>
      <c r="T248" t="n">
        <v>6000</v>
      </c>
      <c r="U248" t="n">
        <v>38160</v>
      </c>
    </row>
    <row r="249">
      <c r="A249" t="inlineStr">
        <is>
          <t>20260903-8186-463232143</t>
        </is>
      </c>
      <c r="B249" t="n">
        <v>1</v>
      </c>
      <c r="C249" s="2" t="inlineStr">
        <is>
          <t>Вадим Галий</t>
        </is>
      </c>
      <c r="D249" s="3" t="n">
        <v>9080</v>
      </c>
      <c r="E249" s="4" t="n">
        <v>20</v>
      </c>
      <c r="F249" t="inlineStr">
        <is>
          <t>ООО "КОМПАНИЯ БРОНЕВИК" [Чайковский]</t>
        </is>
      </c>
      <c r="G249" s="3">
        <f>ROUND(D249/(100-E249)*100,2)</f>
        <v/>
      </c>
      <c r="H249" s="5" t="n">
        <v>46268.58333333334</v>
      </c>
      <c r="I249" t="n">
        <v>1</v>
      </c>
      <c r="J249" s="3">
        <f>G249/I249</f>
        <v/>
      </c>
      <c r="K249">
        <f>IF(J249&gt;=5100,"ставка","мин.ставка")</f>
        <v/>
      </c>
      <c r="L249" s="3">
        <f>ROUND(IF(K249="мин.ставка",I249*100,G249/102*2),2)</f>
        <v/>
      </c>
      <c r="M249" s="5" t="n">
        <v>46269.5</v>
      </c>
      <c r="N249" t="inlineStr">
        <is>
          <t>TravelLine BR2</t>
        </is>
      </c>
      <c r="O249" s="2" t="inlineStr">
        <is>
          <t>СТАНДАРТНЫЙ ДВУХМЕСТНЫЙ НОМЕР</t>
        </is>
      </c>
      <c r="P249" s="6" t="n"/>
      <c r="R249" t="inlineStr"/>
      <c r="S249" t="inlineStr">
        <is>
          <t>Тариф с завтраком</t>
        </is>
      </c>
      <c r="T249" t="n">
        <v>0</v>
      </c>
      <c r="U249" t="n">
        <v>9080</v>
      </c>
    </row>
    <row r="250">
      <c r="A250" t="inlineStr">
        <is>
          <t>20260905-8186-462987029</t>
        </is>
      </c>
      <c r="B250" t="n">
        <v>1</v>
      </c>
      <c r="C250" s="2" t="inlineStr">
        <is>
          <t>Вадим Заречный, Мария Заречная</t>
        </is>
      </c>
      <c r="D250" s="3" t="n">
        <v>13200</v>
      </c>
      <c r="E250" s="4" t="n">
        <v>18</v>
      </c>
      <c r="F250" t="inlineStr">
        <is>
          <t>Яндекс.Путешествия [Чайковский]</t>
        </is>
      </c>
      <c r="G250" s="3">
        <f>ROUND(D250/(100-E250)*100,2)</f>
        <v/>
      </c>
      <c r="H250" s="5" t="n">
        <v>46270.58333333334</v>
      </c>
      <c r="I250" t="n">
        <v>1</v>
      </c>
      <c r="J250" s="3">
        <f>G250/I250</f>
        <v/>
      </c>
      <c r="K250">
        <f>IF(J250&gt;=5100,"ставка","мин.ставка")</f>
        <v/>
      </c>
      <c r="L250" s="3">
        <f>ROUND(IF(K250="мин.ставка",I250*100,G250/102*2),2)</f>
        <v/>
      </c>
      <c r="M250" s="5" t="n">
        <v>46271.5</v>
      </c>
      <c r="N250" t="inlineStr">
        <is>
          <t>TravelLine YAX</t>
        </is>
      </c>
      <c r="O250" s="2" t="inlineStr">
        <is>
          <t>ПОЛУЛЮКС</t>
        </is>
      </c>
      <c r="P250" s="6" t="n"/>
      <c r="R250" t="inlineStr"/>
      <c r="S250" t="inlineStr">
        <is>
          <t>Тариф с завтраком</t>
        </is>
      </c>
      <c r="T250" t="n">
        <v>0</v>
      </c>
      <c r="U250" t="n">
        <v>13200</v>
      </c>
    </row>
    <row r="251">
      <c r="A251" t="inlineStr">
        <is>
          <t>20260808-8186-430692839</t>
        </is>
      </c>
      <c r="B251" t="n">
        <v>1</v>
      </c>
      <c r="C251" s="2" t="inlineStr">
        <is>
          <t>Вадим Кравков, Ольга Добродеева</t>
        </is>
      </c>
      <c r="D251" s="3" t="n">
        <v>55402.5</v>
      </c>
      <c r="E251" s="4" t="n">
        <v>17</v>
      </c>
      <c r="F251" t="inlineStr">
        <is>
          <t>ООО «Интернет Трэвел» (OZON) [Чайковский]</t>
        </is>
      </c>
      <c r="G251" s="3">
        <f>ROUND(D251/(100-E251)*100,2)</f>
        <v/>
      </c>
      <c r="H251" s="5" t="n">
        <v>46242.58333333334</v>
      </c>
      <c r="I251" t="n">
        <v>5</v>
      </c>
      <c r="J251" s="3">
        <f>G251/I251</f>
        <v/>
      </c>
      <c r="K251">
        <f>IF(J251&gt;=5100,"ставка","мин.ставка")</f>
        <v/>
      </c>
      <c r="L251" s="3">
        <f>ROUND(IF(K251="мин.ставка",I251*100,G251/102*2),2)</f>
        <v/>
      </c>
      <c r="M251" s="5" t="n">
        <v>46247.5</v>
      </c>
      <c r="N251" t="inlineStr">
        <is>
          <t>TravelLine OZ2</t>
        </is>
      </c>
      <c r="O251" s="2" t="inlineStr">
        <is>
          <t>СТАНДАРТНЫЙ ДВУХМЕСТНЫЙ НОМЕР</t>
        </is>
      </c>
      <c r="P251" s="6" t="n"/>
      <c r="R251" t="inlineStr"/>
      <c r="S251" t="inlineStr">
        <is>
          <t>Тариф с завтраком</t>
        </is>
      </c>
      <c r="T251" t="n">
        <v>600</v>
      </c>
      <c r="U251" t="n">
        <v>56002.5</v>
      </c>
    </row>
    <row r="252">
      <c r="A252" t="inlineStr">
        <is>
          <t>20260710-8186-449282931</t>
        </is>
      </c>
      <c r="B252" t="n">
        <v>1</v>
      </c>
      <c r="C252" s="2" t="inlineStr">
        <is>
          <t>вадим Макаренко</t>
        </is>
      </c>
      <c r="D252" s="3" t="n">
        <v>12350</v>
      </c>
      <c r="E252" s="4" t="n">
        <v>0</v>
      </c>
      <c r="F252" t="inlineStr">
        <is>
          <t>Прямые бронирования (стойка) [Чайковский]</t>
        </is>
      </c>
      <c r="G252" s="3">
        <f>ROUND(D252/(100-E252)*100,2)</f>
        <v/>
      </c>
      <c r="H252" s="5" t="n">
        <v>46213.58333333334</v>
      </c>
      <c r="I252" t="n">
        <v>1</v>
      </c>
      <c r="J252" s="3">
        <f>G252/I252</f>
        <v/>
      </c>
      <c r="K252">
        <f>IF(J252&gt;=5100,"ставка","мин.ставка")</f>
        <v/>
      </c>
      <c r="L252" s="3">
        <f>ROUND(IF(K252="мин.ставка",I252*100,G252/102*2),2)</f>
        <v/>
      </c>
      <c r="M252" s="5" t="n">
        <v>46214.5</v>
      </c>
      <c r="N252" t="inlineStr">
        <is>
          <t>TravelLine ресепшн</t>
        </is>
      </c>
      <c r="O252" s="2" t="inlineStr">
        <is>
          <t>СТАНДАРТНЫЙ ДВУХМЕСТНЫЙ НОМЕР</t>
        </is>
      </c>
      <c r="P252" s="6" t="n"/>
      <c r="R252" t="inlineStr"/>
      <c r="S252" t="inlineStr">
        <is>
          <t>Тариф с завтраком</t>
        </is>
      </c>
      <c r="T252" t="n">
        <v>0</v>
      </c>
      <c r="U252" t="n">
        <v>12350</v>
      </c>
    </row>
    <row r="253">
      <c r="A253" t="inlineStr">
        <is>
          <t>20260731-8186-450013552</t>
        </is>
      </c>
      <c r="B253" t="n">
        <v>1</v>
      </c>
      <c r="C253" s="2" t="inlineStr">
        <is>
          <t>Вадим Сосков, Кирилл Балуев</t>
        </is>
      </c>
      <c r="D253" s="3" t="n">
        <v>7920</v>
      </c>
      <c r="E253" s="4" t="n">
        <v>18</v>
      </c>
      <c r="F253" t="inlineStr">
        <is>
          <t>Яндекс.Путешествия [Чайковский]</t>
        </is>
      </c>
      <c r="G253" s="3">
        <f>ROUND(D253/(100-E253)*100,2)</f>
        <v/>
      </c>
      <c r="H253" s="5" t="n">
        <v>46234.58333333334</v>
      </c>
      <c r="I253" t="n">
        <v>1</v>
      </c>
      <c r="J253" s="3">
        <f>G253/I253</f>
        <v/>
      </c>
      <c r="K253">
        <f>IF(J253&gt;=5100,"ставка","мин.ставка")</f>
        <v/>
      </c>
      <c r="L253" s="3">
        <f>ROUND(IF(K253="мин.ставка",I253*100,G253/102*2),2)</f>
        <v/>
      </c>
      <c r="M253" s="5" t="n">
        <v>46235.5</v>
      </c>
      <c r="N253" t="inlineStr">
        <is>
          <t>TravelLine YAX</t>
        </is>
      </c>
      <c r="O253" s="2" t="inlineStr">
        <is>
          <t>СТАНДАРТНЫЙ ДВУХМЕСТНЫЙ НОМЕР (МАНСАРДА)</t>
        </is>
      </c>
      <c r="P253" s="6" t="n"/>
      <c r="R253" t="inlineStr"/>
      <c r="S253" t="inlineStr">
        <is>
          <t>Тариф с завтраком</t>
        </is>
      </c>
      <c r="T253" t="n">
        <v>0</v>
      </c>
      <c r="U253" t="n">
        <v>7920</v>
      </c>
    </row>
    <row r="254">
      <c r="A254" t="inlineStr">
        <is>
          <t>20260717-8186-450249391</t>
        </is>
      </c>
      <c r="B254" t="n">
        <v>1</v>
      </c>
      <c r="C254" s="2" t="inlineStr">
        <is>
          <t>Вадим Стародубов</t>
        </is>
      </c>
      <c r="D254" s="3" t="n">
        <v>8624.1</v>
      </c>
      <c r="E254" s="4" t="n">
        <v>4</v>
      </c>
      <c r="F254" t="inlineStr">
        <is>
          <t>TravelLine Booking Engine [Чайковский]</t>
        </is>
      </c>
      <c r="G254" s="3">
        <f>ROUND(D254/(100-E254)*100,2)</f>
        <v/>
      </c>
      <c r="H254" s="5" t="n">
        <v>46220.89583333334</v>
      </c>
      <c r="I254" t="n">
        <v>1</v>
      </c>
      <c r="J254" s="3">
        <f>G254/I254</f>
        <v/>
      </c>
      <c r="K254">
        <f>IF(J254&gt;=5100,"ставка","мин.ставка")</f>
        <v/>
      </c>
      <c r="L254" s="3">
        <f>ROUND(IF(K254="мин.ставка",I254*100,G254/102*2),2)</f>
        <v/>
      </c>
      <c r="M254" s="5" t="n">
        <v>46221.5</v>
      </c>
      <c r="N254" t="inlineStr">
        <is>
          <t>TravelLine сайт</t>
        </is>
      </c>
      <c r="O254" s="2" t="inlineStr">
        <is>
          <t>СЕМЕЙНЫЙ НОМЕР КАТЕГОРИИ "СТАНДАРТ" ВТОРОЙ КОРПУС</t>
        </is>
      </c>
      <c r="P254" s="6" t="n"/>
      <c r="R254" t="inlineStr"/>
      <c r="S254" t="inlineStr">
        <is>
          <t>Тариф с завтраком</t>
        </is>
      </c>
      <c r="T254" t="n">
        <v>0</v>
      </c>
      <c r="U254" t="n">
        <v>16324.1</v>
      </c>
    </row>
    <row r="255">
      <c r="A255" t="inlineStr">
        <is>
          <t>20260717-8186-450249391</t>
        </is>
      </c>
      <c r="B255" t="n">
        <v>1</v>
      </c>
      <c r="C255" s="2" t="inlineStr">
        <is>
          <t>Вадим Стародубов</t>
        </is>
      </c>
      <c r="D255" s="3" t="n">
        <v>7700</v>
      </c>
      <c r="E255" s="4" t="n">
        <v>4</v>
      </c>
      <c r="F255" t="inlineStr">
        <is>
          <t>TravelLine Booking Engine [Чайковский]</t>
        </is>
      </c>
      <c r="G255" s="3">
        <f>ROUND(D255/(100-E255)*100,2)</f>
        <v/>
      </c>
      <c r="H255" s="5" t="n">
        <v>46221.89583333334</v>
      </c>
      <c r="I255" t="n">
        <v>1</v>
      </c>
      <c r="J255" s="3">
        <f>G255/I255</f>
        <v/>
      </c>
      <c r="K255">
        <f>IF(J255&gt;=5100,"ставка","мин.ставка")</f>
        <v/>
      </c>
      <c r="L255" s="3">
        <f>ROUND(IF(K255="мин.ставка",I255*100,G255/102*2),2)</f>
        <v/>
      </c>
      <c r="M255" s="5" t="n">
        <v>46222.5</v>
      </c>
      <c r="N255" t="inlineStr">
        <is>
          <t>TravelLine сайт</t>
        </is>
      </c>
      <c r="O255" s="2" t="inlineStr">
        <is>
          <t>СТАНДАРТНЫЙ ОДНОМЕСТНЫЙ НОМЕР</t>
        </is>
      </c>
      <c r="P255" s="6" t="n"/>
      <c r="R255" t="inlineStr"/>
      <c r="S255" t="inlineStr">
        <is>
          <t>Тариф с завтраком</t>
        </is>
      </c>
      <c r="T255" t="n">
        <v>0</v>
      </c>
      <c r="U255" t="n">
        <v>16324.1</v>
      </c>
    </row>
    <row r="256">
      <c r="A256" t="inlineStr">
        <is>
          <t>20260820-8186-429042947</t>
        </is>
      </c>
      <c r="B256" t="n">
        <v>1</v>
      </c>
      <c r="C256" s="2" t="inlineStr">
        <is>
          <t>Валентин Классен, Светлана Классен</t>
        </is>
      </c>
      <c r="D256" s="3" t="n">
        <v>11347.5</v>
      </c>
      <c r="E256" s="4" t="n">
        <v>20</v>
      </c>
      <c r="F256" t="inlineStr">
        <is>
          <t>ООО «Дубль Гис» (OTELLO) [Чайковский]</t>
        </is>
      </c>
      <c r="G256" s="3">
        <f>ROUND(D256/(100-E256)*100,2)</f>
        <v/>
      </c>
      <c r="H256" s="5" t="n">
        <v>46254.58333333334</v>
      </c>
      <c r="I256" t="n">
        <v>1</v>
      </c>
      <c r="J256" s="3">
        <f>G256/I256</f>
        <v/>
      </c>
      <c r="K256">
        <f>IF(J256&gt;=5100,"ставка","мин.ставка")</f>
        <v/>
      </c>
      <c r="L256" s="3">
        <f>ROUND(IF(K256="мин.ставка",I256*100,G256/102*2),2)</f>
        <v/>
      </c>
      <c r="M256" s="5" t="n">
        <v>46255.5</v>
      </c>
      <c r="N256" t="inlineStr">
        <is>
          <t>TravelLine OL2</t>
        </is>
      </c>
      <c r="O256" s="2" t="inlineStr">
        <is>
          <t>СТАНДАРТНЫЙ ДВУХМЕСТНЫЙ НОМЕР</t>
        </is>
      </c>
      <c r="P256" s="6" t="n"/>
      <c r="R256" t="inlineStr"/>
      <c r="S256" t="inlineStr">
        <is>
          <t>Тариф с завтраком</t>
        </is>
      </c>
      <c r="T256" t="n">
        <v>0</v>
      </c>
      <c r="U256" t="n">
        <v>11347.5</v>
      </c>
    </row>
    <row r="257">
      <c r="A257" t="inlineStr">
        <is>
          <t>20260907-8186-418353081</t>
        </is>
      </c>
      <c r="B257" t="n">
        <v>1</v>
      </c>
      <c r="C257" s="2" t="inlineStr">
        <is>
          <t>Валентина Кустарева</t>
        </is>
      </c>
      <c r="D257" s="3" t="n">
        <v>26180</v>
      </c>
      <c r="E257" s="4" t="n">
        <v>15</v>
      </c>
      <c r="F257" t="inlineStr">
        <is>
          <t>ООО Тинькофф Путешествия [Чайковский]</t>
        </is>
      </c>
      <c r="G257" s="3">
        <f>ROUND(D257/(100-E257)*100,2)</f>
        <v/>
      </c>
      <c r="H257" s="5" t="n">
        <v>46272.58333333334</v>
      </c>
      <c r="I257" t="n">
        <v>4</v>
      </c>
      <c r="J257" s="3">
        <f>G257/I257</f>
        <v/>
      </c>
      <c r="K257">
        <f>IF(J257&gt;=5100,"ставка","мин.ставка")</f>
        <v/>
      </c>
      <c r="L257" s="3">
        <f>ROUND(IF(K257="мин.ставка",I257*100,G257/102*2),2)</f>
        <v/>
      </c>
      <c r="M257" s="5" t="n">
        <v>46276.5</v>
      </c>
      <c r="N257" t="inlineStr">
        <is>
          <t>TravelLine TNK</t>
        </is>
      </c>
      <c r="O257" s="2" t="inlineStr">
        <is>
          <t>СТАНДАРТНЫЙ ОДНОМЕСТНЫЙ НОМЕР</t>
        </is>
      </c>
      <c r="P257" s="6" t="n"/>
      <c r="R257" t="inlineStr"/>
      <c r="S257" t="inlineStr">
        <is>
          <t>Тариф с завтраком</t>
        </is>
      </c>
      <c r="T257" t="n">
        <v>0</v>
      </c>
      <c r="U257" t="n">
        <v>26180</v>
      </c>
    </row>
    <row r="258">
      <c r="A258" t="inlineStr">
        <is>
          <t>20260907-8186-452894032</t>
        </is>
      </c>
      <c r="B258" t="n">
        <v>1</v>
      </c>
      <c r="C258" s="2" t="inlineStr">
        <is>
          <t>ВАЛЕНТИНА ХРОМОВА, ИРИНА ШАФИЕВА</t>
        </is>
      </c>
      <c r="D258" s="3" t="n">
        <v>18160</v>
      </c>
      <c r="E258" s="4" t="n">
        <v>20</v>
      </c>
      <c r="F258" t="inlineStr">
        <is>
          <t>ООО "ХБ-ПРО" [Чайковский]</t>
        </is>
      </c>
      <c r="G258" s="3">
        <f>ROUND(D258/(100-E258)*100,2)</f>
        <v/>
      </c>
      <c r="H258" s="5" t="n">
        <v>46272.58333333334</v>
      </c>
      <c r="I258" t="n">
        <v>2</v>
      </c>
      <c r="J258" s="3">
        <f>G258/I258</f>
        <v/>
      </c>
      <c r="K258">
        <f>IF(J258&gt;=5100,"ставка","мин.ставка")</f>
        <v/>
      </c>
      <c r="L258" s="3">
        <f>ROUND(IF(K258="мин.ставка",I258*100,G258/102*2),2)</f>
        <v/>
      </c>
      <c r="M258" s="5" t="n">
        <v>46274.5</v>
      </c>
      <c r="N258" t="inlineStr">
        <is>
          <t>TravelLine UTS</t>
        </is>
      </c>
      <c r="O258" s="2" t="inlineStr">
        <is>
          <t>СТАНДАРТНЫЙ ДВУХМЕСТНЫЙ НОМЕР</t>
        </is>
      </c>
      <c r="P258" s="6" t="n"/>
      <c r="R258" t="inlineStr"/>
      <c r="S258" t="inlineStr">
        <is>
          <t>Тариф с завтраком</t>
        </is>
      </c>
      <c r="T258" t="n">
        <v>4000</v>
      </c>
      <c r="U258" t="n">
        <v>22160</v>
      </c>
    </row>
    <row r="259">
      <c r="A259" t="inlineStr">
        <is>
          <t>20260807-8186-443876865</t>
        </is>
      </c>
      <c r="B259" t="n">
        <v>1</v>
      </c>
      <c r="C259" s="2" t="inlineStr">
        <is>
          <t>ВАЛЕРИЙ ЖИЛИН, Марина Жилина</t>
        </is>
      </c>
      <c r="D259" s="3" t="n">
        <v>26700</v>
      </c>
      <c r="E259" s="4" t="n">
        <v>0</v>
      </c>
      <c r="F259" t="inlineStr">
        <is>
          <t>Прямые бронирования (стойка) [Чайковский]</t>
        </is>
      </c>
      <c r="G259" s="3">
        <f>ROUND(D259/(100-E259)*100,2)</f>
        <v/>
      </c>
      <c r="H259" s="5" t="n">
        <v>46241.58333333334</v>
      </c>
      <c r="I259" t="n">
        <v>2</v>
      </c>
      <c r="J259" s="3">
        <f>G259/I259</f>
        <v/>
      </c>
      <c r="K259">
        <f>IF(J259&gt;=5100,"ставка","мин.ставка")</f>
        <v/>
      </c>
      <c r="L259" s="3">
        <f>ROUND(IF(K259="мин.ставка",I259*100,G259/102*2),2)</f>
        <v/>
      </c>
      <c r="M259" s="5" t="n">
        <v>46243.5</v>
      </c>
      <c r="N259" t="inlineStr">
        <is>
          <t>TravelLine ресепшн</t>
        </is>
      </c>
      <c r="O259" s="2" t="inlineStr">
        <is>
          <t>СТАНДАРТНЫЙ ДВУХМЕСТНЫЙ НОМЕР</t>
        </is>
      </c>
      <c r="P259" s="6" t="n"/>
      <c r="R259" t="inlineStr"/>
      <c r="S259" t="inlineStr">
        <is>
          <t>Тариф с завтраком</t>
        </is>
      </c>
      <c r="T259" t="n">
        <v>0</v>
      </c>
      <c r="U259" t="n">
        <v>26700</v>
      </c>
    </row>
    <row r="260">
      <c r="A260" t="inlineStr">
        <is>
          <t>20260629-8186-437245802</t>
        </is>
      </c>
      <c r="B260" t="n">
        <v>1</v>
      </c>
      <c r="C260" s="2" t="inlineStr">
        <is>
          <t>Валерий Марунич</t>
        </is>
      </c>
      <c r="D260" s="3" t="n">
        <v>36320</v>
      </c>
      <c r="E260" s="4" t="n">
        <v>20</v>
      </c>
      <c r="F260" t="inlineStr">
        <is>
          <t>ООО "УК ГЦБ и Т" [Чайковский]</t>
        </is>
      </c>
      <c r="G260" s="3">
        <f>ROUND(D260/(100-E260)*100,2)</f>
        <v/>
      </c>
      <c r="H260" s="5" t="n">
        <v>46202.58333333334</v>
      </c>
      <c r="I260" t="n">
        <v>4</v>
      </c>
      <c r="J260" s="3">
        <f>G260/I260</f>
        <v/>
      </c>
      <c r="K260">
        <f>IF(J260&gt;=5100,"ставка","мин.ставка")</f>
        <v/>
      </c>
      <c r="L260" s="3">
        <f>ROUND(IF(K260="мин.ставка",I260*100,G260/102*2),2)</f>
        <v/>
      </c>
      <c r="M260" s="5" t="n">
        <v>46206.5</v>
      </c>
      <c r="N260" t="inlineStr">
        <is>
          <t>TravelLine CBC</t>
        </is>
      </c>
      <c r="O260" s="2" t="inlineStr">
        <is>
          <t>СТАНДАРТНЫЙ ДВУХМЕСТНЫЙ НОМЕР</t>
        </is>
      </c>
      <c r="P260" s="6" t="n"/>
      <c r="R260" t="inlineStr"/>
      <c r="S260" t="inlineStr">
        <is>
          <t>Тариф с завтраком</t>
        </is>
      </c>
      <c r="T260" t="n">
        <v>0</v>
      </c>
      <c r="U260" t="n">
        <v>36320</v>
      </c>
    </row>
    <row r="261">
      <c r="A261" t="inlineStr">
        <is>
          <t>20260827-8186-460711943</t>
        </is>
      </c>
      <c r="B261" t="n">
        <v>1</v>
      </c>
      <c r="C261" s="2" t="inlineStr">
        <is>
          <t>Валерий Трач, Екатерина Можайская</t>
        </is>
      </c>
      <c r="D261" s="3" t="n">
        <v>35028</v>
      </c>
      <c r="E261" s="4" t="n">
        <v>16</v>
      </c>
      <c r="F261" t="inlineStr">
        <is>
          <t>ООО "БРОНИРОВАНИЕ ГОСТИНИЦ" (OSTROVOK) [Чайковский]</t>
        </is>
      </c>
      <c r="G261" s="3">
        <f>ROUND(D261/(100-E261)*100,2)</f>
        <v/>
      </c>
      <c r="H261" s="5" t="n">
        <v>46261.58333333334</v>
      </c>
      <c r="I261" t="n">
        <v>3</v>
      </c>
      <c r="J261" s="3">
        <f>G261/I261</f>
        <v/>
      </c>
      <c r="K261">
        <f>IF(J261&gt;=5100,"ставка","мин.ставка")</f>
        <v/>
      </c>
      <c r="L261" s="3">
        <f>ROUND(IF(K261="мин.ставка",I261*100,G261/102*2),2)</f>
        <v/>
      </c>
      <c r="M261" s="5" t="n">
        <v>46264.5</v>
      </c>
      <c r="N261" t="inlineStr">
        <is>
          <t>TravelLine OTK</t>
        </is>
      </c>
      <c r="O261" s="2" t="inlineStr">
        <is>
          <t>УЛУЧШЕННЫЙ ДВУХМЕСТНЫЙ НОМЕР</t>
        </is>
      </c>
      <c r="P261" s="6" t="n"/>
      <c r="R261" t="inlineStr"/>
      <c r="S261" t="inlineStr">
        <is>
          <t>Основной тариф без завтрака</t>
        </is>
      </c>
      <c r="T261" t="n">
        <v>3000</v>
      </c>
      <c r="U261" t="n">
        <v>38028</v>
      </c>
    </row>
    <row r="262">
      <c r="A262" t="inlineStr">
        <is>
          <t>20260910-8186-463566252</t>
        </is>
      </c>
      <c r="B262" t="n">
        <v>1</v>
      </c>
      <c r="C262" s="2" t="inlineStr">
        <is>
          <t>ВАЛЕРИЙ ШАЛАЕВ, АЛЛА ШАЛАЕВА</t>
        </is>
      </c>
      <c r="D262" s="3" t="n">
        <v>11347.5</v>
      </c>
      <c r="E262" s="4" t="n">
        <v>15</v>
      </c>
      <c r="F262" t="inlineStr">
        <is>
          <t>ООО "АКАДЕМ-ОНЛАЙН" [Чайковский]</t>
        </is>
      </c>
      <c r="G262" s="3">
        <f>ROUND(D262/(100-E262)*100,2)</f>
        <v/>
      </c>
      <c r="H262" s="5" t="n">
        <v>46275.58333333334</v>
      </c>
      <c r="I262" t="n">
        <v>1</v>
      </c>
      <c r="J262" s="3">
        <f>G262/I262</f>
        <v/>
      </c>
      <c r="K262">
        <f>IF(J262&gt;=5100,"ставка","мин.ставка")</f>
        <v/>
      </c>
      <c r="L262" s="3">
        <f>ROUND(IF(K262="мин.ставка",I262*100,G262/102*2),2)</f>
        <v/>
      </c>
      <c r="M262" s="5" t="n">
        <v>46276.58333333334</v>
      </c>
      <c r="N262" t="inlineStr">
        <is>
          <t>TravelLine ACS</t>
        </is>
      </c>
      <c r="O262" s="2" t="inlineStr">
        <is>
          <t>СТАНДАРТНЫЙ ДВУХМЕСТНЫЙ НОМЕР</t>
        </is>
      </c>
      <c r="P262" s="6" t="n"/>
      <c r="R262" t="inlineStr"/>
      <c r="S262" t="inlineStr">
        <is>
          <t>Тариф с завтраком</t>
        </is>
      </c>
      <c r="T262" t="n">
        <v>0</v>
      </c>
      <c r="U262" t="n">
        <v>52815</v>
      </c>
    </row>
    <row r="263">
      <c r="A263" t="inlineStr">
        <is>
          <t>20260910-8186-463566252</t>
        </is>
      </c>
      <c r="B263" t="n">
        <v>1</v>
      </c>
      <c r="C263" s="2" t="inlineStr">
        <is>
          <t>ВАЛЕРИЙ ШАЛАЕВ, АЛЛА ШАЛАЕВА</t>
        </is>
      </c>
      <c r="D263" s="3" t="n">
        <v>34042.5</v>
      </c>
      <c r="E263" s="4" t="n">
        <v>15</v>
      </c>
      <c r="F263" t="inlineStr">
        <is>
          <t>ООО "АКАДЕМ-ОНЛАЙН" [Чайковский]</t>
        </is>
      </c>
      <c r="G263" s="3">
        <f>ROUND(D263/(100-E263)*100,2)</f>
        <v/>
      </c>
      <c r="H263" s="5" t="n">
        <v>46276.58333333334</v>
      </c>
      <c r="I263" t="n">
        <v>3</v>
      </c>
      <c r="J263" s="3">
        <f>G263/I263</f>
        <v/>
      </c>
      <c r="K263">
        <f>IF(J263&gt;=5100,"ставка","мин.ставка")</f>
        <v/>
      </c>
      <c r="L263" s="3">
        <f>ROUND(IF(K263="мин.ставка",I263*100,G263/102*2),2)</f>
        <v/>
      </c>
      <c r="M263" s="5" t="n">
        <v>46279.79166666666</v>
      </c>
      <c r="N263" t="inlineStr">
        <is>
          <t>TravelLine ACS</t>
        </is>
      </c>
      <c r="O263" s="2" t="inlineStr">
        <is>
          <t>ПОЛУЛЮКС</t>
        </is>
      </c>
      <c r="P263" s="6" t="n"/>
      <c r="R263" t="inlineStr"/>
      <c r="S263" t="inlineStr">
        <is>
          <t>Тариф с завтраком</t>
        </is>
      </c>
      <c r="T263" t="n">
        <v>7425</v>
      </c>
      <c r="U263" t="n">
        <v>52815</v>
      </c>
    </row>
    <row r="264">
      <c r="A264" t="inlineStr">
        <is>
          <t>20260901-8186-421880912</t>
        </is>
      </c>
      <c r="B264" t="n">
        <v>1</v>
      </c>
      <c r="C264" s="2" t="inlineStr">
        <is>
          <t>ВАЛЕРИЯ ЛОГИНОВА, СОФИЯ ЛОГИНОВА</t>
        </is>
      </c>
      <c r="D264" s="3" t="n">
        <v>45390</v>
      </c>
      <c r="E264" s="4" t="n">
        <v>0</v>
      </c>
      <c r="F264" t="inlineStr">
        <is>
          <t>ООО "АЛЕАН ОТДЫХ" [Чайковский]</t>
        </is>
      </c>
      <c r="G264" s="3">
        <f>ROUND(D264/(100-E264)*100,2)</f>
        <v/>
      </c>
      <c r="H264" s="5" t="n">
        <v>46266.58333333334</v>
      </c>
      <c r="I264" t="n">
        <v>4</v>
      </c>
      <c r="J264" s="3">
        <f>G264/I264</f>
        <v/>
      </c>
      <c r="K264">
        <f>IF(J264&gt;=5100,"ставка","мин.ставка")</f>
        <v/>
      </c>
      <c r="L264" s="3">
        <f>ROUND(IF(K264="мин.ставка",I264*100,G264/102*2),2)</f>
        <v/>
      </c>
      <c r="M264" s="5" t="n">
        <v>46270.5</v>
      </c>
      <c r="N264" t="inlineStr">
        <is>
          <t>TravelLine ALN</t>
        </is>
      </c>
      <c r="O264" s="2" t="inlineStr">
        <is>
          <t>СТАНДАРТНЫЙ ДВУХМЕСТНЫЙ НОМЕР</t>
        </is>
      </c>
      <c r="P264" s="6" t="n"/>
      <c r="R264" t="inlineStr"/>
      <c r="S264" t="inlineStr">
        <is>
          <t>Тариф с завтраком</t>
        </is>
      </c>
      <c r="T264" t="n">
        <v>0</v>
      </c>
      <c r="U264" t="n">
        <v>45390</v>
      </c>
    </row>
    <row r="265">
      <c r="A265" t="inlineStr">
        <is>
          <t>20260824-8186-451489646</t>
        </is>
      </c>
      <c r="B265" t="n">
        <v>1</v>
      </c>
      <c r="C265" s="2" t="inlineStr">
        <is>
          <t>Варвара Белоусова</t>
        </is>
      </c>
      <c r="D265" s="3" t="n">
        <v>7655.1</v>
      </c>
      <c r="E265" s="4" t="n">
        <v>4</v>
      </c>
      <c r="F265" t="inlineStr">
        <is>
          <t>TravelLine Booking Engine [Чайковский]</t>
        </is>
      </c>
      <c r="G265" s="3">
        <f>ROUND(D265/(100-E265)*100,2)</f>
        <v/>
      </c>
      <c r="H265" s="5" t="n">
        <v>46258.58333333334</v>
      </c>
      <c r="I265" t="n">
        <v>1</v>
      </c>
      <c r="J265" s="3">
        <f>G265/I265</f>
        <v/>
      </c>
      <c r="K265">
        <f>IF(J265&gt;=5100,"ставка","мин.ставка")</f>
        <v/>
      </c>
      <c r="L265" s="3">
        <f>ROUND(IF(K265="мин.ставка",I265*100,G265/102*2),2)</f>
        <v/>
      </c>
      <c r="M265" s="5" t="n">
        <v>46259.5</v>
      </c>
      <c r="N265" t="inlineStr">
        <is>
          <t>TravelLine сайт</t>
        </is>
      </c>
      <c r="O265" s="2" t="inlineStr">
        <is>
          <t>СТАНДАРТНЫЙ ДВУХМЕСТНЫЙ НОМЕР (МАНСАРДА)</t>
        </is>
      </c>
      <c r="P265" s="6" t="n"/>
      <c r="R265" t="inlineStr"/>
      <c r="S265" t="inlineStr">
        <is>
          <t>Тариф с завтраком</t>
        </is>
      </c>
      <c r="T265" t="n">
        <v>0</v>
      </c>
      <c r="U265" t="n">
        <v>24903.3</v>
      </c>
    </row>
    <row r="266">
      <c r="A266" t="inlineStr">
        <is>
          <t>20260928-8186-468485371</t>
        </is>
      </c>
      <c r="B266" t="n">
        <v>1</v>
      </c>
      <c r="C266" s="2" t="inlineStr">
        <is>
          <t>Вардан Есоян</t>
        </is>
      </c>
      <c r="D266" s="3" t="n">
        <v>27921</v>
      </c>
      <c r="E266" s="4" t="n">
        <v>18</v>
      </c>
      <c r="F266" t="inlineStr">
        <is>
          <t>ООО "Эй энд Эй" [Чайковский]</t>
        </is>
      </c>
      <c r="G266" s="3">
        <f>ROUND(D266/(100-E266)*100,2)</f>
        <v/>
      </c>
      <c r="H266" s="5" t="n">
        <v>46293.58333333334</v>
      </c>
      <c r="I266" t="n">
        <v>3</v>
      </c>
      <c r="J266" s="3">
        <f>G266/I266</f>
        <v/>
      </c>
      <c r="K266">
        <f>IF(J266&gt;=5100,"ставка","мин.ставка")</f>
        <v/>
      </c>
      <c r="L266" s="3">
        <f>ROUND(IF(K266="мин.ставка",I266*100,G266/102*2),2)</f>
        <v/>
      </c>
      <c r="M266" s="5" t="n">
        <v>46296.5</v>
      </c>
      <c r="N266" t="inlineStr">
        <is>
          <t>TravelLine ANA</t>
        </is>
      </c>
      <c r="O266" s="2" t="inlineStr">
        <is>
          <t>СТАНДАРТНЫЙ ДВУХМЕСТНЫЙ НОМЕР</t>
        </is>
      </c>
      <c r="P266" s="6" t="n"/>
      <c r="R266" t="inlineStr"/>
      <c r="S266" t="inlineStr">
        <is>
          <t>Тариф с завтраком</t>
        </is>
      </c>
      <c r="T266" t="n">
        <v>0</v>
      </c>
      <c r="U266" t="n">
        <v>27921</v>
      </c>
    </row>
    <row r="267">
      <c r="A267" t="inlineStr">
        <is>
          <t>20260811-8186-455189264</t>
        </is>
      </c>
      <c r="B267" t="n">
        <v>1</v>
      </c>
      <c r="C267" s="2" t="inlineStr">
        <is>
          <t>ВАсилий Козин, Марина Мицик</t>
        </is>
      </c>
      <c r="D267" s="3" t="n">
        <v>39636.15</v>
      </c>
      <c r="E267" s="4" t="n">
        <v>4</v>
      </c>
      <c r="F267" t="inlineStr">
        <is>
          <t>TravelLine Booking Engine [Чайковский]</t>
        </is>
      </c>
      <c r="G267" s="3">
        <f>ROUND(D267/(100-E267)*100,2)</f>
        <v/>
      </c>
      <c r="H267" s="5" t="n">
        <v>46245.58333333334</v>
      </c>
      <c r="I267" t="n">
        <v>3</v>
      </c>
      <c r="J267" s="3">
        <f>G267/I267</f>
        <v/>
      </c>
      <c r="K267">
        <f>IF(J267&gt;=5100,"ставка","мин.ставка")</f>
        <v/>
      </c>
      <c r="L267" s="3">
        <f>ROUND(IF(K267="мин.ставка",I267*100,G267/102*2),2)</f>
        <v/>
      </c>
      <c r="M267" s="5" t="n">
        <v>46248.5</v>
      </c>
      <c r="N267" t="inlineStr">
        <is>
          <t>TravelLine сайт</t>
        </is>
      </c>
      <c r="O267" s="2" t="inlineStr">
        <is>
          <t>СТАНДАРТНЫЙ ДВУХМЕСТНЫЙ НОМЕР</t>
        </is>
      </c>
      <c r="P267" s="6" t="n"/>
      <c r="R267" t="inlineStr"/>
      <c r="S267" t="inlineStr">
        <is>
          <t>Тариф с завтраком</t>
        </is>
      </c>
      <c r="T267" t="n">
        <v>0</v>
      </c>
      <c r="U267" t="n">
        <v>39636.15</v>
      </c>
    </row>
    <row r="268">
      <c r="A268" t="inlineStr">
        <is>
          <t>20260811-8186-456721547</t>
        </is>
      </c>
      <c r="B268" t="n">
        <v>1</v>
      </c>
      <c r="C268" s="2" t="inlineStr">
        <is>
          <t>Василий Лаптев, мария Лаптева</t>
        </is>
      </c>
      <c r="D268" s="3" t="n">
        <v>89000</v>
      </c>
      <c r="E268" s="4" t="n">
        <v>0</v>
      </c>
      <c r="F268" t="inlineStr">
        <is>
          <t>Прямые бронирования (стойка) [Чайковский]</t>
        </is>
      </c>
      <c r="G268" s="3">
        <f>ROUND(D268/(100-E268)*100,2)</f>
        <v/>
      </c>
      <c r="H268" s="5" t="n">
        <v>46245.58333333334</v>
      </c>
      <c r="I268" t="n">
        <v>5</v>
      </c>
      <c r="J268" s="3">
        <f>G268/I268</f>
        <v/>
      </c>
      <c r="K268">
        <f>IF(J268&gt;=5100,"ставка","мин.ставка")</f>
        <v/>
      </c>
      <c r="L268" s="3">
        <f>ROUND(IF(K268="мин.ставка",I268*100,G268/102*2),2)</f>
        <v/>
      </c>
      <c r="M268" s="5" t="n">
        <v>46250.5</v>
      </c>
      <c r="N268" t="inlineStr">
        <is>
          <t>TravelLine ресепшн</t>
        </is>
      </c>
      <c r="O268" s="2" t="inlineStr">
        <is>
          <t>ЛЮКС ВТОРОЙ КОРПУС</t>
        </is>
      </c>
      <c r="P268" s="6" t="n"/>
      <c r="R268" t="inlineStr"/>
      <c r="S268" t="inlineStr">
        <is>
          <t>Тариф с завтраком</t>
        </is>
      </c>
      <c r="T268" t="n">
        <v>0</v>
      </c>
      <c r="U268" t="n">
        <v>89000</v>
      </c>
    </row>
    <row r="269">
      <c r="A269" t="inlineStr">
        <is>
          <t>20260716-8186-439058294</t>
        </is>
      </c>
      <c r="B269" t="n">
        <v>1</v>
      </c>
      <c r="C269" s="2" t="inlineStr">
        <is>
          <t>ВАСИЛИЙ ЛИМАНСКИЙ, АЛЛА ЛИМАНСКАЯ, ЛЕОНИД ЛИМАНСКИЙ</t>
        </is>
      </c>
      <c r="D269" s="3" t="n">
        <v>34042.5</v>
      </c>
      <c r="E269" s="4" t="n">
        <v>15</v>
      </c>
      <c r="F269" t="inlineStr">
        <is>
          <t>ООО "БРОНИРОВАНИЕ ГОСТИНИЦ" (OSTROVOK) [Чайковский]</t>
        </is>
      </c>
      <c r="G269" s="3">
        <f>ROUND(D269/(100-E269)*100,2)</f>
        <v/>
      </c>
      <c r="H269" s="5" t="n">
        <v>46219.58333333334</v>
      </c>
      <c r="I269" t="n">
        <v>3</v>
      </c>
      <c r="J269" s="3">
        <f>G269/I269</f>
        <v/>
      </c>
      <c r="K269">
        <f>IF(J269&gt;=5100,"ставка","мин.ставка")</f>
        <v/>
      </c>
      <c r="L269" s="3">
        <f>ROUND(IF(K269="мин.ставка",I269*100,G269/102*2),2)</f>
        <v/>
      </c>
      <c r="M269" s="5" t="n">
        <v>46222.5</v>
      </c>
      <c r="N269" t="inlineStr">
        <is>
          <t>TravelLine OTK</t>
        </is>
      </c>
      <c r="O269" s="2" t="inlineStr">
        <is>
          <t>СЕМЕЙНЫЙ НОМЕР КАТЕГОРИИ "СТАНДАРТ" ВТОРОЙ КОРПУС</t>
        </is>
      </c>
      <c r="P269" s="6" t="n"/>
      <c r="R269" t="inlineStr"/>
      <c r="S269" t="inlineStr">
        <is>
          <t>Тариф с завтраком</t>
        </is>
      </c>
      <c r="T269" t="n">
        <v>8400</v>
      </c>
      <c r="U269" t="n">
        <v>42442.5</v>
      </c>
    </row>
    <row r="270">
      <c r="A270" t="inlineStr">
        <is>
          <t>20260815-8186-458848369</t>
        </is>
      </c>
      <c r="B270" t="n">
        <v>1</v>
      </c>
      <c r="C270" s="2" t="inlineStr">
        <is>
          <t>Василий Федоров, Юлия Федорова</t>
        </is>
      </c>
      <c r="D270" s="3" t="n">
        <v>13860</v>
      </c>
      <c r="E270" s="4" t="n">
        <v>0</v>
      </c>
      <c r="F270" t="inlineStr">
        <is>
          <t>Прямые бронирования (стойка) [Чайковский]</t>
        </is>
      </c>
      <c r="G270" s="3">
        <f>ROUND(D270/(100-E270)*100,2)</f>
        <v/>
      </c>
      <c r="H270" s="5" t="n">
        <v>46249.58333333334</v>
      </c>
      <c r="I270" t="n">
        <v>1</v>
      </c>
      <c r="J270" s="3">
        <f>G270/I270</f>
        <v/>
      </c>
      <c r="K270">
        <f>IF(J270&gt;=5100,"ставка","мин.ставка")</f>
        <v/>
      </c>
      <c r="L270" s="3">
        <f>ROUND(IF(K270="мин.ставка",I270*100,G270/102*2),2)</f>
        <v/>
      </c>
      <c r="M270" s="5" t="n">
        <v>46250.5</v>
      </c>
      <c r="N270" t="inlineStr">
        <is>
          <t>TravelLine ресепшн</t>
        </is>
      </c>
      <c r="O270" s="2" t="inlineStr">
        <is>
          <t>УЛУЧШЕННЫЙ ДВУХМЕСТНЫЙ НОМЕР</t>
        </is>
      </c>
      <c r="P270" s="6" t="n"/>
      <c r="R270" t="inlineStr"/>
      <c r="S270" t="inlineStr">
        <is>
          <t>Тариф с завтраком</t>
        </is>
      </c>
      <c r="T270" t="n">
        <v>0</v>
      </c>
      <c r="U270" t="n">
        <v>13860</v>
      </c>
    </row>
    <row r="271">
      <c r="A271" t="inlineStr">
        <is>
          <t>20260907-8186-458413850</t>
        </is>
      </c>
      <c r="B271" t="n">
        <v>1</v>
      </c>
      <c r="C271" s="2" t="inlineStr">
        <is>
          <t>ВЕНЕРА Мкртычян, ТАТЬЯНА Жидкова</t>
        </is>
      </c>
      <c r="D271" s="3" t="n">
        <v>53400</v>
      </c>
      <c r="E271" s="4" t="n">
        <v>20</v>
      </c>
      <c r="F271" t="inlineStr">
        <is>
          <t>ООО "КОМПАНИЯ БРОНЕВИК" [Чайковский]</t>
        </is>
      </c>
      <c r="G271" s="3">
        <f>ROUND(D271/(100-E271)*100,2)</f>
        <v/>
      </c>
      <c r="H271" s="5" t="n">
        <v>46272.58333333334</v>
      </c>
      <c r="I271" t="n">
        <v>5</v>
      </c>
      <c r="J271" s="3">
        <f>G271/I271</f>
        <v/>
      </c>
      <c r="K271">
        <f>IF(J271&gt;=5100,"ставка","мин.ставка")</f>
        <v/>
      </c>
      <c r="L271" s="3">
        <f>ROUND(IF(K271="мин.ставка",I271*100,G271/102*2),2)</f>
        <v/>
      </c>
      <c r="M271" s="5" t="n">
        <v>46277.5</v>
      </c>
      <c r="N271" t="inlineStr">
        <is>
          <t>TravelLine BR2</t>
        </is>
      </c>
      <c r="O271" s="2" t="inlineStr">
        <is>
          <t>УЛУЧШЕННЫЙ ДВУХМЕСТНЫЙ НОМЕР</t>
        </is>
      </c>
      <c r="P271" s="6" t="n"/>
      <c r="R271" t="inlineStr"/>
      <c r="S271" t="inlineStr">
        <is>
          <t>Тариф с завтраком</t>
        </is>
      </c>
      <c r="T271" t="n">
        <v>0</v>
      </c>
      <c r="U271" t="n">
        <v>53400</v>
      </c>
    </row>
    <row r="272">
      <c r="A272" t="inlineStr">
        <is>
          <t>20260812-8186-457461972</t>
        </is>
      </c>
      <c r="B272" t="n">
        <v>1</v>
      </c>
      <c r="C272" s="2" t="inlineStr">
        <is>
          <t>Вера Аксенова, Иван Васильев</t>
        </is>
      </c>
      <c r="D272" s="3" t="n">
        <v>57352.05</v>
      </c>
      <c r="E272" s="4" t="n">
        <v>4</v>
      </c>
      <c r="F272" t="inlineStr">
        <is>
          <t>TravelLine Booking Engine [Чайковский]</t>
        </is>
      </c>
      <c r="G272" s="3">
        <f>ROUND(D272/(100-E272)*100,2)</f>
        <v/>
      </c>
      <c r="H272" s="5" t="n">
        <v>46246.58333333334</v>
      </c>
      <c r="I272" t="n">
        <v>4</v>
      </c>
      <c r="J272" s="3">
        <f>G272/I272</f>
        <v/>
      </c>
      <c r="K272">
        <f>IF(J272&gt;=5100,"ставка","мин.ставка")</f>
        <v/>
      </c>
      <c r="L272" s="3">
        <f>ROUND(IF(K272="мин.ставка",I272*100,G272/102*2),2)</f>
        <v/>
      </c>
      <c r="M272" s="5" t="n">
        <v>46250.5</v>
      </c>
      <c r="N272" t="inlineStr">
        <is>
          <t>TravelLine сайт</t>
        </is>
      </c>
      <c r="O272" s="2" t="inlineStr">
        <is>
          <t>СЕМЕЙНЫЙ НОМЕР КАТЕГОРИИ "СТАНДАРТ" ВТОРОЙ КОРПУС</t>
        </is>
      </c>
      <c r="P272" s="6" t="n"/>
      <c r="R272" t="inlineStr"/>
      <c r="S272" t="inlineStr">
        <is>
          <t>Тариф с завтраком</t>
        </is>
      </c>
      <c r="T272" t="n">
        <v>0</v>
      </c>
      <c r="U272" t="n">
        <v>57352.05</v>
      </c>
    </row>
    <row r="273">
      <c r="A273" t="inlineStr">
        <is>
          <t>20260801-8186-431054708</t>
        </is>
      </c>
      <c r="B273" t="n">
        <v>1</v>
      </c>
      <c r="C273" s="2" t="inlineStr">
        <is>
          <t>ВЕРА БАКШИЦКАЯ, АННА АНТОНОВА</t>
        </is>
      </c>
      <c r="D273" s="3" t="n">
        <v>55440</v>
      </c>
      <c r="E273" s="4" t="n">
        <v>0</v>
      </c>
      <c r="F273" t="inlineStr">
        <is>
          <t>Прямые бронирования (стойка) [Чайковский]</t>
        </is>
      </c>
      <c r="G273" s="3">
        <f>ROUND(D273/(100-E273)*100,2)</f>
        <v/>
      </c>
      <c r="H273" s="5" t="n">
        <v>46235.58333333334</v>
      </c>
      <c r="I273" t="n">
        <v>7</v>
      </c>
      <c r="J273" s="3">
        <f>G273/I273</f>
        <v/>
      </c>
      <c r="K273">
        <f>IF(J273&gt;=5100,"ставка","мин.ставка")</f>
        <v/>
      </c>
      <c r="L273" s="3">
        <f>ROUND(IF(K273="мин.ставка",I273*100,G273/102*2),2)</f>
        <v/>
      </c>
      <c r="M273" s="5" t="n">
        <v>46242.5</v>
      </c>
      <c r="N273" t="inlineStr">
        <is>
          <t>TravelLine ресепшн</t>
        </is>
      </c>
      <c r="O273" s="2" t="inlineStr">
        <is>
          <t>СТАНДАРТНЫЙ ДВУХМЕСТНЫЙ НОМЕР (МАНСАРДА)</t>
        </is>
      </c>
      <c r="P273" s="6" t="n"/>
      <c r="R273" t="inlineStr"/>
      <c r="S273" t="inlineStr">
        <is>
          <t>Тариф с завтраком</t>
        </is>
      </c>
      <c r="T273" t="n">
        <v>0</v>
      </c>
      <c r="U273" t="n">
        <v>55440</v>
      </c>
    </row>
    <row r="274">
      <c r="A274" t="inlineStr">
        <is>
          <t>20260701-8186-445037030</t>
        </is>
      </c>
      <c r="B274" t="n">
        <v>1</v>
      </c>
      <c r="C274" s="2" t="inlineStr">
        <is>
          <t>Вера Веселова</t>
        </is>
      </c>
      <c r="D274" s="3" t="n">
        <v>46400</v>
      </c>
      <c r="E274" s="4" t="n">
        <v>18</v>
      </c>
      <c r="F274" t="inlineStr">
        <is>
          <t>Яндекс.Путешествия [Чайковский]</t>
        </is>
      </c>
      <c r="G274" s="3">
        <f>ROUND(D274/(100-E274)*100,2)</f>
        <v/>
      </c>
      <c r="H274" s="5" t="n">
        <v>46204.58333333334</v>
      </c>
      <c r="I274" t="n">
        <v>4</v>
      </c>
      <c r="J274" s="3">
        <f>G274/I274</f>
        <v/>
      </c>
      <c r="K274">
        <f>IF(J274&gt;=5100,"ставка","мин.ставка")</f>
        <v/>
      </c>
      <c r="L274" s="3">
        <f>ROUND(IF(K274="мин.ставка",I274*100,G274/102*2),2)</f>
        <v/>
      </c>
      <c r="M274" s="5" t="n">
        <v>46208.5</v>
      </c>
      <c r="N274" t="inlineStr">
        <is>
          <t>TravelLine YAX</t>
        </is>
      </c>
      <c r="O274" s="2" t="inlineStr">
        <is>
          <t>ПОЛУЛЮКС</t>
        </is>
      </c>
      <c r="P274" s="6" t="n"/>
      <c r="R274" t="inlineStr"/>
      <c r="S274" t="inlineStr">
        <is>
          <t>Тариф с завтраком</t>
        </is>
      </c>
      <c r="T274" t="n">
        <v>0</v>
      </c>
      <c r="U274" t="n">
        <v>46400</v>
      </c>
    </row>
    <row r="275">
      <c r="A275" t="inlineStr">
        <is>
          <t>20260925-8186-468362135</t>
        </is>
      </c>
      <c r="B275" t="n">
        <v>1</v>
      </c>
      <c r="C275" s="2" t="inlineStr">
        <is>
          <t>Вера Голубь</t>
        </is>
      </c>
      <c r="D275" s="3" t="n">
        <v>9534</v>
      </c>
      <c r="E275" s="4" t="n">
        <v>16</v>
      </c>
      <c r="F275" t="inlineStr">
        <is>
          <t>ООО "БРОНИРОВАНИЕ ГОСТИНИЦ" (OSTROVOK) [Чайковский]</t>
        </is>
      </c>
      <c r="G275" s="3">
        <f>ROUND(D275/(100-E275)*100,2)</f>
        <v/>
      </c>
      <c r="H275" s="5" t="n">
        <v>46290.58333333334</v>
      </c>
      <c r="I275" t="n">
        <v>1</v>
      </c>
      <c r="J275" s="3">
        <f>G275/I275</f>
        <v/>
      </c>
      <c r="K275">
        <f>IF(J275&gt;=5100,"ставка","мин.ставка")</f>
        <v/>
      </c>
      <c r="L275" s="3">
        <f>ROUND(IF(K275="мин.ставка",I275*100,G275/102*2),2)</f>
        <v/>
      </c>
      <c r="M275" s="5" t="n">
        <v>46291.5</v>
      </c>
      <c r="N275" t="inlineStr">
        <is>
          <t>TravelLine OTK</t>
        </is>
      </c>
      <c r="O275" s="2" t="inlineStr">
        <is>
          <t>СТАНДАРТНЫЙ ДВУХМЕСТНЫЙ НОМЕР</t>
        </is>
      </c>
      <c r="P275" s="6" t="n"/>
      <c r="R275" t="inlineStr"/>
      <c r="S275" t="inlineStr">
        <is>
          <t>Тариф с завтраком</t>
        </is>
      </c>
      <c r="T275" t="n">
        <v>0</v>
      </c>
      <c r="U275" t="n">
        <v>9534</v>
      </c>
    </row>
    <row r="276">
      <c r="A276" t="inlineStr">
        <is>
          <t>20260706-8186-447621903</t>
        </is>
      </c>
      <c r="B276" t="n">
        <v>1</v>
      </c>
      <c r="C276" s="2" t="inlineStr">
        <is>
          <t>Вера Скитыба</t>
        </is>
      </c>
      <c r="D276" s="3" t="n">
        <v>19805</v>
      </c>
      <c r="E276" s="4" t="n">
        <v>15</v>
      </c>
      <c r="F276" t="inlineStr">
        <is>
          <t>ООО Тинькофф Путешествия [Чайковский]</t>
        </is>
      </c>
      <c r="G276" s="3">
        <f>ROUND(D276/(100-E276)*100,2)</f>
        <v/>
      </c>
      <c r="H276" s="5" t="n">
        <v>46209.58333333334</v>
      </c>
      <c r="I276" t="n">
        <v>2</v>
      </c>
      <c r="J276" s="3">
        <f>G276/I276</f>
        <v/>
      </c>
      <c r="K276">
        <f>IF(J276&gt;=5100,"ставка","мин.ставка")</f>
        <v/>
      </c>
      <c r="L276" s="3">
        <f>ROUND(IF(K276="мин.ставка",I276*100,G276/102*2),2)</f>
        <v/>
      </c>
      <c r="M276" s="5" t="n">
        <v>46211.5</v>
      </c>
      <c r="N276" t="inlineStr">
        <is>
          <t>TravelLine TNK</t>
        </is>
      </c>
      <c r="O276" s="2" t="inlineStr">
        <is>
          <t>УЛУЧШЕННЫЙ ДВУХМЕСТНЫЙ НОМЕР</t>
        </is>
      </c>
      <c r="P276" s="6" t="n"/>
      <c r="R276" t="inlineStr"/>
      <c r="S276" t="inlineStr">
        <is>
          <t>Тариф с завтраком</t>
        </is>
      </c>
      <c r="T276" t="n">
        <v>0</v>
      </c>
      <c r="U276" t="n">
        <v>19805</v>
      </c>
    </row>
    <row r="277">
      <c r="A277" t="inlineStr">
        <is>
          <t>20260918-8186-461156942</t>
        </is>
      </c>
      <c r="B277" t="n">
        <v>1</v>
      </c>
      <c r="C277" s="2" t="inlineStr">
        <is>
          <t>ВЕРОНИКА ВОЛКОВА, НИКОЛАЙ КАРАПЧЕЕВ</t>
        </is>
      </c>
      <c r="D277" s="3" t="n">
        <v>22780</v>
      </c>
      <c r="E277" s="4" t="n">
        <v>15</v>
      </c>
      <c r="F277" t="inlineStr">
        <is>
          <t>ООО "АКАДЕМ-ОНЛАЙН" [Чайковский]</t>
        </is>
      </c>
      <c r="G277" s="3">
        <f>ROUND(D277/(100-E277)*100,2)</f>
        <v/>
      </c>
      <c r="H277" s="5" t="n">
        <v>46283.58333333334</v>
      </c>
      <c r="I277" t="n">
        <v>2</v>
      </c>
      <c r="J277" s="3">
        <f>G277/I277</f>
        <v/>
      </c>
      <c r="K277">
        <f>IF(J277&gt;=5100,"ставка","мин.ставка")</f>
        <v/>
      </c>
      <c r="L277" s="3">
        <f>ROUND(IF(K277="мин.ставка",I277*100,G277/102*2),2)</f>
        <v/>
      </c>
      <c r="M277" s="5" t="n">
        <v>46285.875</v>
      </c>
      <c r="N277" t="inlineStr">
        <is>
          <t>TravelLine ACS</t>
        </is>
      </c>
      <c r="O277" s="2" t="inlineStr">
        <is>
          <t>УЛУЧШЕННЫЙ ДВУХМЕСТНЫЙ НОМЕР</t>
        </is>
      </c>
      <c r="P277" s="6" t="n"/>
      <c r="R277" t="inlineStr"/>
      <c r="S277" t="inlineStr">
        <is>
          <t>Тариф с завтраком</t>
        </is>
      </c>
      <c r="T277" t="n">
        <v>10700</v>
      </c>
      <c r="U277" t="n">
        <v>33480</v>
      </c>
    </row>
    <row r="278">
      <c r="A278" t="inlineStr">
        <is>
          <t>20260901-8186-461814037</t>
        </is>
      </c>
      <c r="B278" t="n">
        <v>1</v>
      </c>
      <c r="C278" s="2" t="inlineStr">
        <is>
          <t>Вероника Левина</t>
        </is>
      </c>
      <c r="D278" s="3" t="n">
        <v>19295</v>
      </c>
      <c r="E278" s="4" t="n">
        <v>15</v>
      </c>
      <c r="F278" t="inlineStr">
        <is>
          <t>ООО «12Т» (ранее ONE TWO TRIP) [Чайковский]</t>
        </is>
      </c>
      <c r="G278" s="3">
        <f>ROUND(D278/(100-E278)*100,2)</f>
        <v/>
      </c>
      <c r="H278" s="5" t="n">
        <v>46266.58333333334</v>
      </c>
      <c r="I278" t="n">
        <v>2</v>
      </c>
      <c r="J278" s="3">
        <f>G278/I278</f>
        <v/>
      </c>
      <c r="K278">
        <f>IF(J278&gt;=5100,"ставка","мин.ставка")</f>
        <v/>
      </c>
      <c r="L278" s="3">
        <f>ROUND(IF(K278="мин.ставка",I278*100,G278/102*2),2)</f>
        <v/>
      </c>
      <c r="M278" s="5" t="n">
        <v>46268.5</v>
      </c>
      <c r="N278" t="inlineStr">
        <is>
          <t>TravelLine OTT</t>
        </is>
      </c>
      <c r="O278" s="2" t="inlineStr">
        <is>
          <t>СТАНДАРТНЫЙ ДВУХМЕСТНЫЙ НОМЕР</t>
        </is>
      </c>
      <c r="P278" s="6" t="n"/>
      <c r="R278" t="inlineStr"/>
      <c r="S278" t="inlineStr">
        <is>
          <t>Тариф с завтраком</t>
        </is>
      </c>
      <c r="T278" t="n">
        <v>0</v>
      </c>
      <c r="U278" t="n">
        <v>19295</v>
      </c>
    </row>
    <row r="279">
      <c r="A279" t="inlineStr">
        <is>
          <t>20260722-8186-423776337</t>
        </is>
      </c>
      <c r="B279" t="n">
        <v>1</v>
      </c>
      <c r="C279" s="2" t="inlineStr">
        <is>
          <t>Вероника Новик, Роман Хвостов</t>
        </is>
      </c>
      <c r="D279" s="3" t="n">
        <v>74760</v>
      </c>
      <c r="E279" s="4" t="n">
        <v>18</v>
      </c>
      <c r="F279" t="inlineStr">
        <is>
          <t>Яндекс.Путешествия [Чайковский]</t>
        </is>
      </c>
      <c r="G279" s="3">
        <f>ROUND(D279/(100-E279)*100,2)</f>
        <v/>
      </c>
      <c r="H279" s="5" t="n">
        <v>46225.58333333334</v>
      </c>
      <c r="I279" t="n">
        <v>7</v>
      </c>
      <c r="J279" s="3">
        <f>G279/I279</f>
        <v/>
      </c>
      <c r="K279">
        <f>IF(J279&gt;=5100,"ставка","мин.ставка")</f>
        <v/>
      </c>
      <c r="L279" s="3">
        <f>ROUND(IF(K279="мин.ставка",I279*100,G279/102*2),2)</f>
        <v/>
      </c>
      <c r="M279" s="5" t="n">
        <v>46232.5</v>
      </c>
      <c r="N279" t="inlineStr">
        <is>
          <t>TravelLine YAX</t>
        </is>
      </c>
      <c r="O279" s="2" t="inlineStr">
        <is>
          <t>СТАНДАРТНЫЙ ДВУХМЕСТНЫЙ НОМЕР</t>
        </is>
      </c>
      <c r="P279" s="6" t="n"/>
      <c r="R279" t="inlineStr"/>
      <c r="S279" t="inlineStr">
        <is>
          <t>Тариф с завтраком</t>
        </is>
      </c>
      <c r="T279" t="n">
        <v>0</v>
      </c>
      <c r="U279" t="n">
        <v>74760</v>
      </c>
    </row>
    <row r="280">
      <c r="A280" t="inlineStr">
        <is>
          <t>20260809-8186-453143190</t>
        </is>
      </c>
      <c r="B280" t="n">
        <v>1</v>
      </c>
      <c r="C280" s="2" t="inlineStr">
        <is>
          <t>ВЕРОНИКА СЕРЕБРЯКОВА</t>
        </is>
      </c>
      <c r="D280" s="3" t="n">
        <v>18160</v>
      </c>
      <c r="E280" s="4" t="n">
        <v>18</v>
      </c>
      <c r="F280" t="inlineStr">
        <is>
          <t>Яндекс.Путешествия [Чайковский]</t>
        </is>
      </c>
      <c r="G280" s="3">
        <f>ROUND(D280/(100-E280)*100,2)</f>
        <v/>
      </c>
      <c r="H280" s="5" t="n">
        <v>46243.58333333334</v>
      </c>
      <c r="I280" t="n">
        <v>2</v>
      </c>
      <c r="J280" s="3">
        <f>G280/I280</f>
        <v/>
      </c>
      <c r="K280">
        <f>IF(J280&gt;=5100,"ставка","мин.ставка")</f>
        <v/>
      </c>
      <c r="L280" s="3">
        <f>ROUND(IF(K280="мин.ставка",I280*100,G280/102*2),2)</f>
        <v/>
      </c>
      <c r="M280" s="5" t="n">
        <v>46245.5</v>
      </c>
      <c r="N280" t="inlineStr">
        <is>
          <t>TravelLine YAX</t>
        </is>
      </c>
      <c r="O280" s="2" t="inlineStr">
        <is>
          <t>СТАНДАРТНЫЙ ДВУХМЕСТНЫЙ НОМЕР</t>
        </is>
      </c>
      <c r="P280" s="6" t="n"/>
      <c r="R280" t="inlineStr"/>
      <c r="S280" t="inlineStr">
        <is>
          <t>Тариф с завтраком</t>
        </is>
      </c>
      <c r="T280" t="n">
        <v>0</v>
      </c>
      <c r="U280" t="n">
        <v>18160</v>
      </c>
    </row>
    <row r="281">
      <c r="A281" t="inlineStr">
        <is>
          <t>20260710-8186-449179588</t>
        </is>
      </c>
      <c r="B281" t="n">
        <v>1</v>
      </c>
      <c r="C281" s="2" t="inlineStr">
        <is>
          <t>Виктор Дьяков</t>
        </is>
      </c>
      <c r="D281" s="3" t="n">
        <v>9315</v>
      </c>
      <c r="E281" s="4" t="n">
        <v>0</v>
      </c>
      <c r="F281" t="inlineStr">
        <is>
          <t>Прямые бронирования (стойка) [Чайковский]</t>
        </is>
      </c>
      <c r="G281" s="3">
        <f>ROUND(D281/(100-E281)*100,2)</f>
        <v/>
      </c>
      <c r="H281" s="5" t="n">
        <v>46213.58333333334</v>
      </c>
      <c r="I281" t="n">
        <v>1</v>
      </c>
      <c r="J281" s="3">
        <f>G281/I281</f>
        <v/>
      </c>
      <c r="K281">
        <f>IF(J281&gt;=5100,"ставка","мин.ставка")</f>
        <v/>
      </c>
      <c r="L281" s="3">
        <f>ROUND(IF(K281="мин.ставка",I281*100,G281/102*2),2)</f>
        <v/>
      </c>
      <c r="M281" s="5" t="n">
        <v>46214.5</v>
      </c>
      <c r="N281" t="inlineStr">
        <is>
          <t>TravelLine ресепшн</t>
        </is>
      </c>
      <c r="O281" s="2" t="inlineStr">
        <is>
          <t>СТАНДАРТНЫЙ ДВУХМЕСТНЫЙ НОМЕР</t>
        </is>
      </c>
      <c r="P281" s="6" t="n"/>
      <c r="R281" t="inlineStr"/>
      <c r="S281" t="inlineStr">
        <is>
          <t>Тариф с завтраком</t>
        </is>
      </c>
      <c r="T281" t="n">
        <v>0</v>
      </c>
      <c r="U281" t="n">
        <v>9315</v>
      </c>
    </row>
    <row r="282">
      <c r="A282" t="inlineStr">
        <is>
          <t>20260822-8186-425651545</t>
        </is>
      </c>
      <c r="B282" t="n">
        <v>1</v>
      </c>
      <c r="C282" s="2" t="inlineStr">
        <is>
          <t>Виктор Дюков, Лариса Дюкова</t>
        </is>
      </c>
      <c r="D282" s="3" t="n">
        <v>60876</v>
      </c>
      <c r="E282" s="4" t="n">
        <v>18</v>
      </c>
      <c r="F282" t="inlineStr">
        <is>
          <t>Яндекс.Путешествия [Чайковский]</t>
        </is>
      </c>
      <c r="G282" s="3">
        <f>ROUND(D282/(100-E282)*100,2)</f>
        <v/>
      </c>
      <c r="H282" s="5" t="n">
        <v>46256.58333333334</v>
      </c>
      <c r="I282" t="n">
        <v>6</v>
      </c>
      <c r="J282" s="3">
        <f>G282/I282</f>
        <v/>
      </c>
      <c r="K282">
        <f>IF(J282&gt;=5100,"ставка","мин.ставка")</f>
        <v/>
      </c>
      <c r="L282" s="3">
        <f>ROUND(IF(K282="мин.ставка",I282*100,G282/102*2),2)</f>
        <v/>
      </c>
      <c r="M282" s="5" t="n">
        <v>46262.5</v>
      </c>
      <c r="N282" t="inlineStr">
        <is>
          <t>TravelLine YAX</t>
        </is>
      </c>
      <c r="O282" s="2" t="inlineStr">
        <is>
          <t>СТАНДАРТНЫЙ ДВУХМЕСТНЫЙ НОМЕР</t>
        </is>
      </c>
      <c r="P282" s="6" t="n"/>
      <c r="R282" t="inlineStr"/>
      <c r="S282" t="inlineStr">
        <is>
          <t>Тариф с завтраком</t>
        </is>
      </c>
      <c r="T282" t="n">
        <v>0</v>
      </c>
      <c r="U282" t="n">
        <v>182928</v>
      </c>
    </row>
    <row r="283">
      <c r="A283" t="inlineStr">
        <is>
          <t>20260810-8186-439226204</t>
        </is>
      </c>
      <c r="B283" t="n">
        <v>1</v>
      </c>
      <c r="C283" s="2" t="inlineStr">
        <is>
          <t>ВИКТОР МАРТЫНОВ</t>
        </is>
      </c>
      <c r="D283" s="3" t="n">
        <v>21440</v>
      </c>
      <c r="E283" s="4" t="n">
        <v>20</v>
      </c>
      <c r="F283" t="inlineStr">
        <is>
          <t>ООО "ХБ-ПРО" [Чайковский]</t>
        </is>
      </c>
      <c r="G283" s="3">
        <f>ROUND(D283/(100-E283)*100,2)</f>
        <v/>
      </c>
      <c r="H283" s="5" t="n">
        <v>46244.58333333334</v>
      </c>
      <c r="I283" t="n">
        <v>2</v>
      </c>
      <c r="J283" s="3">
        <f>G283/I283</f>
        <v/>
      </c>
      <c r="K283">
        <f>IF(J283&gt;=5100,"ставка","мин.ставка")</f>
        <v/>
      </c>
      <c r="L283" s="3">
        <f>ROUND(IF(K283="мин.ставка",I283*100,G283/102*2),2)</f>
        <v/>
      </c>
      <c r="M283" s="5" t="n">
        <v>46246.5</v>
      </c>
      <c r="N283" t="inlineStr">
        <is>
          <t>TravelLine UTS</t>
        </is>
      </c>
      <c r="O283" s="2" t="inlineStr">
        <is>
          <t>УЛУЧШЕННЫЙ ДВУХМЕСТНЫЙ НОМЕР</t>
        </is>
      </c>
      <c r="P283" s="6" t="n"/>
      <c r="R283" t="inlineStr"/>
      <c r="S283" t="inlineStr">
        <is>
          <t>Тариф с завтраком</t>
        </is>
      </c>
      <c r="T283" t="n">
        <v>0</v>
      </c>
      <c r="U283" t="n">
        <v>21440</v>
      </c>
    </row>
    <row r="284">
      <c r="A284" t="inlineStr">
        <is>
          <t>20260721-8186-448633630</t>
        </is>
      </c>
      <c r="B284" t="n">
        <v>1</v>
      </c>
      <c r="C284" s="2" t="inlineStr">
        <is>
          <t>Виктор Распутин</t>
        </is>
      </c>
      <c r="D284" s="3" t="n">
        <v>27240</v>
      </c>
      <c r="E284" s="4" t="n">
        <v>18</v>
      </c>
      <c r="F284" t="inlineStr">
        <is>
          <t>Яндекс.Путешествия [Чайковский]</t>
        </is>
      </c>
      <c r="G284" s="3">
        <f>ROUND(D284/(100-E284)*100,2)</f>
        <v/>
      </c>
      <c r="H284" s="5" t="n">
        <v>46224.58333333334</v>
      </c>
      <c r="I284" t="n">
        <v>3</v>
      </c>
      <c r="J284" s="3">
        <f>G284/I284</f>
        <v/>
      </c>
      <c r="K284">
        <f>IF(J284&gt;=5100,"ставка","мин.ставка")</f>
        <v/>
      </c>
      <c r="L284" s="3">
        <f>ROUND(IF(K284="мин.ставка",I284*100,G284/102*2),2)</f>
        <v/>
      </c>
      <c r="M284" s="5" t="n">
        <v>46227.5</v>
      </c>
      <c r="N284" t="inlineStr">
        <is>
          <t>TravelLine YAX</t>
        </is>
      </c>
      <c r="O284" s="2" t="inlineStr">
        <is>
          <t>СТАНДАРТНЫЙ ДВУХМЕСТНЫЙ НОМЕР</t>
        </is>
      </c>
      <c r="P284" s="6" t="n"/>
      <c r="R284" t="inlineStr"/>
      <c r="S284" t="inlineStr">
        <is>
          <t>Тариф с завтраком</t>
        </is>
      </c>
      <c r="T284" t="n">
        <v>960</v>
      </c>
      <c r="U284" t="n">
        <v>28200</v>
      </c>
    </row>
    <row r="285">
      <c r="A285" t="inlineStr">
        <is>
          <t>20260712-8186-449238818</t>
        </is>
      </c>
      <c r="B285" t="n">
        <v>1</v>
      </c>
      <c r="C285" s="2" t="inlineStr">
        <is>
          <t>ВИКТОР САЛИВОНЕНКО</t>
        </is>
      </c>
      <c r="D285" s="3" t="n">
        <v>13114</v>
      </c>
      <c r="E285" s="4" t="n">
        <v>0</v>
      </c>
      <c r="F285" t="inlineStr">
        <is>
          <t>Прямые бронирования (стойка) [Чайковский]</t>
        </is>
      </c>
      <c r="G285" s="3">
        <f>ROUND(D285/(100-E285)*100,2)</f>
        <v/>
      </c>
      <c r="H285" s="5" t="n">
        <v>46215.58333333334</v>
      </c>
      <c r="I285" t="n">
        <v>2</v>
      </c>
      <c r="J285" s="3">
        <f>G285/I285</f>
        <v/>
      </c>
      <c r="K285">
        <f>IF(J285&gt;=5100,"ставка","мин.ставка")</f>
        <v/>
      </c>
      <c r="L285" s="3">
        <f>ROUND(IF(K285="мин.ставка",I285*100,G285/102*2),2)</f>
        <v/>
      </c>
      <c r="M285" s="5" t="n">
        <v>46217.5</v>
      </c>
      <c r="N285" t="inlineStr">
        <is>
          <t>TravelLine CMB</t>
        </is>
      </c>
      <c r="O285" s="2" t="inlineStr">
        <is>
          <t>СТАНДАРТНЫЙ ДВУХМЕСТНЫЙ НОМЕР (МАНСАРДА)</t>
        </is>
      </c>
      <c r="P285" s="6" t="n"/>
      <c r="R285" t="inlineStr"/>
      <c r="S285" t="inlineStr">
        <is>
          <t>Тариф с завтраком</t>
        </is>
      </c>
      <c r="T285" t="n">
        <v>0</v>
      </c>
      <c r="U285" t="n">
        <v>13114</v>
      </c>
    </row>
    <row r="286">
      <c r="A286" t="inlineStr">
        <is>
          <t>20260711-8186-431323267</t>
        </is>
      </c>
      <c r="B286" t="n">
        <v>1</v>
      </c>
      <c r="C286" s="2" t="inlineStr">
        <is>
          <t>Виктор Соломенцев</t>
        </is>
      </c>
      <c r="D286" s="3" t="n">
        <v>37682</v>
      </c>
      <c r="E286" s="4" t="n">
        <v>17</v>
      </c>
      <c r="F286" t="inlineStr">
        <is>
          <t>ООО «Дубль Гис» (OTELLO) [Чайковский]</t>
        </is>
      </c>
      <c r="G286" s="3">
        <f>ROUND(D286/(100-E286)*100,2)</f>
        <v/>
      </c>
      <c r="H286" s="5" t="n">
        <v>46214.58333333334</v>
      </c>
      <c r="I286" t="n">
        <v>4</v>
      </c>
      <c r="J286" s="3">
        <f>G286/I286</f>
        <v/>
      </c>
      <c r="K286">
        <f>IF(J286&gt;=5100,"ставка","мин.ставка")</f>
        <v/>
      </c>
      <c r="L286" s="3">
        <f>ROUND(IF(K286="мин.ставка",I286*100,G286/102*2),2)</f>
        <v/>
      </c>
      <c r="M286" s="5" t="n">
        <v>46218.5</v>
      </c>
      <c r="N286" t="inlineStr">
        <is>
          <t>TravelLine OL2</t>
        </is>
      </c>
      <c r="O286" s="2" t="inlineStr">
        <is>
          <t>СТАНДАРТНЫЙ ДВУХМЕСТНЫЙ НОМЕР</t>
        </is>
      </c>
      <c r="P286" s="6" t="n"/>
      <c r="R286" t="inlineStr"/>
      <c r="S286" t="inlineStr">
        <is>
          <t>Тариф с завтраком</t>
        </is>
      </c>
      <c r="T286" t="n">
        <v>0</v>
      </c>
      <c r="U286" t="n">
        <v>37682</v>
      </c>
    </row>
    <row r="287">
      <c r="A287" t="inlineStr">
        <is>
          <t>20260911-8186-427435236</t>
        </is>
      </c>
      <c r="B287" t="n">
        <v>1</v>
      </c>
      <c r="C287" s="2" t="inlineStr">
        <is>
          <t>Виктория Ветренко, АНАСТАСИЯ ХАБАРОВА</t>
        </is>
      </c>
      <c r="D287" s="3" t="n">
        <v>19651.5</v>
      </c>
      <c r="E287" s="4" t="n">
        <v>4</v>
      </c>
      <c r="F287" t="inlineStr">
        <is>
          <t>TravelLine Booking Engine [Чайковский]</t>
        </is>
      </c>
      <c r="G287" s="3">
        <f>ROUND(D287/(100-E287)*100,2)</f>
        <v/>
      </c>
      <c r="H287" s="5" t="n">
        <v>46276.58333333334</v>
      </c>
      <c r="I287" t="n">
        <v>2</v>
      </c>
      <c r="J287" s="3">
        <f>G287/I287</f>
        <v/>
      </c>
      <c r="K287">
        <f>IF(J287&gt;=5100,"ставка","мин.ставка")</f>
        <v/>
      </c>
      <c r="L287" s="3">
        <f>ROUND(IF(K287="мин.ставка",I287*100,G287/102*2),2)</f>
        <v/>
      </c>
      <c r="M287" s="5" t="n">
        <v>46278.5</v>
      </c>
      <c r="N287" t="inlineStr">
        <is>
          <t>TravelLine сайт</t>
        </is>
      </c>
      <c r="O287" s="2" t="inlineStr">
        <is>
          <t>СТАНДАРТНЫЙ ДВУХМЕСТНЫЙ НОМЕР (МАНСАРДА)</t>
        </is>
      </c>
      <c r="P287" s="6" t="n"/>
      <c r="R287" t="inlineStr"/>
      <c r="S287" t="inlineStr">
        <is>
          <t>Тариф с завтраком</t>
        </is>
      </c>
      <c r="T287" t="n">
        <v>0</v>
      </c>
      <c r="U287" t="n">
        <v>19651.5</v>
      </c>
    </row>
    <row r="288">
      <c r="A288" t="inlineStr">
        <is>
          <t>20260917-8186-465935315</t>
        </is>
      </c>
      <c r="B288" t="n">
        <v>1</v>
      </c>
      <c r="C288" s="2" t="inlineStr">
        <is>
          <t>Виктория Гриценко</t>
        </is>
      </c>
      <c r="D288" s="3" t="n">
        <v>9534</v>
      </c>
      <c r="E288" s="4" t="n">
        <v>16</v>
      </c>
      <c r="F288" t="inlineStr">
        <is>
          <t>ООО "БРОНИРОВАНИЕ ГОСТИНИЦ" (OSTROVOK) [Чайковский]</t>
        </is>
      </c>
      <c r="G288" s="3">
        <f>ROUND(D288/(100-E288)*100,2)</f>
        <v/>
      </c>
      <c r="H288" s="5" t="n">
        <v>46282.58333333334</v>
      </c>
      <c r="I288" t="n">
        <v>1</v>
      </c>
      <c r="J288" s="3">
        <f>G288/I288</f>
        <v/>
      </c>
      <c r="K288">
        <f>IF(J288&gt;=5100,"ставка","мин.ставка")</f>
        <v/>
      </c>
      <c r="L288" s="3">
        <f>ROUND(IF(K288="мин.ставка",I288*100,G288/102*2),2)</f>
        <v/>
      </c>
      <c r="M288" s="5" t="n">
        <v>46283.5</v>
      </c>
      <c r="N288" t="inlineStr">
        <is>
          <t>TravelLine OTK</t>
        </is>
      </c>
      <c r="O288" s="2" t="inlineStr">
        <is>
          <t>СТАНДАРТНЫЙ ДВУХМЕСТНЫЙ НОМЕР</t>
        </is>
      </c>
      <c r="P288" s="6" t="n"/>
      <c r="R288" t="inlineStr"/>
      <c r="S288" t="inlineStr">
        <is>
          <t>Тариф с завтраком</t>
        </is>
      </c>
      <c r="T288" t="n">
        <v>0</v>
      </c>
      <c r="U288" t="n">
        <v>9534</v>
      </c>
    </row>
    <row r="289">
      <c r="A289" t="inlineStr">
        <is>
          <t>20260729-8186-451492736</t>
        </is>
      </c>
      <c r="B289" t="n">
        <v>1</v>
      </c>
      <c r="C289" s="2" t="inlineStr">
        <is>
          <t>Виктория Квинт</t>
        </is>
      </c>
      <c r="D289" s="3" t="n">
        <v>10215</v>
      </c>
      <c r="E289" s="4" t="n">
        <v>0</v>
      </c>
      <c r="F289" t="inlineStr">
        <is>
          <t>Прямые бронирования (стойка) [Чайковский]</t>
        </is>
      </c>
      <c r="G289" s="3">
        <f>ROUND(D289/(100-E289)*100,2)</f>
        <v/>
      </c>
      <c r="H289" s="5" t="n">
        <v>46232.58333333334</v>
      </c>
      <c r="I289" t="n">
        <v>1</v>
      </c>
      <c r="J289" s="3">
        <f>G289/I289</f>
        <v/>
      </c>
      <c r="K289">
        <f>IF(J289&gt;=5100,"ставка","мин.ставка")</f>
        <v/>
      </c>
      <c r="L289" s="3">
        <f>ROUND(IF(K289="мин.ставка",I289*100,G289/102*2),2)</f>
        <v/>
      </c>
      <c r="M289" s="5" t="n">
        <v>46233.5</v>
      </c>
      <c r="N289" t="inlineStr">
        <is>
          <t>TravelLine ресепшн</t>
        </is>
      </c>
      <c r="O289" s="2" t="inlineStr">
        <is>
          <t>СТАНДАРТНЫЙ ДВУХМЕСТНЫЙ НОМЕР</t>
        </is>
      </c>
      <c r="P289" s="6" t="n"/>
      <c r="R289" t="inlineStr"/>
      <c r="S289" t="inlineStr">
        <is>
          <t>Тариф с завтраком</t>
        </is>
      </c>
      <c r="T289" t="n">
        <v>0</v>
      </c>
      <c r="U289" t="n">
        <v>10215</v>
      </c>
    </row>
    <row r="290">
      <c r="A290" t="inlineStr">
        <is>
          <t>20260818-8186-422878428</t>
        </is>
      </c>
      <c r="B290" t="n">
        <v>1</v>
      </c>
      <c r="C290" s="2" t="inlineStr">
        <is>
          <t>ВИКТОРИЯ НИКОЛАЕВА, АНДРЕЙ НИКОЛАЕВ</t>
        </is>
      </c>
      <c r="D290" s="3" t="n">
        <v>23760</v>
      </c>
      <c r="E290" s="4" t="n">
        <v>0</v>
      </c>
      <c r="F290" t="inlineStr">
        <is>
          <t>Прямые бронирования (стойка) [Чайковский]</t>
        </is>
      </c>
      <c r="G290" s="3">
        <f>ROUND(D290/(100-E290)*100,2)</f>
        <v/>
      </c>
      <c r="H290" s="5" t="n">
        <v>46252.58333333334</v>
      </c>
      <c r="I290" t="n">
        <v>3</v>
      </c>
      <c r="J290" s="3">
        <f>G290/I290</f>
        <v/>
      </c>
      <c r="K290">
        <f>IF(J290&gt;=5100,"ставка","мин.ставка")</f>
        <v/>
      </c>
      <c r="L290" s="3">
        <f>ROUND(IF(K290="мин.ставка",I290*100,G290/102*2),2)</f>
        <v/>
      </c>
      <c r="M290" s="5" t="n">
        <v>46255.5</v>
      </c>
      <c r="N290" t="inlineStr">
        <is>
          <t>TravelLine ресепшн</t>
        </is>
      </c>
      <c r="O290" s="2" t="inlineStr">
        <is>
          <t>СТАНДАРТНЫЙ ДВУХМЕСТНЫЙ НОМЕР (МАНСАРДА)</t>
        </is>
      </c>
      <c r="P290" s="6" t="n"/>
      <c r="R290" t="inlineStr"/>
      <c r="S290" t="inlineStr">
        <is>
          <t>Тариф с завтраком</t>
        </is>
      </c>
      <c r="T290" t="n">
        <v>0</v>
      </c>
      <c r="U290" t="n">
        <v>23760</v>
      </c>
    </row>
    <row r="291">
      <c r="A291" t="inlineStr">
        <is>
          <t>20260819-8186-452060793</t>
        </is>
      </c>
      <c r="B291" t="n">
        <v>1</v>
      </c>
      <c r="C291" s="2" t="inlineStr">
        <is>
          <t>Виталий Быков, Алина Быкова</t>
        </is>
      </c>
      <c r="D291" s="3" t="n">
        <v>79200</v>
      </c>
      <c r="E291" s="4" t="n">
        <v>20</v>
      </c>
      <c r="F291" t="inlineStr">
        <is>
          <t>ООО "КОМПАНИЯ БРОНЕВИК" [Чайковский]</t>
        </is>
      </c>
      <c r="G291" s="3">
        <f>ROUND(D291/(100-E291)*100,2)</f>
        <v/>
      </c>
      <c r="H291" s="5" t="n">
        <v>46253.58333333334</v>
      </c>
      <c r="I291" t="n">
        <v>6</v>
      </c>
      <c r="J291" s="3">
        <f>G291/I291</f>
        <v/>
      </c>
      <c r="K291">
        <f>IF(J291&gt;=5100,"ставка","мин.ставка")</f>
        <v/>
      </c>
      <c r="L291" s="3">
        <f>ROUND(IF(K291="мин.ставка",I291*100,G291/102*2),2)</f>
        <v/>
      </c>
      <c r="M291" s="5" t="n">
        <v>46259.5</v>
      </c>
      <c r="N291" t="inlineStr">
        <is>
          <t>TravelLine BR2</t>
        </is>
      </c>
      <c r="O291" s="2" t="inlineStr">
        <is>
          <t>ПОЛУЛЮКС</t>
        </is>
      </c>
      <c r="P291" s="6" t="n"/>
      <c r="R291" t="inlineStr"/>
      <c r="S291" t="inlineStr">
        <is>
          <t>Тариф с завтраком</t>
        </is>
      </c>
      <c r="T291" t="n">
        <v>0</v>
      </c>
      <c r="U291" t="n">
        <v>79200</v>
      </c>
    </row>
    <row r="292">
      <c r="A292" t="inlineStr">
        <is>
          <t>20260727-8186-442199480</t>
        </is>
      </c>
      <c r="B292" t="n">
        <v>1</v>
      </c>
      <c r="C292" s="2" t="inlineStr">
        <is>
          <t>Виталий Давыдов, Анастасия Королева</t>
        </is>
      </c>
      <c r="D292" s="3" t="n">
        <v>34042.5</v>
      </c>
      <c r="E292" s="4" t="n">
        <v>15</v>
      </c>
      <c r="F292" t="inlineStr">
        <is>
          <t>ООО Тинькофф Путешествия [Чайковский]</t>
        </is>
      </c>
      <c r="G292" s="3">
        <f>ROUND(D292/(100-E292)*100,2)</f>
        <v/>
      </c>
      <c r="H292" s="5" t="n">
        <v>46230.66666666666</v>
      </c>
      <c r="I292" t="n">
        <v>3</v>
      </c>
      <c r="J292" s="3">
        <f>G292/I292</f>
        <v/>
      </c>
      <c r="K292">
        <f>IF(J292&gt;=5100,"ставка","мин.ставка")</f>
        <v/>
      </c>
      <c r="L292" s="3">
        <f>ROUND(IF(K292="мин.ставка",I292*100,G292/102*2),2)</f>
        <v/>
      </c>
      <c r="M292" s="5" t="n">
        <v>46233.5</v>
      </c>
      <c r="N292" t="inlineStr">
        <is>
          <t>TravelLine TNK</t>
        </is>
      </c>
      <c r="O292" s="2" t="inlineStr">
        <is>
          <t>СТАНДАРТНЫЙ ДВУХМЕСТНЫЙ НОМЕР</t>
        </is>
      </c>
      <c r="P292" s="6" t="n"/>
      <c r="R292" t="inlineStr"/>
      <c r="S292" t="inlineStr">
        <is>
          <t>Тариф с завтраком</t>
        </is>
      </c>
      <c r="T292" t="n">
        <v>0</v>
      </c>
      <c r="U292" t="n">
        <v>34042.5</v>
      </c>
    </row>
    <row r="293">
      <c r="A293" t="inlineStr">
        <is>
          <t>20260919-8186-459516081</t>
        </is>
      </c>
      <c r="B293" t="n">
        <v>1</v>
      </c>
      <c r="C293" s="2" t="inlineStr">
        <is>
          <t>Виталий Игумнов</t>
        </is>
      </c>
      <c r="D293" s="3" t="n">
        <v>10215</v>
      </c>
      <c r="E293" s="4" t="n">
        <v>0</v>
      </c>
      <c r="F293" t="inlineStr">
        <is>
          <t>Прямые бронирования (стойка) [Чайковский]</t>
        </is>
      </c>
      <c r="G293" s="3">
        <f>ROUND(D293/(100-E293)*100,2)</f>
        <v/>
      </c>
      <c r="H293" s="5" t="n">
        <v>46284.58333333334</v>
      </c>
      <c r="I293" t="n">
        <v>1</v>
      </c>
      <c r="J293" s="3">
        <f>G293/I293</f>
        <v/>
      </c>
      <c r="K293">
        <f>IF(J293&gt;=5100,"ставка","мин.ставка")</f>
        <v/>
      </c>
      <c r="L293" s="3">
        <f>ROUND(IF(K293="мин.ставка",I293*100,G293/102*2),2)</f>
        <v/>
      </c>
      <c r="M293" s="5" t="n">
        <v>46285.5</v>
      </c>
      <c r="N293" t="inlineStr">
        <is>
          <t>TravelLine ресепшн</t>
        </is>
      </c>
      <c r="O293" s="2" t="inlineStr">
        <is>
          <t>СТАНДАРТНЫЙ ДВУХМЕСТНЫЙ НОМЕР</t>
        </is>
      </c>
      <c r="P293" s="6" t="n"/>
      <c r="R293" t="inlineStr"/>
      <c r="S293" t="inlineStr">
        <is>
          <t>Тариф с завтраком</t>
        </is>
      </c>
      <c r="T293" t="n">
        <v>0</v>
      </c>
      <c r="U293" t="n">
        <v>10215</v>
      </c>
    </row>
    <row r="294">
      <c r="A294" t="inlineStr">
        <is>
          <t>20260702-8186-445307388</t>
        </is>
      </c>
      <c r="B294" t="n">
        <v>1</v>
      </c>
      <c r="C294" s="2" t="inlineStr">
        <is>
          <t>Виталина Никифоренко, Андрей Никифоренко</t>
        </is>
      </c>
      <c r="D294" s="3" t="n">
        <v>21360</v>
      </c>
      <c r="E294" s="4" t="n">
        <v>20</v>
      </c>
      <c r="F294" t="inlineStr">
        <is>
          <t>ООО "КОМПАНИЯ БРОНЕВИК" [Чайковский]</t>
        </is>
      </c>
      <c r="G294" s="3">
        <f>ROUND(D294/(100-E294)*100,2)</f>
        <v/>
      </c>
      <c r="H294" s="5" t="n">
        <v>46205.58333333334</v>
      </c>
      <c r="I294" t="n">
        <v>2</v>
      </c>
      <c r="J294" s="3">
        <f>G294/I294</f>
        <v/>
      </c>
      <c r="K294">
        <f>IF(J294&gt;=5100,"ставка","мин.ставка")</f>
        <v/>
      </c>
      <c r="L294" s="3">
        <f>ROUND(IF(K294="мин.ставка",I294*100,G294/102*2),2)</f>
        <v/>
      </c>
      <c r="M294" s="5" t="n">
        <v>46207.5</v>
      </c>
      <c r="N294" t="inlineStr">
        <is>
          <t>TravelLine BR2</t>
        </is>
      </c>
      <c r="O294" s="2" t="inlineStr">
        <is>
          <t>СТАНДАРТНЫЙ ДВУХМЕСТНЫЙ НОМЕР</t>
        </is>
      </c>
      <c r="P294" s="6" t="n"/>
      <c r="R294" t="inlineStr"/>
      <c r="S294" t="inlineStr">
        <is>
          <t>Тариф с завтраком</t>
        </is>
      </c>
      <c r="T294" t="n">
        <v>0</v>
      </c>
      <c r="U294" t="n">
        <v>21360</v>
      </c>
    </row>
    <row r="295">
      <c r="A295" t="inlineStr">
        <is>
          <t>20260708-8186-448546782</t>
        </is>
      </c>
      <c r="B295" t="n">
        <v>1</v>
      </c>
      <c r="C295" s="2" t="inlineStr">
        <is>
          <t>ВИТАЛИЯ МИТРЯЕВА, ALEKSEJS VAZENINS</t>
        </is>
      </c>
      <c r="D295" s="3" t="n">
        <v>8415</v>
      </c>
      <c r="E295" s="4" t="n">
        <v>15</v>
      </c>
      <c r="F295" t="inlineStr">
        <is>
          <t>ООО Тинькофф Путешествия [Чайковский]</t>
        </is>
      </c>
      <c r="G295" s="3">
        <f>ROUND(D295/(100-E295)*100,2)</f>
        <v/>
      </c>
      <c r="H295" s="5" t="n">
        <v>46211.75</v>
      </c>
      <c r="I295" t="n">
        <v>1</v>
      </c>
      <c r="J295" s="3">
        <f>G295/I295</f>
        <v/>
      </c>
      <c r="K295">
        <f>IF(J295&gt;=5100,"ставка","мин.ставка")</f>
        <v/>
      </c>
      <c r="L295" s="3">
        <f>ROUND(IF(K295="мин.ставка",I295*100,G295/102*2),2)</f>
        <v/>
      </c>
      <c r="M295" s="5" t="n">
        <v>46212.5</v>
      </c>
      <c r="N295" t="inlineStr">
        <is>
          <t>TravelLine TNK</t>
        </is>
      </c>
      <c r="O295" s="2" t="inlineStr">
        <is>
          <t>СТАНДАРТНЫЙ ДВУХМЕСТНЫЙ НОМЕР (МАНСАРДА)</t>
        </is>
      </c>
      <c r="P295" s="6" t="n"/>
      <c r="R295" t="inlineStr"/>
      <c r="S295" t="inlineStr">
        <is>
          <t>Тариф с завтраком</t>
        </is>
      </c>
      <c r="T295" t="n">
        <v>0</v>
      </c>
      <c r="U295" t="n">
        <v>8415</v>
      </c>
    </row>
    <row r="296">
      <c r="A296" t="inlineStr">
        <is>
          <t>20260823-8186-458774122</t>
        </is>
      </c>
      <c r="B296" t="n">
        <v>1</v>
      </c>
      <c r="C296" s="2" t="inlineStr">
        <is>
          <t>Виталия Митряева, ALEKSEJS VAZENINS</t>
        </is>
      </c>
      <c r="D296" s="3" t="n">
        <v>26180</v>
      </c>
      <c r="E296" s="4" t="n">
        <v>15</v>
      </c>
      <c r="F296" t="inlineStr">
        <is>
          <t>ООО Тинькофф Путешествия [Чайковский]</t>
        </is>
      </c>
      <c r="G296" s="3">
        <f>ROUND(D296/(100-E296)*100,2)</f>
        <v/>
      </c>
      <c r="H296" s="5" t="n">
        <v>46257.58333333334</v>
      </c>
      <c r="I296" t="n">
        <v>2</v>
      </c>
      <c r="J296" s="3">
        <f>G296/I296</f>
        <v/>
      </c>
      <c r="K296">
        <f>IF(J296&gt;=5100,"ставка","мин.ставка")</f>
        <v/>
      </c>
      <c r="L296" s="3">
        <f>ROUND(IF(K296="мин.ставка",I296*100,G296/102*2),2)</f>
        <v/>
      </c>
      <c r="M296" s="5" t="n">
        <v>46259.5</v>
      </c>
      <c r="N296" t="inlineStr">
        <is>
          <t>TravelLine TNK</t>
        </is>
      </c>
      <c r="O296" s="2" t="inlineStr">
        <is>
          <t>УЛУЧШЕННЫЙ ДВУХМЕСТНЫЙ НОМЕР</t>
        </is>
      </c>
      <c r="P296" s="6" t="n"/>
      <c r="R296" t="inlineStr"/>
      <c r="S296" t="inlineStr">
        <is>
          <t>Тариф с завтраком</t>
        </is>
      </c>
      <c r="T296" t="n">
        <v>0</v>
      </c>
      <c r="U296" t="n">
        <v>26180</v>
      </c>
    </row>
    <row r="297">
      <c r="A297" t="inlineStr">
        <is>
          <t>20260925-8186-468376304</t>
        </is>
      </c>
      <c r="B297" t="n">
        <v>1</v>
      </c>
      <c r="C297" s="2" t="inlineStr">
        <is>
          <t>Виталия Митряева, ALEKSEJS VAZENINS</t>
        </is>
      </c>
      <c r="D297" s="3" t="n">
        <v>12015</v>
      </c>
      <c r="E297" s="4" t="n">
        <v>0</v>
      </c>
      <c r="F297" t="inlineStr">
        <is>
          <t>Прямые бронирования (стойка) [Чайковский]</t>
        </is>
      </c>
      <c r="G297" s="3">
        <f>ROUND(D297/(100-E297)*100,2)</f>
        <v/>
      </c>
      <c r="H297" s="5" t="n">
        <v>46290.58333333334</v>
      </c>
      <c r="I297" t="n">
        <v>1</v>
      </c>
      <c r="J297" s="3">
        <f>G297/I297</f>
        <v/>
      </c>
      <c r="K297">
        <f>IF(J297&gt;=5100,"ставка","мин.ставка")</f>
        <v/>
      </c>
      <c r="L297" s="3">
        <f>ROUND(IF(K297="мин.ставка",I297*100,G297/102*2),2)</f>
        <v/>
      </c>
      <c r="M297" s="5" t="n">
        <v>46291.5</v>
      </c>
      <c r="N297" t="inlineStr">
        <is>
          <t>TravelLine ресепшн</t>
        </is>
      </c>
      <c r="O297" s="2" t="inlineStr">
        <is>
          <t>СТАНДАРТНЫЙ ДВУХМЕСТНЫЙ НОМЕР</t>
        </is>
      </c>
      <c r="P297" s="6" t="n"/>
      <c r="R297" t="inlineStr"/>
      <c r="S297" t="inlineStr">
        <is>
          <t>Тариф с завтраком</t>
        </is>
      </c>
      <c r="T297" t="n">
        <v>0</v>
      </c>
      <c r="U297" t="n">
        <v>12015</v>
      </c>
    </row>
    <row r="298">
      <c r="A298" t="inlineStr">
        <is>
          <t>20260902-8186-458677364</t>
        </is>
      </c>
      <c r="B298" t="n">
        <v>1</v>
      </c>
      <c r="C298" s="2" t="inlineStr">
        <is>
          <t>ВЛАДИМИР ГРИГОРЬЕВ, ВАСИЛИСА ГРИГОРЬЕВА</t>
        </is>
      </c>
      <c r="D298" s="3" t="n">
        <v>11214</v>
      </c>
      <c r="E298" s="4" t="n">
        <v>16</v>
      </c>
      <c r="F298" t="inlineStr">
        <is>
          <t>ООО "БРОНИРОВАНИЕ ГОСТИНИЦ" (OSTROVOK) [Чайковский]</t>
        </is>
      </c>
      <c r="G298" s="3">
        <f>ROUND(D298/(100-E298)*100,2)</f>
        <v/>
      </c>
      <c r="H298" s="5" t="n">
        <v>46267.58333333334</v>
      </c>
      <c r="I298" t="n">
        <v>1</v>
      </c>
      <c r="J298" s="3">
        <f>G298/I298</f>
        <v/>
      </c>
      <c r="K298">
        <f>IF(J298&gt;=5100,"ставка","мин.ставка")</f>
        <v/>
      </c>
      <c r="L298" s="3">
        <f>ROUND(IF(K298="мин.ставка",I298*100,G298/102*2),2)</f>
        <v/>
      </c>
      <c r="M298" s="5" t="n">
        <v>46268.5</v>
      </c>
      <c r="N298" t="inlineStr">
        <is>
          <t>TravelLine OTK</t>
        </is>
      </c>
      <c r="O298" s="2" t="inlineStr">
        <is>
          <t>СТАНДАРТНЫЙ ДВУХМЕСТНЫЙ НОМЕР</t>
        </is>
      </c>
      <c r="P298" s="6" t="n"/>
      <c r="R298" t="inlineStr"/>
      <c r="S298" t="inlineStr">
        <is>
          <t>Тариф с завтраком</t>
        </is>
      </c>
      <c r="T298" t="n">
        <v>0</v>
      </c>
      <c r="U298" t="n">
        <v>11214</v>
      </c>
    </row>
    <row r="299">
      <c r="A299" t="inlineStr">
        <is>
          <t>20260705-8186-443519477</t>
        </is>
      </c>
      <c r="B299" t="n">
        <v>1</v>
      </c>
      <c r="C299" s="2" t="inlineStr">
        <is>
          <t>Владимир Леляков, Людмила Лелякова</t>
        </is>
      </c>
      <c r="D299" s="3" t="n">
        <v>42720</v>
      </c>
      <c r="E299" s="4" t="n">
        <v>18</v>
      </c>
      <c r="F299" t="inlineStr">
        <is>
          <t>Яндекс.Путешествия [Чайковский]</t>
        </is>
      </c>
      <c r="G299" s="3">
        <f>ROUND(D299/(100-E299)*100,2)</f>
        <v/>
      </c>
      <c r="H299" s="5" t="n">
        <v>46208.58333333334</v>
      </c>
      <c r="I299" t="n">
        <v>4</v>
      </c>
      <c r="J299" s="3">
        <f>G299/I299</f>
        <v/>
      </c>
      <c r="K299">
        <f>IF(J299&gt;=5100,"ставка","мин.ставка")</f>
        <v/>
      </c>
      <c r="L299" s="3">
        <f>ROUND(IF(K299="мин.ставка",I299*100,G299/102*2),2)</f>
        <v/>
      </c>
      <c r="M299" s="5" t="n">
        <v>46212.5</v>
      </c>
      <c r="N299" t="inlineStr">
        <is>
          <t>TravelLine YAX</t>
        </is>
      </c>
      <c r="O299" s="2" t="inlineStr">
        <is>
          <t>СТАНДАРТНЫЙ ДВУХМЕСТНЫЙ НОМЕР</t>
        </is>
      </c>
      <c r="P299" s="6" t="n"/>
      <c r="R299" t="inlineStr"/>
      <c r="S299" t="inlineStr">
        <is>
          <t>Тариф с завтраком</t>
        </is>
      </c>
      <c r="T299" t="n">
        <v>0</v>
      </c>
      <c r="U299" t="n">
        <v>42720</v>
      </c>
    </row>
    <row r="300">
      <c r="A300" t="inlineStr">
        <is>
          <t>20260802-8186-436566081</t>
        </is>
      </c>
      <c r="B300" t="n">
        <v>1</v>
      </c>
      <c r="C300" s="2" t="inlineStr">
        <is>
          <t>Владимир Лысак, ЛАРИСА ЛЫСАК</t>
        </is>
      </c>
      <c r="D300" s="3" t="n">
        <v>45722.6</v>
      </c>
      <c r="E300" s="4" t="n">
        <v>4</v>
      </c>
      <c r="F300" t="inlineStr">
        <is>
          <t>TravelLine Booking Engine [Чайковский]</t>
        </is>
      </c>
      <c r="G300" s="3">
        <f>ROUND(D300/(100-E300)*100,2)</f>
        <v/>
      </c>
      <c r="H300" s="5" t="n">
        <v>46236.58333333334</v>
      </c>
      <c r="I300" t="n">
        <v>3</v>
      </c>
      <c r="J300" s="3">
        <f>G300/I300</f>
        <v/>
      </c>
      <c r="K300">
        <f>IF(J300&gt;=5100,"ставка","мин.ставка")</f>
        <v/>
      </c>
      <c r="L300" s="3">
        <f>ROUND(IF(K300="мин.ставка",I300*100,G300/102*2),2)</f>
        <v/>
      </c>
      <c r="M300" s="5" t="n">
        <v>46239.5</v>
      </c>
      <c r="N300" t="inlineStr">
        <is>
          <t>TravelLine сайт</t>
        </is>
      </c>
      <c r="O300" s="2" t="inlineStr">
        <is>
          <t>УЛУЧШЕННЫЙ ДВУХМЕСТНЫЙ НОМЕР</t>
        </is>
      </c>
      <c r="P300" s="6" t="n"/>
      <c r="R300" t="inlineStr"/>
      <c r="S300" t="inlineStr">
        <is>
          <t>Тариф с завтраком</t>
        </is>
      </c>
      <c r="T300" t="n">
        <v>0</v>
      </c>
      <c r="U300" t="n">
        <v>45722.6</v>
      </c>
    </row>
    <row r="301">
      <c r="A301" t="inlineStr">
        <is>
          <t>20260913-8186-455450648</t>
        </is>
      </c>
      <c r="B301" t="n">
        <v>1</v>
      </c>
      <c r="C301" s="2" t="inlineStr">
        <is>
          <t>Владимир Мареев</t>
        </is>
      </c>
      <c r="D301" s="3" t="n">
        <v>56750</v>
      </c>
      <c r="E301" s="4" t="n">
        <v>0</v>
      </c>
      <c r="F301" t="inlineStr">
        <is>
          <t>Прямые бронирования (стойка) [Чайковский]</t>
        </is>
      </c>
      <c r="G301" s="3">
        <f>ROUND(D301/(100-E301)*100,2)</f>
        <v/>
      </c>
      <c r="H301" s="5" t="n">
        <v>46278.58333333334</v>
      </c>
      <c r="I301" t="n">
        <v>5</v>
      </c>
      <c r="J301" s="3">
        <f>G301/I301</f>
        <v/>
      </c>
      <c r="K301">
        <f>IF(J301&gt;=5100,"ставка","мин.ставка")</f>
        <v/>
      </c>
      <c r="L301" s="3">
        <f>ROUND(IF(K301="мин.ставка",I301*100,G301/102*2),2)</f>
        <v/>
      </c>
      <c r="M301" s="5" t="n">
        <v>46283.75</v>
      </c>
      <c r="N301" t="inlineStr">
        <is>
          <t>TravelLine ресепшн</t>
        </is>
      </c>
      <c r="O301" s="2" t="inlineStr">
        <is>
          <t>СТАНДАРТНЫЙ ДВУХМЕСТНЫЙ НОМЕР</t>
        </is>
      </c>
      <c r="P301" s="6" t="n"/>
      <c r="R301" t="inlineStr"/>
      <c r="S301" t="inlineStr">
        <is>
          <t>Тариф с завтраком</t>
        </is>
      </c>
      <c r="T301" t="n">
        <v>5675</v>
      </c>
      <c r="U301" t="n">
        <v>62425</v>
      </c>
    </row>
    <row r="302">
      <c r="A302" t="inlineStr">
        <is>
          <t>20260911-8186-429110332</t>
        </is>
      </c>
      <c r="B302" t="n">
        <v>1</v>
      </c>
      <c r="C302" s="2" t="inlineStr">
        <is>
          <t>ВЛАДИМИР МОРОЗОВ, ИРИНА МОРОЗОВА</t>
        </is>
      </c>
      <c r="D302" s="3" t="n">
        <v>47520</v>
      </c>
      <c r="E302" s="4" t="n">
        <v>20</v>
      </c>
      <c r="F302" t="inlineStr">
        <is>
          <t>ООО "КОМПАНИЯ БРОНЕВИК" [Чайковский]</t>
        </is>
      </c>
      <c r="G302" s="3">
        <f>ROUND(D302/(100-E302)*100,2)</f>
        <v/>
      </c>
      <c r="H302" s="5" t="n">
        <v>46276.58333333334</v>
      </c>
      <c r="I302" t="n">
        <v>6</v>
      </c>
      <c r="J302" s="3">
        <f>G302/I302</f>
        <v/>
      </c>
      <c r="K302">
        <f>IF(J302&gt;=5100,"ставка","мин.ставка")</f>
        <v/>
      </c>
      <c r="L302" s="3">
        <f>ROUND(IF(K302="мин.ставка",I302*100,G302/102*2),2)</f>
        <v/>
      </c>
      <c r="M302" s="5" t="n">
        <v>46282.5</v>
      </c>
      <c r="N302" t="inlineStr">
        <is>
          <t>TravelLine BR2</t>
        </is>
      </c>
      <c r="O302" s="2" t="inlineStr">
        <is>
          <t>СТАНДАРТНЫЙ ДВУХМЕСТНЫЙ НОМЕР (МАНСАРДА)</t>
        </is>
      </c>
      <c r="P302" s="6" t="n"/>
      <c r="R302" t="inlineStr"/>
      <c r="S302" t="inlineStr">
        <is>
          <t>Тариф с завтраком</t>
        </is>
      </c>
      <c r="T302" t="n">
        <v>600</v>
      </c>
      <c r="U302" t="n">
        <v>48120</v>
      </c>
    </row>
    <row r="303">
      <c r="A303" t="inlineStr">
        <is>
          <t>20260723-8186-447820200</t>
        </is>
      </c>
      <c r="B303" t="n">
        <v>1</v>
      </c>
      <c r="C303" s="2" t="inlineStr">
        <is>
          <t>Владимир Переверзев, Инна Переверзева</t>
        </is>
      </c>
      <c r="D303" s="3" t="n">
        <v>15840</v>
      </c>
      <c r="E303" s="4" t="n">
        <v>18</v>
      </c>
      <c r="F303" t="inlineStr">
        <is>
          <t>Яндекс.Путешествия [Чайковский]</t>
        </is>
      </c>
      <c r="G303" s="3">
        <f>ROUND(D303/(100-E303)*100,2)</f>
        <v/>
      </c>
      <c r="H303" s="5" t="n">
        <v>46226.58333333334</v>
      </c>
      <c r="I303" t="n">
        <v>2</v>
      </c>
      <c r="J303" s="3">
        <f>G303/I303</f>
        <v/>
      </c>
      <c r="K303">
        <f>IF(J303&gt;=5100,"ставка","мин.ставка")</f>
        <v/>
      </c>
      <c r="L303" s="3">
        <f>ROUND(IF(K303="мин.ставка",I303*100,G303/102*2),2)</f>
        <v/>
      </c>
      <c r="M303" s="5" t="n">
        <v>46228.5</v>
      </c>
      <c r="N303" t="inlineStr">
        <is>
          <t>TravelLine YAX</t>
        </is>
      </c>
      <c r="O303" s="2" t="inlineStr">
        <is>
          <t>СТАНДАРТНЫЙ ДВУХМЕСТНЫЙ НОМЕР (МАНСАРДА)</t>
        </is>
      </c>
      <c r="P303" s="6" t="n"/>
      <c r="R303" t="inlineStr"/>
      <c r="S303" t="inlineStr">
        <is>
          <t>Тариф с завтраком</t>
        </is>
      </c>
      <c r="T303" t="n">
        <v>0</v>
      </c>
      <c r="U303" t="n">
        <v>15840</v>
      </c>
    </row>
    <row r="304">
      <c r="A304" t="inlineStr">
        <is>
          <t>20260921-8186-465754536</t>
        </is>
      </c>
      <c r="B304" t="n">
        <v>1</v>
      </c>
      <c r="C304" s="2" t="inlineStr">
        <is>
          <t>Владимир Платонов</t>
        </is>
      </c>
      <c r="D304" s="3" t="n">
        <v>27240</v>
      </c>
      <c r="E304" s="4" t="n">
        <v>20</v>
      </c>
      <c r="F304" t="inlineStr">
        <is>
          <t>ООО «Дубль Гис» (OTELLO) [Чайковский]</t>
        </is>
      </c>
      <c r="G304" s="3">
        <f>ROUND(D304/(100-E304)*100,2)</f>
        <v/>
      </c>
      <c r="H304" s="5" t="n">
        <v>46286.58333333334</v>
      </c>
      <c r="I304" t="n">
        <v>3</v>
      </c>
      <c r="J304" s="3">
        <f>G304/I304</f>
        <v/>
      </c>
      <c r="K304">
        <f>IF(J304&gt;=5100,"ставка","мин.ставка")</f>
        <v/>
      </c>
      <c r="L304" s="3">
        <f>ROUND(IF(K304="мин.ставка",I304*100,G304/102*2),2)</f>
        <v/>
      </c>
      <c r="M304" s="5" t="n">
        <v>46289.83333333334</v>
      </c>
      <c r="N304" t="inlineStr">
        <is>
          <t>TravelLine OL2</t>
        </is>
      </c>
      <c r="O304" s="2" t="inlineStr">
        <is>
          <t>СТАНДАРТНЫЙ ДВУХМЕСТНЫЙ НОМЕР</t>
        </is>
      </c>
      <c r="P304" s="6" t="n"/>
      <c r="R304" t="inlineStr"/>
      <c r="S304" t="inlineStr">
        <is>
          <t>Тариф с завтраком</t>
        </is>
      </c>
      <c r="T304" t="n">
        <v>5675</v>
      </c>
      <c r="U304" t="n">
        <v>32915</v>
      </c>
    </row>
    <row r="305">
      <c r="A305" t="inlineStr">
        <is>
          <t>20260716-8186-449844870</t>
        </is>
      </c>
      <c r="B305" t="n">
        <v>1</v>
      </c>
      <c r="C305" s="2" t="inlineStr">
        <is>
          <t>Владимир Преображенский</t>
        </is>
      </c>
      <c r="D305" s="3" t="n">
        <v>8900</v>
      </c>
      <c r="E305" s="4" t="n">
        <v>0</v>
      </c>
      <c r="F305" t="inlineStr">
        <is>
          <t>Прямые бронирования (стойка) [Чайковский]</t>
        </is>
      </c>
      <c r="G305" s="3">
        <f>ROUND(D305/(100-E305)*100,2)</f>
        <v/>
      </c>
      <c r="H305" s="5" t="n">
        <v>46219.58333333334</v>
      </c>
      <c r="I305" t="n">
        <v>1</v>
      </c>
      <c r="J305" s="3">
        <f>G305/I305</f>
        <v/>
      </c>
      <c r="K305">
        <f>IF(J305&gt;=5100,"ставка","мин.ставка")</f>
        <v/>
      </c>
      <c r="L305" s="3">
        <f>ROUND(IF(K305="мин.ставка",I305*100,G305/102*2),2)</f>
        <v/>
      </c>
      <c r="M305" s="5" t="n">
        <v>46220.5</v>
      </c>
      <c r="N305" t="inlineStr">
        <is>
          <t>TravelLine ресепшн</t>
        </is>
      </c>
      <c r="O305" s="2" t="inlineStr">
        <is>
          <t>СЕМЕЙНЫЙ НОМЕР КАТЕГОРИИ "СТАНДАРТ" ВТОРОЙ КОРПУС</t>
        </is>
      </c>
      <c r="P305" s="6" t="n"/>
      <c r="R305" t="inlineStr"/>
      <c r="S305" t="inlineStr">
        <is>
          <t>Тариф с завтраком</t>
        </is>
      </c>
      <c r="T305" t="n">
        <v>0</v>
      </c>
      <c r="U305" t="n">
        <v>8900</v>
      </c>
    </row>
    <row r="306">
      <c r="A306" t="inlineStr">
        <is>
          <t>20260905-8186-456371079</t>
        </is>
      </c>
      <c r="B306" t="n">
        <v>1</v>
      </c>
      <c r="C306" s="2" t="inlineStr">
        <is>
          <t>Владимир Сагадиев, Эльвира Идиятуллина</t>
        </is>
      </c>
      <c r="D306" s="3" t="n">
        <v>7920</v>
      </c>
      <c r="E306" s="4" t="n">
        <v>20</v>
      </c>
      <c r="F306" t="inlineStr">
        <is>
          <t>ООО "КОМПАНИЯ БРОНЕВИК" [Чайковский]</t>
        </is>
      </c>
      <c r="G306" s="3">
        <f>ROUND(D306/(100-E306)*100,2)</f>
        <v/>
      </c>
      <c r="H306" s="5" t="n">
        <v>46270.58333333334</v>
      </c>
      <c r="I306" t="n">
        <v>1</v>
      </c>
      <c r="J306" s="3">
        <f>G306/I306</f>
        <v/>
      </c>
      <c r="K306">
        <f>IF(J306&gt;=5100,"ставка","мин.ставка")</f>
        <v/>
      </c>
      <c r="L306" s="3">
        <f>ROUND(IF(K306="мин.ставка",I306*100,G306/102*2),2)</f>
        <v/>
      </c>
      <c r="M306" s="5" t="n">
        <v>46271.5</v>
      </c>
      <c r="N306" t="inlineStr">
        <is>
          <t>TravelLine BR2</t>
        </is>
      </c>
      <c r="O306" s="2" t="inlineStr">
        <is>
          <t>СТАНДАРТНЫЙ ДВУХМЕСТНЫЙ НОМЕР (МАНСАРДА)</t>
        </is>
      </c>
      <c r="P306" s="6" t="n"/>
      <c r="R306" t="inlineStr"/>
      <c r="S306" t="inlineStr">
        <is>
          <t>Тариф с завтраком</t>
        </is>
      </c>
      <c r="T306" t="n">
        <v>0</v>
      </c>
      <c r="U306" t="n">
        <v>7920</v>
      </c>
    </row>
    <row r="307">
      <c r="A307" t="inlineStr">
        <is>
          <t>20260809-8186-451108107</t>
        </is>
      </c>
      <c r="B307" t="n">
        <v>1</v>
      </c>
      <c r="C307" s="2" t="inlineStr">
        <is>
          <t>Владимир Серебренный, Елена Серебренная</t>
        </is>
      </c>
      <c r="D307" s="3" t="n">
        <v>55402.5</v>
      </c>
      <c r="E307" s="4" t="n">
        <v>17</v>
      </c>
      <c r="F307" t="inlineStr">
        <is>
          <t>ООО «Интернет Трэвел» (OZON) [Чайковский]</t>
        </is>
      </c>
      <c r="G307" s="3">
        <f>ROUND(D307/(100-E307)*100,2)</f>
        <v/>
      </c>
      <c r="H307" s="5" t="n">
        <v>46243.58333333334</v>
      </c>
      <c r="I307" t="n">
        <v>5</v>
      </c>
      <c r="J307" s="3">
        <f>G307/I307</f>
        <v/>
      </c>
      <c r="K307">
        <f>IF(J307&gt;=5100,"ставка","мин.ставка")</f>
        <v/>
      </c>
      <c r="L307" s="3">
        <f>ROUND(IF(K307="мин.ставка",I307*100,G307/102*2),2)</f>
        <v/>
      </c>
      <c r="M307" s="5" t="n">
        <v>46248.5</v>
      </c>
      <c r="N307" t="inlineStr">
        <is>
          <t>TravelLine OZ2</t>
        </is>
      </c>
      <c r="O307" s="2" t="inlineStr">
        <is>
          <t>СТАНДАРТНЫЙ ДВУХМЕСТНЫЙ НОМЕР</t>
        </is>
      </c>
      <c r="P307" s="6" t="n"/>
      <c r="R307" t="inlineStr"/>
      <c r="S307" t="inlineStr">
        <is>
          <t>Тариф с завтраком</t>
        </is>
      </c>
      <c r="T307" t="n">
        <v>0</v>
      </c>
      <c r="U307" t="n">
        <v>55402.5</v>
      </c>
    </row>
    <row r="308">
      <c r="A308" t="inlineStr">
        <is>
          <t>20260809-8186-455020540</t>
        </is>
      </c>
      <c r="B308" t="n">
        <v>1</v>
      </c>
      <c r="C308" s="2" t="inlineStr">
        <is>
          <t>Владимир Скрипкин, ОЛЕСЯ ГАЛАНОВА</t>
        </is>
      </c>
      <c r="D308" s="3" t="n">
        <v>35048.2</v>
      </c>
      <c r="E308" s="4" t="n">
        <v>4</v>
      </c>
      <c r="F308" t="inlineStr">
        <is>
          <t>TravelLine Booking Engine [Чайковский]</t>
        </is>
      </c>
      <c r="G308" s="3">
        <f>ROUND(D308/(100-E308)*100,2)</f>
        <v/>
      </c>
      <c r="H308" s="5" t="n">
        <v>46243.58333333334</v>
      </c>
      <c r="I308" t="n">
        <v>2</v>
      </c>
      <c r="J308" s="3">
        <f>G308/I308</f>
        <v/>
      </c>
      <c r="K308">
        <f>IF(J308&gt;=5100,"ставка","мин.ставка")</f>
        <v/>
      </c>
      <c r="L308" s="3">
        <f>ROUND(IF(K308="мин.ставка",I308*100,G308/102*2),2)</f>
        <v/>
      </c>
      <c r="M308" s="5" t="n">
        <v>46245.5</v>
      </c>
      <c r="N308" t="inlineStr">
        <is>
          <t>TravelLine сайт</t>
        </is>
      </c>
      <c r="O308" s="2" t="inlineStr">
        <is>
          <t>ЛЮКС ВТОРОЙ КОРПУС</t>
        </is>
      </c>
      <c r="P308" s="6" t="n"/>
      <c r="R308" t="inlineStr"/>
      <c r="S308" t="inlineStr">
        <is>
          <t>Тариф с завтраком</t>
        </is>
      </c>
      <c r="T308" t="n">
        <v>0</v>
      </c>
      <c r="U308" t="n">
        <v>35048.2</v>
      </c>
    </row>
    <row r="309">
      <c r="A309" t="inlineStr">
        <is>
          <t>20260924-8186-466459177</t>
        </is>
      </c>
      <c r="B309" t="n">
        <v>1</v>
      </c>
      <c r="C309" s="2" t="inlineStr">
        <is>
          <t>Владимир Туров</t>
        </is>
      </c>
      <c r="D309" s="3" t="n">
        <v>12320</v>
      </c>
      <c r="E309" s="4" t="n">
        <v>20</v>
      </c>
      <c r="F309" t="inlineStr">
        <is>
          <t>ООО «Дубль Гис» (OTELLO) [Чайковский]</t>
        </is>
      </c>
      <c r="G309" s="3">
        <f>ROUND(D309/(100-E309)*100,2)</f>
        <v/>
      </c>
      <c r="H309" s="5" t="n">
        <v>46289.58333333334</v>
      </c>
      <c r="I309" t="n">
        <v>2</v>
      </c>
      <c r="J309" s="3">
        <f>G309/I309</f>
        <v/>
      </c>
      <c r="K309">
        <f>IF(J309&gt;=5100,"ставка","мин.ставка")</f>
        <v/>
      </c>
      <c r="L309" s="3">
        <f>ROUND(IF(K309="мин.ставка",I309*100,G309/102*2),2)</f>
        <v/>
      </c>
      <c r="M309" s="5" t="n">
        <v>46291.5</v>
      </c>
      <c r="N309" t="inlineStr">
        <is>
          <t>TravelLine OL2</t>
        </is>
      </c>
      <c r="O309" s="2" t="inlineStr">
        <is>
          <t>СТАНДАРТНЫЙ ОДНОМЕСТНЫЙ НОМЕР</t>
        </is>
      </c>
      <c r="P309" s="6" t="n"/>
      <c r="R309" t="inlineStr"/>
      <c r="S309" t="inlineStr">
        <is>
          <t>Тариф с завтраком</t>
        </is>
      </c>
      <c r="T309" t="n">
        <v>0</v>
      </c>
      <c r="U309" t="n">
        <v>12320</v>
      </c>
    </row>
    <row r="310">
      <c r="A310" t="inlineStr">
        <is>
          <t>20260820-8186-457770556</t>
        </is>
      </c>
      <c r="B310" t="n">
        <v>1</v>
      </c>
      <c r="C310" s="2" t="inlineStr">
        <is>
          <t>ВЛАДИМИР ХРУСТАЛЕВ, АЛИНА ХРУСТАЛЕВА</t>
        </is>
      </c>
      <c r="D310" s="3" t="n">
        <v>49130</v>
      </c>
      <c r="E310" s="4" t="n">
        <v>15</v>
      </c>
      <c r="F310" t="inlineStr">
        <is>
          <t>ООО "АКАДЕМ-ОНЛАЙН" [Чайковский]</t>
        </is>
      </c>
      <c r="G310" s="3">
        <f>ROUND(D310/(100-E310)*100,2)</f>
        <v/>
      </c>
      <c r="H310" s="5" t="n">
        <v>46254.58333333334</v>
      </c>
      <c r="I310" t="n">
        <v>4</v>
      </c>
      <c r="J310" s="3">
        <f>G310/I310</f>
        <v/>
      </c>
      <c r="K310">
        <f>IF(J310&gt;=5100,"ставка","мин.ставка")</f>
        <v/>
      </c>
      <c r="L310" s="3">
        <f>ROUND(IF(K310="мин.ставка",I310*100,G310/102*2),2)</f>
        <v/>
      </c>
      <c r="M310" s="5" t="n">
        <v>46258.5</v>
      </c>
      <c r="N310" t="inlineStr">
        <is>
          <t>TravelLine ACS</t>
        </is>
      </c>
      <c r="O310" s="2" t="inlineStr">
        <is>
          <t>СЕМЕЙНЫЙ НОМЕР КАТЕГОРИИ "СТАНДАРТ" ВТОРОЙ КОРПУС</t>
        </is>
      </c>
      <c r="P310" s="6" t="n"/>
      <c r="R310" t="inlineStr"/>
      <c r="S310" t="inlineStr">
        <is>
          <t>Тариф с завтраком</t>
        </is>
      </c>
      <c r="T310" t="n">
        <v>0</v>
      </c>
      <c r="U310" t="n">
        <v>49130</v>
      </c>
    </row>
    <row r="311">
      <c r="A311" t="inlineStr">
        <is>
          <t>20260819-8186-459426235</t>
        </is>
      </c>
      <c r="B311" t="n">
        <v>1</v>
      </c>
      <c r="C311" s="2" t="inlineStr">
        <is>
          <t>Владимир Чебан</t>
        </is>
      </c>
      <c r="D311" s="3" t="n">
        <v>10375</v>
      </c>
      <c r="E311" s="4" t="n">
        <v>18</v>
      </c>
      <c r="F311" t="inlineStr">
        <is>
          <t>Яндекс.Путешествия [Чайковский]</t>
        </is>
      </c>
      <c r="G311" s="3">
        <f>ROUND(D311/(100-E311)*100,2)</f>
        <v/>
      </c>
      <c r="H311" s="5" t="n">
        <v>46253.58333333334</v>
      </c>
      <c r="I311" t="n">
        <v>1</v>
      </c>
      <c r="J311" s="3">
        <f>G311/I311</f>
        <v/>
      </c>
      <c r="K311">
        <f>IF(J311&gt;=5100,"ставка","мин.ставка")</f>
        <v/>
      </c>
      <c r="L311" s="3">
        <f>ROUND(IF(K311="мин.ставка",I311*100,G311/102*2),2)</f>
        <v/>
      </c>
      <c r="M311" s="5" t="n">
        <v>46254.5</v>
      </c>
      <c r="N311" t="inlineStr">
        <is>
          <t>TravelLine YAX</t>
        </is>
      </c>
      <c r="O311" s="2" t="inlineStr">
        <is>
          <t>ЛЮКС ВТОРОЙ КОРПУС</t>
        </is>
      </c>
      <c r="P311" s="6" t="n"/>
      <c r="R311" t="inlineStr"/>
      <c r="S311" t="inlineStr">
        <is>
          <t>Основной тариф без завтрака</t>
        </is>
      </c>
      <c r="T311" t="n">
        <v>0</v>
      </c>
      <c r="U311" t="n">
        <v>10375</v>
      </c>
    </row>
    <row r="312">
      <c r="A312" t="inlineStr">
        <is>
          <t>20260730-8186-453823911</t>
        </is>
      </c>
      <c r="B312" t="n">
        <v>1</v>
      </c>
      <c r="C312" s="2" t="inlineStr">
        <is>
          <t>Владимир Чудинов, Татьяна Чудинова</t>
        </is>
      </c>
      <c r="D312" s="3" t="n">
        <v>71200</v>
      </c>
      <c r="E312" s="4" t="n">
        <v>0</v>
      </c>
      <c r="F312" t="inlineStr">
        <is>
          <t>Прямые бронирования (стойка) [Чайковский]</t>
        </is>
      </c>
      <c r="G312" s="3">
        <f>ROUND(D312/(100-E312)*100,2)</f>
        <v/>
      </c>
      <c r="H312" s="5" t="n">
        <v>46233.58333333334</v>
      </c>
      <c r="I312" t="n">
        <v>4</v>
      </c>
      <c r="J312" s="3">
        <f>G312/I312</f>
        <v/>
      </c>
      <c r="K312">
        <f>IF(J312&gt;=5100,"ставка","мин.ставка")</f>
        <v/>
      </c>
      <c r="L312" s="3">
        <f>ROUND(IF(K312="мин.ставка",I312*100,G312/102*2),2)</f>
        <v/>
      </c>
      <c r="M312" s="5" t="n">
        <v>46237.66666666666</v>
      </c>
      <c r="N312" t="inlineStr">
        <is>
          <t>TravelLine ресепшн</t>
        </is>
      </c>
      <c r="O312" s="2" t="inlineStr">
        <is>
          <t>ЛЮКС ВТОРОЙ КОРПУС</t>
        </is>
      </c>
      <c r="P312" s="6" t="n"/>
      <c r="R312" t="inlineStr"/>
      <c r="S312" t="inlineStr">
        <is>
          <t>Тариф с завтраком</t>
        </is>
      </c>
      <c r="T312" t="n">
        <v>2960</v>
      </c>
      <c r="U312" t="n">
        <v>74160</v>
      </c>
    </row>
    <row r="313">
      <c r="A313" t="inlineStr">
        <is>
          <t>20260805-8186-456094227</t>
        </is>
      </c>
      <c r="B313" t="n">
        <v>1</v>
      </c>
      <c r="C313" s="2" t="inlineStr">
        <is>
          <t>Владислав Догадин, ИННА ВАРГИНА</t>
        </is>
      </c>
      <c r="D313" s="3" t="n">
        <v>14774</v>
      </c>
      <c r="E313" s="4" t="n">
        <v>18</v>
      </c>
      <c r="F313" t="inlineStr">
        <is>
          <t>Яндекс.Путешествия [Чайковский]</t>
        </is>
      </c>
      <c r="G313" s="3">
        <f>ROUND(D313/(100-E313)*100,2)</f>
        <v/>
      </c>
      <c r="H313" s="5" t="n">
        <v>46239.58333333334</v>
      </c>
      <c r="I313" t="n">
        <v>1</v>
      </c>
      <c r="J313" s="3">
        <f>G313/I313</f>
        <v/>
      </c>
      <c r="K313">
        <f>IF(J313&gt;=5100,"ставка","мин.ставка")</f>
        <v/>
      </c>
      <c r="L313" s="3">
        <f>ROUND(IF(K313="мин.ставка",I313*100,G313/102*2),2)</f>
        <v/>
      </c>
      <c r="M313" s="5" t="n">
        <v>46240.5</v>
      </c>
      <c r="N313" t="inlineStr">
        <is>
          <t>TravelLine YAX</t>
        </is>
      </c>
      <c r="O313" s="2" t="inlineStr">
        <is>
          <t>ЛЮКС ВТОРОЙ КОРПУС</t>
        </is>
      </c>
      <c r="P313" s="6" t="n"/>
      <c r="R313" t="inlineStr"/>
      <c r="S313" t="inlineStr">
        <is>
          <t>Тариф с завтраком</t>
        </is>
      </c>
      <c r="T313" t="n">
        <v>0</v>
      </c>
      <c r="U313" t="n">
        <v>14774</v>
      </c>
    </row>
    <row r="314">
      <c r="A314" t="inlineStr">
        <is>
          <t>20260821-8186-458016331</t>
        </is>
      </c>
      <c r="B314" t="n">
        <v>1</v>
      </c>
      <c r="C314" s="2" t="inlineStr">
        <is>
          <t>ВЛАДИСЛАВ КОТЕНКО, ВИКТОРИЯ КОТЕНКО</t>
        </is>
      </c>
      <c r="D314" s="3" t="n">
        <v>11214</v>
      </c>
      <c r="E314" s="4" t="n">
        <v>16</v>
      </c>
      <c r="F314" t="inlineStr">
        <is>
          <t>ООО "БРОНИРОВАНИЕ ГОСТИНИЦ" (OSTROVOK) [Чайковский]</t>
        </is>
      </c>
      <c r="G314" s="3">
        <f>ROUND(D314/(100-E314)*100,2)</f>
        <v/>
      </c>
      <c r="H314" s="5" t="n">
        <v>46255.58333333334</v>
      </c>
      <c r="I314" t="n">
        <v>1</v>
      </c>
      <c r="J314" s="3">
        <f>G314/I314</f>
        <v/>
      </c>
      <c r="K314">
        <f>IF(J314&gt;=5100,"ставка","мин.ставка")</f>
        <v/>
      </c>
      <c r="L314" s="3">
        <f>ROUND(IF(K314="мин.ставка",I314*100,G314/102*2),2)</f>
        <v/>
      </c>
      <c r="M314" s="5" t="n">
        <v>46256.5</v>
      </c>
      <c r="N314" t="inlineStr">
        <is>
          <t>TravelLine OTK</t>
        </is>
      </c>
      <c r="O314" s="2" t="inlineStr">
        <is>
          <t>СТАНДАРТНЫЙ ДВУХМЕСТНЫЙ НОМЕР</t>
        </is>
      </c>
      <c r="P314" s="6" t="n"/>
      <c r="R314" t="inlineStr"/>
      <c r="S314" t="inlineStr">
        <is>
          <t>Тариф с завтраком</t>
        </is>
      </c>
      <c r="T314" t="n">
        <v>0</v>
      </c>
      <c r="U314" t="n">
        <v>11214</v>
      </c>
    </row>
    <row r="315">
      <c r="A315" t="inlineStr">
        <is>
          <t>20260704-8186-442805120</t>
        </is>
      </c>
      <c r="B315" t="n">
        <v>1</v>
      </c>
      <c r="C315" s="2" t="inlineStr">
        <is>
          <t>Владислав Фрол</t>
        </is>
      </c>
      <c r="D315" s="3" t="n">
        <v>34050</v>
      </c>
      <c r="E315" s="4" t="n">
        <v>0</v>
      </c>
      <c r="F315" t="inlineStr">
        <is>
          <t>Прямые бронирования (стойка) [Чайковский]</t>
        </is>
      </c>
      <c r="G315" s="3">
        <f>ROUND(D315/(100-E315)*100,2)</f>
        <v/>
      </c>
      <c r="H315" s="5" t="n">
        <v>46207.58333333334</v>
      </c>
      <c r="I315" t="n">
        <v>3</v>
      </c>
      <c r="J315" s="3">
        <f>G315/I315</f>
        <v/>
      </c>
      <c r="K315">
        <f>IF(J315&gt;=5100,"ставка","мин.ставка")</f>
        <v/>
      </c>
      <c r="L315" s="3">
        <f>ROUND(IF(K315="мин.ставка",I315*100,G315/102*2),2)</f>
        <v/>
      </c>
      <c r="M315" s="5" t="n">
        <v>46210.5</v>
      </c>
      <c r="N315" t="inlineStr">
        <is>
          <t>TravelLine ресепшн</t>
        </is>
      </c>
      <c r="O315" s="2" t="inlineStr">
        <is>
          <t>СТАНДАРТНЫЙ ДВУХМЕСТНЫЙ НОМЕР</t>
        </is>
      </c>
      <c r="P315" s="6" t="n"/>
      <c r="R315" t="inlineStr"/>
      <c r="S315" t="inlineStr">
        <is>
          <t>Тариф с завтраком</t>
        </is>
      </c>
      <c r="T315" t="n">
        <v>0</v>
      </c>
      <c r="U315" t="n">
        <v>34050</v>
      </c>
    </row>
    <row r="316">
      <c r="A316" t="inlineStr">
        <is>
          <t>20260919-8186-461966803</t>
        </is>
      </c>
      <c r="B316" t="n">
        <v>1</v>
      </c>
      <c r="C316" s="2" t="inlineStr">
        <is>
          <t>ВЛАДИСЛАВ ШУЛЯКОВСКИЙ, Анастасия Бальчюнайте</t>
        </is>
      </c>
      <c r="D316" s="3" t="n">
        <v>29700</v>
      </c>
      <c r="E316" s="4" t="n">
        <v>0</v>
      </c>
      <c r="F316" t="inlineStr">
        <is>
          <t>Прямые бронирования (стойка) [Чайковский]</t>
        </is>
      </c>
      <c r="G316" s="3">
        <f>ROUND(D316/(100-E316)*100,2)</f>
        <v/>
      </c>
      <c r="H316" s="5" t="n">
        <v>46283.58333333334</v>
      </c>
      <c r="I316" t="n">
        <v>2</v>
      </c>
      <c r="J316" s="3">
        <f>G316/I316</f>
        <v/>
      </c>
      <c r="K316">
        <f>IF(J316&gt;=5100,"ставка","мин.ставка")</f>
        <v/>
      </c>
      <c r="L316" s="3">
        <f>ROUND(IF(K316="мин.ставка",I316*100,G316/102*2),2)</f>
        <v/>
      </c>
      <c r="M316" s="5" t="n">
        <v>46285.5</v>
      </c>
      <c r="N316" t="inlineStr">
        <is>
          <t>TravelLine ресепшн</t>
        </is>
      </c>
      <c r="O316" s="2" t="inlineStr">
        <is>
          <t>ПОЛУЛЮКС</t>
        </is>
      </c>
      <c r="P316" s="6" t="n"/>
      <c r="R316" t="inlineStr"/>
      <c r="S316" t="inlineStr">
        <is>
          <t>Тариф с завтраком</t>
        </is>
      </c>
      <c r="T316" t="n">
        <v>0</v>
      </c>
      <c r="U316" t="n">
        <v>29700</v>
      </c>
    </row>
    <row r="317">
      <c r="A317" t="inlineStr">
        <is>
          <t>20260728-8186-448644670</t>
        </is>
      </c>
      <c r="B317" t="n">
        <v>1</v>
      </c>
      <c r="C317" s="2" t="inlineStr">
        <is>
          <t>Вячеслав Бойков, Юлия Бойкова</t>
        </is>
      </c>
      <c r="D317" s="3" t="n">
        <v>9593.1</v>
      </c>
      <c r="E317" s="4" t="n">
        <v>4</v>
      </c>
      <c r="F317" t="inlineStr">
        <is>
          <t>TravelLine Booking Engine [Чайковский]</t>
        </is>
      </c>
      <c r="G317" s="3">
        <f>ROUND(D317/(100-E317)*100,2)</f>
        <v/>
      </c>
      <c r="H317" s="5" t="n">
        <v>46231.58333333334</v>
      </c>
      <c r="I317" t="n">
        <v>1</v>
      </c>
      <c r="J317" s="3">
        <f>G317/I317</f>
        <v/>
      </c>
      <c r="K317">
        <f>IF(J317&gt;=5100,"ставка","мин.ставка")</f>
        <v/>
      </c>
      <c r="L317" s="3">
        <f>ROUND(IF(K317="мин.ставка",I317*100,G317/102*2),2)</f>
        <v/>
      </c>
      <c r="M317" s="5" t="n">
        <v>46232.5</v>
      </c>
      <c r="N317" t="inlineStr">
        <is>
          <t>TravelLine сайт</t>
        </is>
      </c>
      <c r="O317" s="2" t="inlineStr">
        <is>
          <t>СТАНДАРТНЫЙ ДВУХМЕСТНЫЙ НОМЕР (МАНСАРДА)</t>
        </is>
      </c>
      <c r="P317" s="6" t="n"/>
      <c r="R317" t="inlineStr"/>
      <c r="S317" t="inlineStr">
        <is>
          <t>Тариф с завтраком</t>
        </is>
      </c>
      <c r="T317" t="n">
        <v>0</v>
      </c>
      <c r="U317" t="n">
        <v>9593.1</v>
      </c>
    </row>
    <row r="318">
      <c r="A318" t="inlineStr">
        <is>
          <t>20260817-8186-450378148</t>
        </is>
      </c>
      <c r="B318" t="n">
        <v>1</v>
      </c>
      <c r="C318" s="2" t="inlineStr">
        <is>
          <t>Вячеслав Горбунов</t>
        </is>
      </c>
      <c r="D318" s="3" t="n">
        <v>66732</v>
      </c>
      <c r="E318" s="4" t="n">
        <v>20</v>
      </c>
      <c r="F318" t="inlineStr">
        <is>
          <t>ООО «Дубль Гис» (OTELLO) [Чайковский]</t>
        </is>
      </c>
      <c r="G318" s="3">
        <f>ROUND(D318/(100-E318)*100,2)</f>
        <v/>
      </c>
      <c r="H318" s="5" t="n">
        <v>46251.58333333334</v>
      </c>
      <c r="I318" t="n">
        <v>6</v>
      </c>
      <c r="J318" s="3">
        <f>G318/I318</f>
        <v/>
      </c>
      <c r="K318">
        <f>IF(J318&gt;=5100,"ставка","мин.ставка")</f>
        <v/>
      </c>
      <c r="L318" s="3">
        <f>ROUND(IF(K318="мин.ставка",I318*100,G318/102*2),2)</f>
        <v/>
      </c>
      <c r="M318" s="5" t="n">
        <v>46257.5</v>
      </c>
      <c r="N318" t="inlineStr">
        <is>
          <t>TravelLine OL2</t>
        </is>
      </c>
      <c r="O318" s="2" t="inlineStr">
        <is>
          <t>УЛУЧШЕННЫЙ ДВУХМЕСТНЫЙ НОМЕР</t>
        </is>
      </c>
      <c r="P318" s="6" t="n"/>
      <c r="R318" t="inlineStr"/>
      <c r="S318" t="inlineStr">
        <is>
          <t>Тариф с завтраком</t>
        </is>
      </c>
      <c r="T318" t="n">
        <v>0</v>
      </c>
      <c r="U318" t="n">
        <v>66732</v>
      </c>
    </row>
    <row r="319">
      <c r="A319" t="inlineStr">
        <is>
          <t>20260927-8186-462083511</t>
        </is>
      </c>
      <c r="B319" t="n">
        <v>1</v>
      </c>
      <c r="C319" s="2" t="inlineStr">
        <is>
          <t>Вячеслав Жарников</t>
        </is>
      </c>
      <c r="D319" s="3" t="n">
        <v>31440</v>
      </c>
      <c r="E319" s="4" t="n">
        <v>18</v>
      </c>
      <c r="F319" t="inlineStr">
        <is>
          <t>Яндекс.Путешествия [Чайковский]</t>
        </is>
      </c>
      <c r="G319" s="3">
        <f>ROUND(D319/(100-E319)*100,2)</f>
        <v/>
      </c>
      <c r="H319" s="5" t="n">
        <v>46292.58333333334</v>
      </c>
      <c r="I319" t="n">
        <v>5</v>
      </c>
      <c r="J319" s="3">
        <f>G319/I319</f>
        <v/>
      </c>
      <c r="K319">
        <f>IF(J319&gt;=5100,"ставка","мин.ставка")</f>
        <v/>
      </c>
      <c r="L319" s="3">
        <f>ROUND(IF(K319="мин.ставка",I319*100,G319/102*2),2)</f>
        <v/>
      </c>
      <c r="M319" s="5" t="n">
        <v>46297.5</v>
      </c>
      <c r="N319" t="inlineStr">
        <is>
          <t>TravelLine YAX</t>
        </is>
      </c>
      <c r="O319" s="2" t="inlineStr">
        <is>
          <t>СТАНДАРТНЫЙ ДВУХМЕСТНЫЙ НОМЕР (МАНСАРДА)</t>
        </is>
      </c>
      <c r="P319" s="6" t="n"/>
      <c r="R319" t="inlineStr"/>
      <c r="S319" t="inlineStr">
        <is>
          <t>Тариф с завтраком</t>
        </is>
      </c>
      <c r="T319" t="n">
        <v>0</v>
      </c>
      <c r="U319" t="n">
        <v>31440</v>
      </c>
    </row>
    <row r="320">
      <c r="A320" t="inlineStr">
        <is>
          <t>20260724-8186-452306866</t>
        </is>
      </c>
      <c r="B320" t="n">
        <v>1</v>
      </c>
      <c r="C320" s="2" t="inlineStr">
        <is>
          <t>ВЯЧЕСЛАВ ЛАЗАРЕВ, АННА ЛАЗАРЕВА</t>
        </is>
      </c>
      <c r="D320" s="3" t="n">
        <v>13090</v>
      </c>
      <c r="E320" s="4" t="n">
        <v>15</v>
      </c>
      <c r="F320" t="inlineStr">
        <is>
          <t>ООО "БРОНИРОВАНИЕ ГОСТИНИЦ" (OSTROVOK) [Чайковский]</t>
        </is>
      </c>
      <c r="G320" s="3">
        <f>ROUND(D320/(100-E320)*100,2)</f>
        <v/>
      </c>
      <c r="H320" s="5" t="n">
        <v>46227.58333333334</v>
      </c>
      <c r="I320" t="n">
        <v>1</v>
      </c>
      <c r="J320" s="3">
        <f>G320/I320</f>
        <v/>
      </c>
      <c r="K320">
        <f>IF(J320&gt;=5100,"ставка","мин.ставка")</f>
        <v/>
      </c>
      <c r="L320" s="3">
        <f>ROUND(IF(K320="мин.ставка",I320*100,G320/102*2),2)</f>
        <v/>
      </c>
      <c r="M320" s="5" t="n">
        <v>46228.5</v>
      </c>
      <c r="N320" t="inlineStr">
        <is>
          <t>TravelLine OTK</t>
        </is>
      </c>
      <c r="O320" s="2" t="inlineStr">
        <is>
          <t>УЛУЧШЕННЫЙ ДВУХМЕСТНЫЙ НОМЕР</t>
        </is>
      </c>
      <c r="P320" s="6" t="n"/>
      <c r="R320" t="inlineStr"/>
      <c r="S320" t="inlineStr">
        <is>
          <t>Тариф с завтраком</t>
        </is>
      </c>
      <c r="T320" t="n">
        <v>0</v>
      </c>
      <c r="U320" t="n">
        <v>13090</v>
      </c>
    </row>
    <row r="321">
      <c r="A321" t="inlineStr">
        <is>
          <t>20260719-8186-446751193</t>
        </is>
      </c>
      <c r="B321" t="n">
        <v>1</v>
      </c>
      <c r="C321" s="2" t="inlineStr">
        <is>
          <t>Вячеслав Осипов</t>
        </is>
      </c>
      <c r="D321" s="3" t="n">
        <v>34050</v>
      </c>
      <c r="E321" s="4" t="n">
        <v>0</v>
      </c>
      <c r="F321" t="inlineStr">
        <is>
          <t>Прямые бронирования (стойка) [Чайковский]</t>
        </is>
      </c>
      <c r="G321" s="3">
        <f>ROUND(D321/(100-E321)*100,2)</f>
        <v/>
      </c>
      <c r="H321" s="5" t="n">
        <v>46222.58333333334</v>
      </c>
      <c r="I321" t="n">
        <v>3</v>
      </c>
      <c r="J321" s="3">
        <f>G321/I321</f>
        <v/>
      </c>
      <c r="K321">
        <f>IF(J321&gt;=5100,"ставка","мин.ставка")</f>
        <v/>
      </c>
      <c r="L321" s="3">
        <f>ROUND(IF(K321="мин.ставка",I321*100,G321/102*2),2)</f>
        <v/>
      </c>
      <c r="M321" s="5" t="n">
        <v>46225.5</v>
      </c>
      <c r="N321" t="inlineStr">
        <is>
          <t>TravelLine ресепшн</t>
        </is>
      </c>
      <c r="O321" s="2" t="inlineStr">
        <is>
          <t>СТАНДАРТНЫЙ ДВУХМЕСТНЫЙ НОМЕР</t>
        </is>
      </c>
      <c r="P321" s="6" t="n"/>
      <c r="R321" t="inlineStr"/>
      <c r="S321" t="inlineStr">
        <is>
          <t>Тариф с завтраком</t>
        </is>
      </c>
      <c r="T321" t="n">
        <v>0</v>
      </c>
      <c r="U321" t="n">
        <v>34050</v>
      </c>
    </row>
    <row r="322">
      <c r="A322" t="inlineStr">
        <is>
          <t>20260825-8186-444275504</t>
        </is>
      </c>
      <c r="B322" t="n">
        <v>1</v>
      </c>
      <c r="C322" s="2" t="inlineStr">
        <is>
          <t>Вячеслав Смирнов, МАРИЯ УСТЕНКО</t>
        </is>
      </c>
      <c r="D322" s="3" t="n">
        <v>51750</v>
      </c>
      <c r="E322" s="4" t="n">
        <v>4</v>
      </c>
      <c r="F322" t="inlineStr">
        <is>
          <t>TravelLine Booking Engine [Чайковский]</t>
        </is>
      </c>
      <c r="G322" s="3">
        <f>ROUND(D322/(100-E322)*100,2)</f>
        <v/>
      </c>
      <c r="H322" s="5" t="n">
        <v>46259.58333333334</v>
      </c>
      <c r="I322" t="n">
        <v>3</v>
      </c>
      <c r="J322" s="3">
        <f>G322/I322</f>
        <v/>
      </c>
      <c r="K322">
        <f>IF(J322&gt;=5100,"ставка","мин.ставка")</f>
        <v/>
      </c>
      <c r="L322" s="3">
        <f>ROUND(IF(K322="мин.ставка",I322*100,G322/102*2),2)</f>
        <v/>
      </c>
      <c r="M322" s="5" t="n">
        <v>46262.5</v>
      </c>
      <c r="N322" t="inlineStr">
        <is>
          <t>TravelLine сайт</t>
        </is>
      </c>
      <c r="O322" s="2" t="inlineStr">
        <is>
          <t>СЕМЕЙНЫЙ НОМЕР КАТЕГОРИИ "СТАНДАРТ" ВТОРОЙ КОРПУС</t>
        </is>
      </c>
      <c r="P322" s="6" t="n"/>
      <c r="R322" t="inlineStr"/>
      <c r="S322" t="inlineStr">
        <is>
          <t>Тариф с завтраком</t>
        </is>
      </c>
      <c r="T322" t="n">
        <v>8400</v>
      </c>
      <c r="U322" t="n">
        <v>60150</v>
      </c>
    </row>
    <row r="323">
      <c r="A323" t="inlineStr">
        <is>
          <t>20260704-8186-405164282</t>
        </is>
      </c>
      <c r="B323" t="n">
        <v>1</v>
      </c>
      <c r="C323" s="2" t="inlineStr">
        <is>
          <t>ВЯЧЕСЛАВ СУНГУРОВ, Елена Сунгурова</t>
        </is>
      </c>
      <c r="D323" s="3" t="n">
        <v>97515</v>
      </c>
      <c r="E323" s="4" t="n">
        <v>17</v>
      </c>
      <c r="F323" t="inlineStr">
        <is>
          <t>ООО "ОНЛАЙН ИННОВАЦИИ" (101 Отель) [Чайковский]</t>
        </is>
      </c>
      <c r="G323" s="3">
        <f>ROUND(D323/(100-E323)*100,2)</f>
        <v/>
      </c>
      <c r="H323" s="5" t="n">
        <v>46204.58333333334</v>
      </c>
      <c r="I323" t="n">
        <v>10</v>
      </c>
      <c r="J323" s="3">
        <f>G323/I323</f>
        <v/>
      </c>
      <c r="K323">
        <f>IF(J323&gt;=5100,"ставка","мин.ставка")</f>
        <v/>
      </c>
      <c r="L323" s="3">
        <f>ROUND(IF(K323="мин.ставка",I323*100,G323/102*2),2)</f>
        <v/>
      </c>
      <c r="M323" s="5" t="n">
        <v>46214.5</v>
      </c>
      <c r="N323" t="inlineStr">
        <is>
          <t>TravelLine H1C</t>
        </is>
      </c>
      <c r="O323" s="2" t="inlineStr">
        <is>
          <t>СТАНДАРТНЫЙ ДВУХМЕСТНЫЙ НОМЕР (МАНСАРДА)</t>
        </is>
      </c>
      <c r="P323" s="6" t="n"/>
      <c r="R323" t="inlineStr"/>
      <c r="S323" t="inlineStr">
        <is>
          <t>Тариф с завтраком</t>
        </is>
      </c>
      <c r="T323" t="n">
        <v>0</v>
      </c>
      <c r="U323" t="n">
        <v>195030</v>
      </c>
    </row>
    <row r="324">
      <c r="A324" t="inlineStr">
        <is>
          <t>20260729-8186-400177380</t>
        </is>
      </c>
      <c r="B324" t="n">
        <v>1</v>
      </c>
      <c r="C324" s="2" t="inlineStr">
        <is>
          <t>ВЯЧЕСЛАВ ТКАЧЕВ, ВЕРА Скворцова</t>
        </is>
      </c>
      <c r="D324" s="3" t="n">
        <v>59400</v>
      </c>
      <c r="E324" s="4" t="n">
        <v>0</v>
      </c>
      <c r="F324" t="inlineStr">
        <is>
          <t>Прямые бронирования (стойка) [Чайковский]</t>
        </is>
      </c>
      <c r="G324" s="3">
        <f>ROUND(D324/(100-E324)*100,2)</f>
        <v/>
      </c>
      <c r="H324" s="5" t="n">
        <v>46232.58333333334</v>
      </c>
      <c r="I324" t="n">
        <v>4</v>
      </c>
      <c r="J324" s="3">
        <f>G324/I324</f>
        <v/>
      </c>
      <c r="K324">
        <f>IF(J324&gt;=5100,"ставка","мин.ставка")</f>
        <v/>
      </c>
      <c r="L324" s="3">
        <f>ROUND(IF(K324="мин.ставка",I324*100,G324/102*2),2)</f>
        <v/>
      </c>
      <c r="M324" s="5" t="n">
        <v>46236.5</v>
      </c>
      <c r="N324" t="inlineStr">
        <is>
          <t>TravelLine ресепшн</t>
        </is>
      </c>
      <c r="O324" s="2" t="inlineStr">
        <is>
          <t>ПОЛУЛЮКС</t>
        </is>
      </c>
      <c r="P324" s="6" t="n"/>
      <c r="R324" t="inlineStr"/>
      <c r="S324" t="inlineStr">
        <is>
          <t>Тариф с завтраком</t>
        </is>
      </c>
      <c r="T324" t="n">
        <v>0</v>
      </c>
      <c r="U324" t="n">
        <v>59400</v>
      </c>
    </row>
    <row r="325">
      <c r="A325" t="inlineStr">
        <is>
          <t>20260721-8186-426049066</t>
        </is>
      </c>
      <c r="B325" t="n">
        <v>1</v>
      </c>
      <c r="C325" s="2" t="inlineStr">
        <is>
          <t>Галина Лещева</t>
        </is>
      </c>
      <c r="D325" s="3" t="n">
        <v>20368</v>
      </c>
      <c r="E325" s="4" t="n">
        <v>18</v>
      </c>
      <c r="F325" t="inlineStr">
        <is>
          <t>Яндекс.Путешествия [Чайковский]</t>
        </is>
      </c>
      <c r="G325" s="3">
        <f>ROUND(D325/(100-E325)*100,2)</f>
        <v/>
      </c>
      <c r="H325" s="5" t="n">
        <v>46224.58333333334</v>
      </c>
      <c r="I325" t="n">
        <v>2</v>
      </c>
      <c r="J325" s="3">
        <f>G325/I325</f>
        <v/>
      </c>
      <c r="K325">
        <f>IF(J325&gt;=5100,"ставка","мин.ставка")</f>
        <v/>
      </c>
      <c r="L325" s="3">
        <f>ROUND(IF(K325="мин.ставка",I325*100,G325/102*2),2)</f>
        <v/>
      </c>
      <c r="M325" s="5" t="n">
        <v>46226.58333333334</v>
      </c>
      <c r="N325" t="inlineStr">
        <is>
          <t>TravelLine YAX</t>
        </is>
      </c>
      <c r="O325" s="2" t="inlineStr">
        <is>
          <t>ПОЛУЛЮКС</t>
        </is>
      </c>
      <c r="P325" s="6" t="n"/>
      <c r="R325" t="inlineStr"/>
      <c r="S325" t="inlineStr">
        <is>
          <t>Тариф с завтраком</t>
        </is>
      </c>
      <c r="T325" t="n">
        <v>0</v>
      </c>
      <c r="U325" t="n">
        <v>65664</v>
      </c>
    </row>
    <row r="326">
      <c r="A326" t="inlineStr">
        <is>
          <t>20260721-8186-426049066</t>
        </is>
      </c>
      <c r="B326" t="n">
        <v>1</v>
      </c>
      <c r="C326" s="2" t="inlineStr">
        <is>
          <t>Галина Лещева</t>
        </is>
      </c>
      <c r="D326" s="3" t="n">
        <v>10184</v>
      </c>
      <c r="E326" s="4" t="n">
        <v>18</v>
      </c>
      <c r="F326" t="inlineStr">
        <is>
          <t>Яндекс.Путешествия [Чайковский]</t>
        </is>
      </c>
      <c r="G326" s="3">
        <f>ROUND(D326/(100-E326)*100,2)</f>
        <v/>
      </c>
      <c r="H326" s="5" t="n">
        <v>46226.58333333334</v>
      </c>
      <c r="I326" t="n">
        <v>1</v>
      </c>
      <c r="J326" s="3">
        <f>G326/I326</f>
        <v/>
      </c>
      <c r="K326">
        <f>IF(J326&gt;=5100,"ставка","мин.ставка")</f>
        <v/>
      </c>
      <c r="L326" s="3">
        <f>ROUND(IF(K326="мин.ставка",I326*100,G326/102*2),2)</f>
        <v/>
      </c>
      <c r="M326" s="5" t="n">
        <v>46227.5</v>
      </c>
      <c r="N326" t="inlineStr">
        <is>
          <t>TravelLine YAX</t>
        </is>
      </c>
      <c r="O326" s="2" t="inlineStr">
        <is>
          <t>УЛУЧШЕННЫЙ ДВУХМЕСТНЫЙ НОМЕР</t>
        </is>
      </c>
      <c r="P326" s="6" t="n"/>
      <c r="R326" t="inlineStr"/>
      <c r="S326" t="inlineStr">
        <is>
          <t>Тариф с завтраком</t>
        </is>
      </c>
      <c r="T326" t="n">
        <v>0</v>
      </c>
      <c r="U326" t="n">
        <v>65664</v>
      </c>
    </row>
    <row r="327">
      <c r="A327" t="inlineStr">
        <is>
          <t>20260821-8186-458221934</t>
        </is>
      </c>
      <c r="B327" t="n">
        <v>1</v>
      </c>
      <c r="C327" s="2" t="inlineStr">
        <is>
          <t>ГАЛИНА ЛУКЬЯНОВА, ТИМОФЕЙ КОТАРЕВ</t>
        </is>
      </c>
      <c r="D327" s="3" t="n">
        <v>39270</v>
      </c>
      <c r="E327" s="4" t="n">
        <v>15</v>
      </c>
      <c r="F327" t="inlineStr">
        <is>
          <t>ООО "Библио-Глобус Туроператор" [Чайковский]</t>
        </is>
      </c>
      <c r="G327" s="3">
        <f>ROUND(D327/(100-E327)*100,2)</f>
        <v/>
      </c>
      <c r="H327" s="5" t="n">
        <v>46255.58333333334</v>
      </c>
      <c r="I327" t="n">
        <v>3</v>
      </c>
      <c r="J327" s="3">
        <f>G327/I327</f>
        <v/>
      </c>
      <c r="K327">
        <f>IF(J327&gt;=5100,"ставка","мин.ставка")</f>
        <v/>
      </c>
      <c r="L327" s="3">
        <f>ROUND(IF(K327="мин.ставка",I327*100,G327/102*2),2)</f>
        <v/>
      </c>
      <c r="M327" s="5" t="n">
        <v>46258.5</v>
      </c>
      <c r="N327" t="inlineStr">
        <is>
          <t>TravelLine BGL</t>
        </is>
      </c>
      <c r="O327" s="2" t="inlineStr">
        <is>
          <t>УЛУЧШЕННЫЙ ДВУХМЕСТНЫЙ НОМЕР</t>
        </is>
      </c>
      <c r="P327" s="6" t="n"/>
      <c r="R327" t="inlineStr"/>
      <c r="S327" t="inlineStr">
        <is>
          <t>Тариф с завтраком</t>
        </is>
      </c>
      <c r="T327" t="n">
        <v>0</v>
      </c>
      <c r="U327" t="n">
        <v>39270</v>
      </c>
    </row>
    <row r="328">
      <c r="A328" t="inlineStr">
        <is>
          <t>20260820-8186-458200934</t>
        </is>
      </c>
      <c r="B328" t="n">
        <v>1</v>
      </c>
      <c r="C328" s="2" t="inlineStr">
        <is>
          <t>Галуст Шахбазян</t>
        </is>
      </c>
      <c r="D328" s="3" t="n">
        <v>6160</v>
      </c>
      <c r="E328" s="4" t="n">
        <v>20</v>
      </c>
      <c r="F328" t="inlineStr">
        <is>
          <t>ООО "КОМПАНИЯ БРОНЕВИК" [Чайковский]</t>
        </is>
      </c>
      <c r="G328" s="3">
        <f>ROUND(D328/(100-E328)*100,2)</f>
        <v/>
      </c>
      <c r="H328" s="5" t="n">
        <v>46254.58333333334</v>
      </c>
      <c r="I328" t="n">
        <v>1</v>
      </c>
      <c r="J328" s="3">
        <f>G328/I328</f>
        <v/>
      </c>
      <c r="K328">
        <f>IF(J328&gt;=5100,"ставка","мин.ставка")</f>
        <v/>
      </c>
      <c r="L328" s="3">
        <f>ROUND(IF(K328="мин.ставка",I328*100,G328/102*2),2)</f>
        <v/>
      </c>
      <c r="M328" s="5" t="n">
        <v>46255.5</v>
      </c>
      <c r="N328" t="inlineStr">
        <is>
          <t>TravelLine BR2</t>
        </is>
      </c>
      <c r="O328" s="2" t="inlineStr">
        <is>
          <t>СТАНДАРТНЫЙ ОДНОМЕСТНЫЙ НОМЕР</t>
        </is>
      </c>
      <c r="P328" s="6" t="n"/>
      <c r="R328" t="inlineStr"/>
      <c r="S328" t="inlineStr">
        <is>
          <t>Тариф с завтраком</t>
        </is>
      </c>
      <c r="T328" t="n">
        <v>0</v>
      </c>
      <c r="U328" t="n">
        <v>6160</v>
      </c>
    </row>
    <row r="329">
      <c r="A329" t="inlineStr">
        <is>
          <t>20260719-8186-450387635</t>
        </is>
      </c>
      <c r="B329" t="n">
        <v>1</v>
      </c>
      <c r="C329" s="2" t="inlineStr">
        <is>
          <t>Гельфида Хасаншина, Гусман Хасаншин</t>
        </is>
      </c>
      <c r="D329" s="3" t="n">
        <v>7920</v>
      </c>
      <c r="E329" s="4" t="n">
        <v>18</v>
      </c>
      <c r="F329" t="inlineStr">
        <is>
          <t>Яндекс.Путешествия [Чайковский]</t>
        </is>
      </c>
      <c r="G329" s="3">
        <f>ROUND(D329/(100-E329)*100,2)</f>
        <v/>
      </c>
      <c r="H329" s="5" t="n">
        <v>46222.58333333334</v>
      </c>
      <c r="I329" t="n">
        <v>1</v>
      </c>
      <c r="J329" s="3">
        <f>G329/I329</f>
        <v/>
      </c>
      <c r="K329">
        <f>IF(J329&gt;=5100,"ставка","мин.ставка")</f>
        <v/>
      </c>
      <c r="L329" s="3">
        <f>ROUND(IF(K329="мин.ставка",I329*100,G329/102*2),2)</f>
        <v/>
      </c>
      <c r="M329" s="5" t="n">
        <v>46223.5</v>
      </c>
      <c r="N329" t="inlineStr">
        <is>
          <t>TravelLine YAX</t>
        </is>
      </c>
      <c r="O329" s="2" t="inlineStr">
        <is>
          <t>СТАНДАРТНЫЙ ДВУХМЕСТНЫЙ НОМЕР (МАНСАРДА)</t>
        </is>
      </c>
      <c r="P329" s="6" t="n"/>
      <c r="R329" t="inlineStr"/>
      <c r="S329" t="inlineStr">
        <is>
          <t>Тариф с завтраком</t>
        </is>
      </c>
      <c r="T329" t="n">
        <v>0</v>
      </c>
      <c r="U329" t="n">
        <v>7920</v>
      </c>
    </row>
    <row r="330">
      <c r="A330" t="inlineStr">
        <is>
          <t>20260918-8186-466778125</t>
        </is>
      </c>
      <c r="B330" t="n">
        <v>1</v>
      </c>
      <c r="C330" s="2" t="inlineStr">
        <is>
          <t>Георги Гасиев, Айдар Иксанов</t>
        </is>
      </c>
      <c r="D330" s="3" t="n">
        <v>9375</v>
      </c>
      <c r="E330" s="4" t="n">
        <v>18</v>
      </c>
      <c r="F330" t="inlineStr">
        <is>
          <t>Яндекс.Путешествия [Чайковский]</t>
        </is>
      </c>
      <c r="G330" s="3">
        <f>ROUND(D330/(100-E330)*100,2)</f>
        <v/>
      </c>
      <c r="H330" s="5" t="n">
        <v>46283.58333333334</v>
      </c>
      <c r="I330" t="n">
        <v>1</v>
      </c>
      <c r="J330" s="3">
        <f>G330/I330</f>
        <v/>
      </c>
      <c r="K330">
        <f>IF(J330&gt;=5100,"ставка","мин.ставка")</f>
        <v/>
      </c>
      <c r="L330" s="3">
        <f>ROUND(IF(K330="мин.ставка",I330*100,G330/102*2),2)</f>
        <v/>
      </c>
      <c r="M330" s="5" t="n">
        <v>46284.5</v>
      </c>
      <c r="N330" t="inlineStr">
        <is>
          <t>TravelLine YAX</t>
        </is>
      </c>
      <c r="O330" s="2" t="inlineStr">
        <is>
          <t>СЕМЕЙНЫЙ НОМЕР КАТЕГОРИИ "СТАНДАРТ" ВТОРОЙ КОРПУС</t>
        </is>
      </c>
      <c r="P330" s="6" t="n"/>
      <c r="R330" t="inlineStr"/>
      <c r="S330" t="inlineStr">
        <is>
          <t>Основной тариф без завтрака</t>
        </is>
      </c>
      <c r="T330" t="n">
        <v>0</v>
      </c>
      <c r="U330" t="n">
        <v>9375</v>
      </c>
    </row>
    <row r="331">
      <c r="A331" t="inlineStr">
        <is>
          <t>20260927-8186-468595858</t>
        </is>
      </c>
      <c r="B331" t="n">
        <v>1</v>
      </c>
      <c r="C331" s="2" t="inlineStr">
        <is>
          <t>ГЛЕБ КРЫЛОВ, ДАРЬЯ КРЫЛОВА</t>
        </is>
      </c>
      <c r="D331" s="3" t="n">
        <v>55440</v>
      </c>
      <c r="E331" s="4" t="n">
        <v>16</v>
      </c>
      <c r="F331" t="inlineStr">
        <is>
          <t>ООО "БРОНИРОВАНИЕ ГОСТИНИЦ" (OSTROVOK) [Чайковский]</t>
        </is>
      </c>
      <c r="G331" s="3">
        <f>ROUND(D331/(100-E331)*100,2)</f>
        <v/>
      </c>
      <c r="H331" s="5" t="n">
        <v>46292.58333333334</v>
      </c>
      <c r="I331" t="n">
        <v>4</v>
      </c>
      <c r="J331" s="3">
        <f>G331/I331</f>
        <v/>
      </c>
      <c r="K331">
        <f>IF(J331&gt;=5100,"ставка","мин.ставка")</f>
        <v/>
      </c>
      <c r="L331" s="3">
        <f>ROUND(IF(K331="мин.ставка",I331*100,G331/102*2),2)</f>
        <v/>
      </c>
      <c r="M331" s="5" t="n">
        <v>46296.5</v>
      </c>
      <c r="N331" t="inlineStr">
        <is>
          <t>TravelLine OTK</t>
        </is>
      </c>
      <c r="O331" s="2" t="inlineStr">
        <is>
          <t>ПОЛУЛЮКС</t>
        </is>
      </c>
      <c r="P331" s="6" t="n"/>
      <c r="R331" t="inlineStr"/>
      <c r="S331" t="inlineStr">
        <is>
          <t>Тариф с завтраком</t>
        </is>
      </c>
      <c r="T331" t="n">
        <v>0</v>
      </c>
      <c r="U331" t="n">
        <v>55440</v>
      </c>
    </row>
    <row r="332">
      <c r="A332" t="inlineStr">
        <is>
          <t>20260811-8186-457781287</t>
        </is>
      </c>
      <c r="B332" t="n">
        <v>1</v>
      </c>
      <c r="C332" s="2" t="inlineStr">
        <is>
          <t>ГЛЕБ УХАНОВ</t>
        </is>
      </c>
      <c r="D332" s="3" t="n">
        <v>12035</v>
      </c>
      <c r="E332" s="4" t="n">
        <v>0</v>
      </c>
      <c r="F332" t="inlineStr">
        <is>
          <t>Прямые бронирования (стойка) [Чайковский]</t>
        </is>
      </c>
      <c r="G332" s="3">
        <f>ROUND(D332/(100-E332)*100,2)</f>
        <v/>
      </c>
      <c r="H332" s="5" t="n">
        <v>46245.58333333334</v>
      </c>
      <c r="I332" t="n">
        <v>1</v>
      </c>
      <c r="J332" s="3">
        <f>G332/I332</f>
        <v/>
      </c>
      <c r="K332">
        <f>IF(J332&gt;=5100,"ставка","мин.ставка")</f>
        <v/>
      </c>
      <c r="L332" s="3">
        <f>ROUND(IF(K332="мин.ставка",I332*100,G332/102*2),2)</f>
        <v/>
      </c>
      <c r="M332" s="5" t="n">
        <v>46246.5</v>
      </c>
      <c r="N332" t="inlineStr">
        <is>
          <t>TravelLine CMB</t>
        </is>
      </c>
      <c r="O332" s="2" t="inlineStr">
        <is>
          <t>ПОЛУЛЮКС</t>
        </is>
      </c>
      <c r="P332" s="6" t="n"/>
      <c r="R332" t="inlineStr"/>
      <c r="S332" t="inlineStr">
        <is>
          <t>Тариф с завтраком</t>
        </is>
      </c>
      <c r="T332" t="n">
        <v>0</v>
      </c>
      <c r="U332" t="n">
        <v>12035</v>
      </c>
    </row>
    <row r="333">
      <c r="A333" t="inlineStr">
        <is>
          <t>20260809-8186-447790512</t>
        </is>
      </c>
      <c r="B333" t="n">
        <v>1</v>
      </c>
      <c r="C333" s="2" t="inlineStr">
        <is>
          <t>Гульнара Булавлёва, Антон Булавлёв</t>
        </is>
      </c>
      <c r="D333" s="3" t="n">
        <v>22695</v>
      </c>
      <c r="E333" s="4" t="n">
        <v>15</v>
      </c>
      <c r="F333" t="inlineStr">
        <is>
          <t>ООО Тинькофф Путешествия [Чайковский]</t>
        </is>
      </c>
      <c r="G333" s="3">
        <f>ROUND(D333/(100-E333)*100,2)</f>
        <v/>
      </c>
      <c r="H333" s="5" t="n">
        <v>46243.58333333334</v>
      </c>
      <c r="I333" t="n">
        <v>2</v>
      </c>
      <c r="J333" s="3">
        <f>G333/I333</f>
        <v/>
      </c>
      <c r="K333">
        <f>IF(J333&gt;=5100,"ставка","мин.ставка")</f>
        <v/>
      </c>
      <c r="L333" s="3">
        <f>ROUND(IF(K333="мин.ставка",I333*100,G333/102*2),2)</f>
        <v/>
      </c>
      <c r="M333" s="5" t="n">
        <v>46245.5</v>
      </c>
      <c r="N333" t="inlineStr">
        <is>
          <t>TravelLine TNK</t>
        </is>
      </c>
      <c r="O333" s="2" t="inlineStr">
        <is>
          <t>СТАНДАРТНЫЙ ДВУХМЕСТНЫЙ НОМЕР</t>
        </is>
      </c>
      <c r="P333" s="6" t="n"/>
      <c r="R333" t="inlineStr"/>
      <c r="S333" t="inlineStr">
        <is>
          <t>Тариф с завтраком</t>
        </is>
      </c>
      <c r="T333" t="n">
        <v>0</v>
      </c>
      <c r="U333" t="n">
        <v>22695</v>
      </c>
    </row>
    <row r="334">
      <c r="A334" t="inlineStr">
        <is>
          <t>20260726-8186-453190843</t>
        </is>
      </c>
      <c r="B334" t="n">
        <v>1</v>
      </c>
      <c r="C334" s="2" t="inlineStr">
        <is>
          <t>Дамир Мерсаитов, Алиса Левина</t>
        </is>
      </c>
      <c r="D334" s="3" t="n">
        <v>9265</v>
      </c>
      <c r="E334" s="4" t="n">
        <v>15</v>
      </c>
      <c r="F334" t="inlineStr">
        <is>
          <t>ООО "БРОНИРОВАНИЕ ГОСТИНИЦ" (OSTROVOK) [Чайковский]</t>
        </is>
      </c>
      <c r="G334" s="3">
        <f>ROUND(D334/(100-E334)*100,2)</f>
        <v/>
      </c>
      <c r="H334" s="5" t="n">
        <v>46229.58333333334</v>
      </c>
      <c r="I334" t="n">
        <v>1</v>
      </c>
      <c r="J334" s="3">
        <f>G334/I334</f>
        <v/>
      </c>
      <c r="K334">
        <f>IF(J334&gt;=5100,"ставка","мин.ставка")</f>
        <v/>
      </c>
      <c r="L334" s="3">
        <f>ROUND(IF(K334="мин.ставка",I334*100,G334/102*2),2)</f>
        <v/>
      </c>
      <c r="M334" s="5" t="n">
        <v>46230.5</v>
      </c>
      <c r="N334" t="inlineStr">
        <is>
          <t>TravelLine OTK</t>
        </is>
      </c>
      <c r="O334" s="2" t="inlineStr">
        <is>
          <t>СТАНДАРТНЫЙ ДВУХМЕСТНЫЙ НОМЕР</t>
        </is>
      </c>
      <c r="P334" s="6" t="n"/>
      <c r="R334" t="inlineStr"/>
      <c r="S334" t="inlineStr">
        <is>
          <t>Тариф с завтраком</t>
        </is>
      </c>
      <c r="T334" t="n">
        <v>0</v>
      </c>
      <c r="U334" t="n">
        <v>9265</v>
      </c>
    </row>
    <row r="335">
      <c r="A335" t="inlineStr">
        <is>
          <t>20260826-8186-461708579</t>
        </is>
      </c>
      <c r="B335" t="n">
        <v>1</v>
      </c>
      <c r="C335" s="2" t="inlineStr">
        <is>
          <t>ДАНИИЛ КАПЛАН</t>
        </is>
      </c>
      <c r="D335" s="3" t="n">
        <v>9080</v>
      </c>
      <c r="E335" s="4" t="n">
        <v>20</v>
      </c>
      <c r="F335" t="inlineStr">
        <is>
          <t>ООО "ХБ-ПРО" [Чайковский]</t>
        </is>
      </c>
      <c r="G335" s="3">
        <f>ROUND(D335/(100-E335)*100,2)</f>
        <v/>
      </c>
      <c r="H335" s="5" t="n">
        <v>46260.58333333334</v>
      </c>
      <c r="I335" t="n">
        <v>1</v>
      </c>
      <c r="J335" s="3">
        <f>G335/I335</f>
        <v/>
      </c>
      <c r="K335">
        <f>IF(J335&gt;=5100,"ставка","мин.ставка")</f>
        <v/>
      </c>
      <c r="L335" s="3">
        <f>ROUND(IF(K335="мин.ставка",I335*100,G335/102*2),2)</f>
        <v/>
      </c>
      <c r="M335" s="5" t="n">
        <v>46261.5</v>
      </c>
      <c r="N335" t="inlineStr">
        <is>
          <t>TravelLine UTS</t>
        </is>
      </c>
      <c r="O335" s="2" t="inlineStr">
        <is>
          <t>ПОЛУЛЮКС</t>
        </is>
      </c>
      <c r="P335" s="6" t="n"/>
      <c r="R335" t="inlineStr"/>
      <c r="S335" t="inlineStr">
        <is>
          <t>Тариф с завтраком</t>
        </is>
      </c>
      <c r="T335" t="n">
        <v>0</v>
      </c>
      <c r="U335" t="n">
        <v>9080</v>
      </c>
    </row>
    <row r="336">
      <c r="A336" t="inlineStr">
        <is>
          <t>20260902-8186-455809317</t>
        </is>
      </c>
      <c r="B336" t="n">
        <v>1</v>
      </c>
      <c r="C336" s="2" t="inlineStr">
        <is>
          <t>ДАНИИЛ НИКОЛАЕВ</t>
        </is>
      </c>
      <c r="D336" s="3" t="n">
        <v>18160</v>
      </c>
      <c r="E336" s="4" t="n">
        <v>20</v>
      </c>
      <c r="F336" t="inlineStr">
        <is>
          <t>ООО "ХБ-ПРО" [Чайковский]</t>
        </is>
      </c>
      <c r="G336" s="3">
        <f>ROUND(D336/(100-E336)*100,2)</f>
        <v/>
      </c>
      <c r="H336" s="5" t="n">
        <v>46267.58333333334</v>
      </c>
      <c r="I336" t="n">
        <v>2</v>
      </c>
      <c r="J336" s="3">
        <f>G336/I336</f>
        <v/>
      </c>
      <c r="K336">
        <f>IF(J336&gt;=5100,"ставка","мин.ставка")</f>
        <v/>
      </c>
      <c r="L336" s="3">
        <f>ROUND(IF(K336="мин.ставка",I336*100,G336/102*2),2)</f>
        <v/>
      </c>
      <c r="M336" s="5" t="n">
        <v>46269.5</v>
      </c>
      <c r="N336" t="inlineStr">
        <is>
          <t>TravelLine UTS</t>
        </is>
      </c>
      <c r="O336" s="2" t="inlineStr">
        <is>
          <t>СТАНДАРТНЫЙ ДВУХМЕСТНЫЙ НОМЕР</t>
        </is>
      </c>
      <c r="P336" s="6" t="n"/>
      <c r="R336" t="inlineStr"/>
      <c r="S336" t="inlineStr">
        <is>
          <t>Тариф с завтраком</t>
        </is>
      </c>
      <c r="T336" t="n">
        <v>0</v>
      </c>
      <c r="U336" t="n">
        <v>18160</v>
      </c>
    </row>
    <row r="337">
      <c r="A337" t="inlineStr">
        <is>
          <t>20260807-8186-414520274</t>
        </is>
      </c>
      <c r="B337" t="n">
        <v>1</v>
      </c>
      <c r="C337" s="2" t="inlineStr">
        <is>
          <t>Даниил Чернышов, Анастасия Басанец</t>
        </is>
      </c>
      <c r="D337" s="3" t="n">
        <v>29548</v>
      </c>
      <c r="E337" s="4" t="n">
        <v>17</v>
      </c>
      <c r="F337" t="inlineStr">
        <is>
          <t>ООО «Интернет Трэвел» (OZON) [Чайковский]</t>
        </is>
      </c>
      <c r="G337" s="3">
        <f>ROUND(D337/(100-E337)*100,2)</f>
        <v/>
      </c>
      <c r="H337" s="5" t="n">
        <v>46241.58333333334</v>
      </c>
      <c r="I337" t="n">
        <v>2</v>
      </c>
      <c r="J337" s="3">
        <f>G337/I337</f>
        <v/>
      </c>
      <c r="K337">
        <f>IF(J337&gt;=5100,"ставка","мин.ставка")</f>
        <v/>
      </c>
      <c r="L337" s="3">
        <f>ROUND(IF(K337="мин.ставка",I337*100,G337/102*2),2)</f>
        <v/>
      </c>
      <c r="M337" s="5" t="n">
        <v>46243.5</v>
      </c>
      <c r="N337" t="inlineStr">
        <is>
          <t>TravelLine OZ2</t>
        </is>
      </c>
      <c r="O337" s="2" t="inlineStr">
        <is>
          <t>ЛЮКС</t>
        </is>
      </c>
      <c r="P337" s="6" t="n"/>
      <c r="R337" t="inlineStr"/>
      <c r="S337" t="inlineStr">
        <is>
          <t>Тариф с завтраком</t>
        </is>
      </c>
      <c r="T337" t="n">
        <v>0</v>
      </c>
      <c r="U337" t="n">
        <v>29548</v>
      </c>
    </row>
    <row r="338">
      <c r="A338" t="inlineStr">
        <is>
          <t>20260831-8186-462238401</t>
        </is>
      </c>
      <c r="B338" t="n">
        <v>1</v>
      </c>
      <c r="C338" s="2" t="inlineStr">
        <is>
          <t>Даниил Чугунов</t>
        </is>
      </c>
      <c r="D338" s="3" t="n">
        <v>5687.99</v>
      </c>
      <c r="E338" s="4" t="n">
        <v>17</v>
      </c>
      <c r="F338" t="inlineStr">
        <is>
          <t>ООО «Интернет Трэвел» (OZON) [Чайковский]</t>
        </is>
      </c>
      <c r="G338" s="3">
        <f>ROUND(D338/(100-E338)*100,2)</f>
        <v/>
      </c>
      <c r="H338" s="5" t="n">
        <v>46265.58333333334</v>
      </c>
      <c r="I338" t="n">
        <v>1</v>
      </c>
      <c r="J338" s="3">
        <f>G338/I338</f>
        <v/>
      </c>
      <c r="K338">
        <f>IF(J338&gt;=5100,"ставка","мин.ставка")</f>
        <v/>
      </c>
      <c r="L338" s="3">
        <f>ROUND(IF(K338="мин.ставка",I338*100,G338/102*2),2)</f>
        <v/>
      </c>
      <c r="M338" s="5" t="n">
        <v>46266.5</v>
      </c>
      <c r="N338" t="inlineStr">
        <is>
          <t>TravelLine OZ2</t>
        </is>
      </c>
      <c r="O338" s="2" t="inlineStr">
        <is>
          <t>СТАНДАРТНЫЙ ДВУХМЕСТНЫЙ НОМЕР</t>
        </is>
      </c>
      <c r="P338" s="6" t="n"/>
      <c r="R338" t="inlineStr"/>
      <c r="S338" t="inlineStr">
        <is>
          <t>Тариф с завтраком</t>
        </is>
      </c>
      <c r="T338" t="n">
        <v>0</v>
      </c>
      <c r="U338" t="n">
        <v>5687.99</v>
      </c>
    </row>
    <row r="339">
      <c r="A339" t="inlineStr">
        <is>
          <t>20260818-8186-458712643</t>
        </is>
      </c>
      <c r="B339" t="n">
        <v>1</v>
      </c>
      <c r="C339" s="2" t="inlineStr">
        <is>
          <t>Дарья Адамович</t>
        </is>
      </c>
      <c r="D339" s="3" t="n">
        <v>11020</v>
      </c>
      <c r="E339" s="4" t="n">
        <v>18</v>
      </c>
      <c r="F339" t="inlineStr">
        <is>
          <t>Яндекс.Путешествия [Чайковский]</t>
        </is>
      </c>
      <c r="G339" s="3">
        <f>ROUND(D339/(100-E339)*100,2)</f>
        <v/>
      </c>
      <c r="H339" s="5" t="n">
        <v>46252.58333333334</v>
      </c>
      <c r="I339" t="n">
        <v>1</v>
      </c>
      <c r="J339" s="3">
        <f>G339/I339</f>
        <v/>
      </c>
      <c r="K339">
        <f>IF(J339&gt;=5100,"ставка","мин.ставка")</f>
        <v/>
      </c>
      <c r="L339" s="3">
        <f>ROUND(IF(K339="мин.ставка",I339*100,G339/102*2),2)</f>
        <v/>
      </c>
      <c r="M339" s="5" t="n">
        <v>46253.5</v>
      </c>
      <c r="N339" t="inlineStr">
        <is>
          <t>TravelLine YAX</t>
        </is>
      </c>
      <c r="O339" s="2" t="inlineStr">
        <is>
          <t>ПОЛУЛЮКС</t>
        </is>
      </c>
      <c r="P339" s="6" t="n"/>
      <c r="R339" t="inlineStr"/>
      <c r="S339" t="inlineStr">
        <is>
          <t>Тариф с завтраком</t>
        </is>
      </c>
      <c r="T339" t="n">
        <v>0</v>
      </c>
      <c r="U339" t="n">
        <v>11020</v>
      </c>
    </row>
    <row r="340">
      <c r="A340" t="inlineStr">
        <is>
          <t>20260910-8186-427551341</t>
        </is>
      </c>
      <c r="B340" t="n">
        <v>1</v>
      </c>
      <c r="C340" s="2" t="inlineStr">
        <is>
          <t>Дарья Гордеева, Дина Щербакова</t>
        </is>
      </c>
      <c r="D340" s="3" t="n">
        <v>36045</v>
      </c>
      <c r="E340" s="4" t="n">
        <v>0</v>
      </c>
      <c r="F340" t="inlineStr">
        <is>
          <t>Прямые бронирования (стойка) [Чайковский]</t>
        </is>
      </c>
      <c r="G340" s="3">
        <f>ROUND(D340/(100-E340)*100,2)</f>
        <v/>
      </c>
      <c r="H340" s="5" t="n">
        <v>46275.58333333334</v>
      </c>
      <c r="I340" t="n">
        <v>3</v>
      </c>
      <c r="J340" s="3">
        <f>G340/I340</f>
        <v/>
      </c>
      <c r="K340">
        <f>IF(J340&gt;=5100,"ставка","мин.ставка")</f>
        <v/>
      </c>
      <c r="L340" s="3">
        <f>ROUND(IF(K340="мин.ставка",I340*100,G340/102*2),2)</f>
        <v/>
      </c>
      <c r="M340" s="5" t="n">
        <v>46278.5</v>
      </c>
      <c r="N340" t="inlineStr">
        <is>
          <t>TravelLine ресепшн</t>
        </is>
      </c>
      <c r="O340" s="2" t="inlineStr">
        <is>
          <t>СТАНДАРТНЫЙ ДВУХМЕСТНЫЙ НОМЕР</t>
        </is>
      </c>
      <c r="P340" s="6" t="n"/>
      <c r="R340" t="inlineStr"/>
      <c r="S340" t="inlineStr">
        <is>
          <t>Тариф с завтраком</t>
        </is>
      </c>
      <c r="T340" t="n">
        <v>0</v>
      </c>
      <c r="U340" t="n">
        <v>216270</v>
      </c>
    </row>
    <row r="341">
      <c r="A341" t="inlineStr">
        <is>
          <t>20260930-8186-461353021</t>
        </is>
      </c>
      <c r="B341" t="n">
        <v>1</v>
      </c>
      <c r="C341" s="2" t="inlineStr">
        <is>
          <t>ДАРЬЯ ДЕМЧЕНКО</t>
        </is>
      </c>
      <c r="D341" s="3" t="n">
        <v>12264</v>
      </c>
      <c r="E341" s="4" t="n">
        <v>16</v>
      </c>
      <c r="F341" t="inlineStr">
        <is>
          <t>ООО "БРОНИРОВАНИЕ ГОСТИНИЦ" (OSTROVOK) [Чайковский]</t>
        </is>
      </c>
      <c r="G341" s="3">
        <f>ROUND(D341/(100-E341)*100,2)</f>
        <v/>
      </c>
      <c r="H341" s="5" t="n">
        <v>46295.58333333334</v>
      </c>
      <c r="I341" t="n">
        <v>2</v>
      </c>
      <c r="J341" s="3">
        <f>G341/I341</f>
        <v/>
      </c>
      <c r="K341">
        <f>IF(J341&gt;=5100,"ставка","мин.ставка")</f>
        <v/>
      </c>
      <c r="L341" s="3">
        <f>ROUND(IF(K341="мин.ставка",I341*100,G341/102*2),2)</f>
        <v/>
      </c>
      <c r="M341" s="5" t="n">
        <v>46297.5</v>
      </c>
      <c r="N341" t="inlineStr">
        <is>
          <t>TravelLine OTK</t>
        </is>
      </c>
      <c r="O341" s="2" t="inlineStr">
        <is>
          <t>СТАНДАРТНЫЙ ОДНОМЕСТНЫЙ НОМЕР</t>
        </is>
      </c>
      <c r="P341" s="6" t="n"/>
      <c r="R341" t="inlineStr"/>
      <c r="S341" t="inlineStr">
        <is>
          <t>Тариф с завтраком</t>
        </is>
      </c>
      <c r="T341" t="n">
        <v>0</v>
      </c>
      <c r="U341" t="n">
        <v>12264</v>
      </c>
    </row>
    <row r="342">
      <c r="A342" t="inlineStr">
        <is>
          <t>20260802-8186-428643420</t>
        </is>
      </c>
      <c r="B342" t="n">
        <v>1</v>
      </c>
      <c r="C342" s="2" t="inlineStr">
        <is>
          <t>Дарья Задорина, ДМИТРИЙ ЗАХАРОВ</t>
        </is>
      </c>
      <c r="D342" s="3" t="n">
        <v>91922.60000000001</v>
      </c>
      <c r="E342" s="4" t="n">
        <v>4</v>
      </c>
      <c r="F342" t="inlineStr">
        <is>
          <t>TravelLine Booking Engine [Чайковский]</t>
        </is>
      </c>
      <c r="G342" s="3">
        <f>ROUND(D342/(100-E342)*100,2)</f>
        <v/>
      </c>
      <c r="H342" s="5" t="n">
        <v>46236.72916666666</v>
      </c>
      <c r="I342" t="n">
        <v>6</v>
      </c>
      <c r="J342" s="3">
        <f>G342/I342</f>
        <v/>
      </c>
      <c r="K342">
        <f>IF(J342&gt;=5100,"ставка","мин.ставка")</f>
        <v/>
      </c>
      <c r="L342" s="3">
        <f>ROUND(IF(K342="мин.ставка",I342*100,G342/102*2),2)</f>
        <v/>
      </c>
      <c r="M342" s="5" t="n">
        <v>46242.5</v>
      </c>
      <c r="N342" t="inlineStr">
        <is>
          <t>TravelLine сайт</t>
        </is>
      </c>
      <c r="O342" s="2" t="inlineStr">
        <is>
          <t>УЛУЧШЕННЫЙ ДВУХМЕСТНЫЙ НОМЕР</t>
        </is>
      </c>
      <c r="P342" s="6" t="n"/>
      <c r="R342" t="inlineStr"/>
      <c r="S342" t="inlineStr">
        <is>
          <t>Тариф с завтраком</t>
        </is>
      </c>
      <c r="T342" t="n">
        <v>0</v>
      </c>
      <c r="U342" t="n">
        <v>91922.60000000001</v>
      </c>
    </row>
    <row r="343">
      <c r="A343" t="inlineStr">
        <is>
          <t>20260717-8186-433932355</t>
        </is>
      </c>
      <c r="B343" t="n">
        <v>1</v>
      </c>
      <c r="C343" s="2" t="inlineStr">
        <is>
          <t>Дарья Кондрашина, ВЛАДИМИР ГУРИКОВ</t>
        </is>
      </c>
      <c r="D343" s="3" t="n">
        <v>22161</v>
      </c>
      <c r="E343" s="4" t="n">
        <v>17</v>
      </c>
      <c r="F343" t="inlineStr">
        <is>
          <t>ООО «Дубль Гис» (OTELLO) [Чайковский]</t>
        </is>
      </c>
      <c r="G343" s="3">
        <f>ROUND(D343/(100-E343)*100,2)</f>
        <v/>
      </c>
      <c r="H343" s="5" t="n">
        <v>46220.58333333334</v>
      </c>
      <c r="I343" t="n">
        <v>2</v>
      </c>
      <c r="J343" s="3">
        <f>G343/I343</f>
        <v/>
      </c>
      <c r="K343">
        <f>IF(J343&gt;=5100,"ставка","мин.ставка")</f>
        <v/>
      </c>
      <c r="L343" s="3">
        <f>ROUND(IF(K343="мин.ставка",I343*100,G343/102*2),2)</f>
        <v/>
      </c>
      <c r="M343" s="5" t="n">
        <v>46222.5</v>
      </c>
      <c r="N343" t="inlineStr">
        <is>
          <t>TravelLine OL2</t>
        </is>
      </c>
      <c r="O343" s="2" t="inlineStr">
        <is>
          <t>СТАНДАРТНЫЙ ДВУХМЕСТНЫЙ НОМЕР</t>
        </is>
      </c>
      <c r="P343" s="6" t="n"/>
      <c r="R343" t="inlineStr"/>
      <c r="S343" t="inlineStr">
        <is>
          <t>Тариф с завтраком</t>
        </is>
      </c>
      <c r="T343" t="n">
        <v>0</v>
      </c>
      <c r="U343" t="n">
        <v>22161</v>
      </c>
    </row>
    <row r="344">
      <c r="A344" t="inlineStr">
        <is>
          <t>20260814-8186-430261857</t>
        </is>
      </c>
      <c r="B344" t="n">
        <v>1</v>
      </c>
      <c r="C344" s="2" t="inlineStr">
        <is>
          <t>Дарья Кучуб, Виктор Кучуб</t>
        </is>
      </c>
      <c r="D344" s="3" t="n">
        <v>22695</v>
      </c>
      <c r="E344" s="4" t="n">
        <v>15</v>
      </c>
      <c r="F344" t="inlineStr">
        <is>
          <t>ООО Тинькофф Путешествия [Чайковский]</t>
        </is>
      </c>
      <c r="G344" s="3">
        <f>ROUND(D344/(100-E344)*100,2)</f>
        <v/>
      </c>
      <c r="H344" s="5" t="n">
        <v>46248.91666666666</v>
      </c>
      <c r="I344" t="n">
        <v>2</v>
      </c>
      <c r="J344" s="3">
        <f>G344/I344</f>
        <v/>
      </c>
      <c r="K344">
        <f>IF(J344&gt;=5100,"ставка","мин.ставка")</f>
        <v/>
      </c>
      <c r="L344" s="3">
        <f>ROUND(IF(K344="мин.ставка",I344*100,G344/102*2),2)</f>
        <v/>
      </c>
      <c r="M344" s="5" t="n">
        <v>46250.5</v>
      </c>
      <c r="N344" t="inlineStr">
        <is>
          <t>TravelLine TNK</t>
        </is>
      </c>
      <c r="O344" s="2" t="inlineStr">
        <is>
          <t>СТАНДАРТНЫЙ ДВУХМЕСТНЫЙ НОМЕР</t>
        </is>
      </c>
      <c r="P344" s="6" t="n"/>
      <c r="R344" t="inlineStr"/>
      <c r="S344" t="inlineStr">
        <is>
          <t>Тариф с завтраком</t>
        </is>
      </c>
      <c r="T344" t="n">
        <v>0</v>
      </c>
      <c r="U344" t="n">
        <v>22695</v>
      </c>
    </row>
    <row r="345">
      <c r="A345" t="inlineStr">
        <is>
          <t>20260728-8186-453096527</t>
        </is>
      </c>
      <c r="B345" t="n">
        <v>1</v>
      </c>
      <c r="C345" s="2" t="inlineStr">
        <is>
          <t>Дарья Лихачева</t>
        </is>
      </c>
      <c r="D345" s="3" t="n">
        <v>7120</v>
      </c>
      <c r="E345" s="4" t="n">
        <v>20</v>
      </c>
      <c r="F345" t="inlineStr">
        <is>
          <t>ООО "УК ГЦБ и Т" [Чайковский]</t>
        </is>
      </c>
      <c r="G345" s="3">
        <f>ROUND(D345/(100-E345)*100,2)</f>
        <v/>
      </c>
      <c r="H345" s="5" t="n">
        <v>46231.58333333334</v>
      </c>
      <c r="I345" t="n">
        <v>1</v>
      </c>
      <c r="J345" s="3">
        <f>G345/I345</f>
        <v/>
      </c>
      <c r="K345">
        <f>IF(J345&gt;=5100,"ставка","мин.ставка")</f>
        <v/>
      </c>
      <c r="L345" s="3">
        <f>ROUND(IF(K345="мин.ставка",I345*100,G345/102*2),2)</f>
        <v/>
      </c>
      <c r="M345" s="5" t="n">
        <v>46232.5</v>
      </c>
      <c r="N345" t="inlineStr">
        <is>
          <t>TravelLine CBC</t>
        </is>
      </c>
      <c r="O345" s="2" t="inlineStr">
        <is>
          <t>СТАНДАРТНЫЙ ДВУХМЕСТНЫЙ НОМЕР</t>
        </is>
      </c>
      <c r="P345" s="6" t="n"/>
      <c r="R345" t="inlineStr"/>
      <c r="S345" t="inlineStr">
        <is>
          <t>Тариф с завтраком</t>
        </is>
      </c>
      <c r="T345" t="n">
        <v>0</v>
      </c>
      <c r="U345" t="n">
        <v>7120</v>
      </c>
    </row>
    <row r="346">
      <c r="A346" t="inlineStr">
        <is>
          <t>20260919-8186-466367569</t>
        </is>
      </c>
      <c r="B346" t="n">
        <v>1</v>
      </c>
      <c r="C346" s="2" t="inlineStr">
        <is>
          <t>Дарья Сенникова, Никита Веселков</t>
        </is>
      </c>
      <c r="D346" s="3" t="n">
        <v>14850</v>
      </c>
      <c r="E346" s="4" t="n">
        <v>18</v>
      </c>
      <c r="F346" t="inlineStr">
        <is>
          <t>Яндекс.Путешествия [Чайковский]</t>
        </is>
      </c>
      <c r="G346" s="3">
        <f>ROUND(D346/(100-E346)*100,2)</f>
        <v/>
      </c>
      <c r="H346" s="5" t="n">
        <v>46284.58333333334</v>
      </c>
      <c r="I346" t="n">
        <v>2</v>
      </c>
      <c r="J346" s="3">
        <f>G346/I346</f>
        <v/>
      </c>
      <c r="K346">
        <f>IF(J346&gt;=5100,"ставка","мин.ставка")</f>
        <v/>
      </c>
      <c r="L346" s="3">
        <f>ROUND(IF(K346="мин.ставка",I346*100,G346/102*2),2)</f>
        <v/>
      </c>
      <c r="M346" s="5" t="n">
        <v>46286.5</v>
      </c>
      <c r="N346" t="inlineStr">
        <is>
          <t>TravelLine YAX</t>
        </is>
      </c>
      <c r="O346" s="2" t="inlineStr">
        <is>
          <t>СТАНДАРТНЫЙ ДВУХМЕСТНЫЙ НОМЕР (МАНСАРДА)</t>
        </is>
      </c>
      <c r="P346" s="6" t="n"/>
      <c r="R346" t="inlineStr"/>
      <c r="S346" t="inlineStr">
        <is>
          <t>Тариф с завтраком</t>
        </is>
      </c>
      <c r="T346" t="n">
        <v>0</v>
      </c>
      <c r="U346" t="n">
        <v>14850</v>
      </c>
    </row>
    <row r="347">
      <c r="A347" t="inlineStr">
        <is>
          <t>20260703-8186-442896088</t>
        </is>
      </c>
      <c r="B347" t="n">
        <v>1</v>
      </c>
      <c r="C347" s="2" t="inlineStr">
        <is>
          <t>Дарья Ханеева</t>
        </is>
      </c>
      <c r="D347" s="3" t="n">
        <v>45400</v>
      </c>
      <c r="E347" s="4" t="n">
        <v>20</v>
      </c>
      <c r="F347" t="inlineStr">
        <is>
          <t>ООО "КОМПАНИЯ БРОНЕВИК" [Чайковский]</t>
        </is>
      </c>
      <c r="G347" s="3">
        <f>ROUND(D347/(100-E347)*100,2)</f>
        <v/>
      </c>
      <c r="H347" s="5" t="n">
        <v>46206.58333333334</v>
      </c>
      <c r="I347" t="n">
        <v>5</v>
      </c>
      <c r="J347" s="3">
        <f>G347/I347</f>
        <v/>
      </c>
      <c r="K347">
        <f>IF(J347&gt;=5100,"ставка","мин.ставка")</f>
        <v/>
      </c>
      <c r="L347" s="3">
        <f>ROUND(IF(K347="мин.ставка",I347*100,G347/102*2),2)</f>
        <v/>
      </c>
      <c r="M347" s="5" t="n">
        <v>46211.5</v>
      </c>
      <c r="N347" t="inlineStr">
        <is>
          <t>TravelLine BR2</t>
        </is>
      </c>
      <c r="O347" s="2" t="inlineStr">
        <is>
          <t>СТАНДАРТНЫЙ ДВУХМЕСТНЫЙ НОМЕР</t>
        </is>
      </c>
      <c r="P347" s="6" t="n"/>
      <c r="R347" t="inlineStr"/>
      <c r="S347" t="inlineStr">
        <is>
          <t>Тариф с завтраком</t>
        </is>
      </c>
      <c r="T347" t="n">
        <v>0</v>
      </c>
      <c r="U347" t="n">
        <v>45400</v>
      </c>
    </row>
    <row r="348">
      <c r="A348" t="inlineStr">
        <is>
          <t>20260724-8186-448787264</t>
        </is>
      </c>
      <c r="B348" t="n">
        <v>1</v>
      </c>
      <c r="C348" s="2" t="inlineStr">
        <is>
          <t>Дарья Цявук</t>
        </is>
      </c>
      <c r="D348" s="3" t="n">
        <v>27240</v>
      </c>
      <c r="E348" s="4" t="n">
        <v>18</v>
      </c>
      <c r="F348" t="inlineStr">
        <is>
          <t>Яндекс.Путешествия [Чайковский]</t>
        </is>
      </c>
      <c r="G348" s="3">
        <f>ROUND(D348/(100-E348)*100,2)</f>
        <v/>
      </c>
      <c r="H348" s="5" t="n">
        <v>46227.58333333334</v>
      </c>
      <c r="I348" t="n">
        <v>3</v>
      </c>
      <c r="J348" s="3">
        <f>G348/I348</f>
        <v/>
      </c>
      <c r="K348">
        <f>IF(J348&gt;=5100,"ставка","мин.ставка")</f>
        <v/>
      </c>
      <c r="L348" s="3">
        <f>ROUND(IF(K348="мин.ставка",I348*100,G348/102*2),2)</f>
        <v/>
      </c>
      <c r="M348" s="5" t="n">
        <v>46230.5</v>
      </c>
      <c r="N348" t="inlineStr">
        <is>
          <t>TravelLine YAX</t>
        </is>
      </c>
      <c r="O348" s="2" t="inlineStr">
        <is>
          <t>СТАНДАРТНЫЙ ДВУХМЕСТНЫЙ НОМЕР</t>
        </is>
      </c>
      <c r="P348" s="6" t="n"/>
      <c r="R348" t="inlineStr"/>
      <c r="S348" t="inlineStr">
        <is>
          <t>Тариф с завтраком</t>
        </is>
      </c>
      <c r="T348" t="n">
        <v>0</v>
      </c>
      <c r="U348" t="n">
        <v>27240</v>
      </c>
    </row>
    <row r="349">
      <c r="A349" t="inlineStr">
        <is>
          <t>20260930-8186-466725363</t>
        </is>
      </c>
      <c r="B349" t="n">
        <v>1</v>
      </c>
      <c r="C349" s="2" t="inlineStr">
        <is>
          <t>ДАРЬЯ ЩИГОЛЕВА</t>
        </is>
      </c>
      <c r="D349" s="3" t="n">
        <v>11115</v>
      </c>
      <c r="E349" s="4" t="n">
        <v>18</v>
      </c>
      <c r="F349" t="inlineStr">
        <is>
          <t>Яндекс.Путешествия [Чайковский]</t>
        </is>
      </c>
      <c r="G349" s="3">
        <f>ROUND(D349/(100-E349)*100,2)</f>
        <v/>
      </c>
      <c r="H349" s="5" t="n">
        <v>46295.58333333334</v>
      </c>
      <c r="I349" t="n">
        <v>2</v>
      </c>
      <c r="J349" s="3">
        <f>G349/I349</f>
        <v/>
      </c>
      <c r="K349">
        <f>IF(J349&gt;=5100,"ставка","мин.ставка")</f>
        <v/>
      </c>
      <c r="L349" s="3">
        <f>ROUND(IF(K349="мин.ставка",I349*100,G349/102*2),2)</f>
        <v/>
      </c>
      <c r="M349" s="5" t="n">
        <v>46297.5</v>
      </c>
      <c r="N349" t="inlineStr">
        <is>
          <t>TravelLine YAX</t>
        </is>
      </c>
      <c r="O349" s="2" t="inlineStr">
        <is>
          <t>СТАНДАРТНЫЙ ДВУХМЕСТНЫЙ НОМЕР (МАНСАРДА)</t>
        </is>
      </c>
      <c r="P349" s="6" t="n"/>
      <c r="R349" t="inlineStr"/>
      <c r="S349" t="inlineStr">
        <is>
          <t>Тариф с завтраком</t>
        </is>
      </c>
      <c r="T349" t="n">
        <v>0</v>
      </c>
      <c r="U349" t="n">
        <v>11115</v>
      </c>
    </row>
    <row r="350">
      <c r="A350" t="inlineStr">
        <is>
          <t>20260906-8186-461460789</t>
        </is>
      </c>
      <c r="B350" t="n">
        <v>1</v>
      </c>
      <c r="C350" s="2" t="inlineStr">
        <is>
          <t>ДЕНИС АФАНАСЬЕВ, Дарья Афанасьева</t>
        </is>
      </c>
      <c r="D350" s="3" t="n">
        <v>9751.5</v>
      </c>
      <c r="E350" s="4" t="n">
        <v>4</v>
      </c>
      <c r="F350" t="inlineStr">
        <is>
          <t>TravelLine Booking Engine [Чайковский]</t>
        </is>
      </c>
      <c r="G350" s="3">
        <f>ROUND(D350/(100-E350)*100,2)</f>
        <v/>
      </c>
      <c r="H350" s="5" t="n">
        <v>46271.58333333334</v>
      </c>
      <c r="I350" t="n">
        <v>1</v>
      </c>
      <c r="J350" s="3">
        <f>G350/I350</f>
        <v/>
      </c>
      <c r="K350">
        <f>IF(J350&gt;=5100,"ставка","мин.ставка")</f>
        <v/>
      </c>
      <c r="L350" s="3">
        <f>ROUND(IF(K350="мин.ставка",I350*100,G350/102*2),2)</f>
        <v/>
      </c>
      <c r="M350" s="5" t="n">
        <v>46272.5</v>
      </c>
      <c r="N350" t="inlineStr">
        <is>
          <t>TravelLine сайт</t>
        </is>
      </c>
      <c r="O350" s="2" t="inlineStr">
        <is>
          <t>СТАНДАРТНЫЙ ДВУХМЕСТНЫЙ НОМЕР</t>
        </is>
      </c>
      <c r="P350" s="6" t="n"/>
      <c r="R350" t="inlineStr"/>
      <c r="S350" t="inlineStr">
        <is>
          <t>Тариф с завтраком</t>
        </is>
      </c>
      <c r="T350" t="n">
        <v>0</v>
      </c>
      <c r="U350" t="n">
        <v>9751.5</v>
      </c>
    </row>
    <row r="351">
      <c r="A351" t="inlineStr">
        <is>
          <t>20260905-8186-460958284</t>
        </is>
      </c>
      <c r="B351" t="n">
        <v>1</v>
      </c>
      <c r="C351" s="2" t="inlineStr">
        <is>
          <t>Денис Борисов, Екатерина Полосухина</t>
        </is>
      </c>
      <c r="D351" s="3" t="n">
        <v>21360</v>
      </c>
      <c r="E351" s="4" t="n">
        <v>17</v>
      </c>
      <c r="F351" t="inlineStr">
        <is>
          <t>ООО «Интернет Трэвел» (OZON) [Чайковский]</t>
        </is>
      </c>
      <c r="G351" s="3">
        <f>ROUND(D351/(100-E351)*100,2)</f>
        <v/>
      </c>
      <c r="H351" s="5" t="n">
        <v>46270.58333333334</v>
      </c>
      <c r="I351" t="n">
        <v>2</v>
      </c>
      <c r="J351" s="3">
        <f>G351/I351</f>
        <v/>
      </c>
      <c r="K351">
        <f>IF(J351&gt;=5100,"ставка","мин.ставка")</f>
        <v/>
      </c>
      <c r="L351" s="3">
        <f>ROUND(IF(K351="мин.ставка",I351*100,G351/102*2),2)</f>
        <v/>
      </c>
      <c r="M351" s="5" t="n">
        <v>46272.5</v>
      </c>
      <c r="N351" t="inlineStr">
        <is>
          <t>TravelLine OZ2</t>
        </is>
      </c>
      <c r="O351" s="2" t="inlineStr">
        <is>
          <t>СТАНДАРТНЫЙ ДВУХМЕСТНЫЙ НОМЕР</t>
        </is>
      </c>
      <c r="P351" s="6" t="n"/>
      <c r="R351" t="inlineStr"/>
      <c r="S351" t="inlineStr">
        <is>
          <t>Тариф с завтраком</t>
        </is>
      </c>
      <c r="T351" t="n">
        <v>0</v>
      </c>
      <c r="U351" t="n">
        <v>21360</v>
      </c>
    </row>
    <row r="352">
      <c r="A352" t="inlineStr">
        <is>
          <t>20260723-8186-452699334</t>
        </is>
      </c>
      <c r="B352" t="n">
        <v>1</v>
      </c>
      <c r="C352" s="2" t="inlineStr">
        <is>
          <t>Денис Грузинов</t>
        </is>
      </c>
      <c r="D352" s="3" t="n">
        <v>10215</v>
      </c>
      <c r="E352" s="4" t="n">
        <v>0</v>
      </c>
      <c r="F352" t="inlineStr">
        <is>
          <t>Прямые бронирования (стойка) [Чайковский]</t>
        </is>
      </c>
      <c r="G352" s="3">
        <f>ROUND(D352/(100-E352)*100,2)</f>
        <v/>
      </c>
      <c r="H352" s="5" t="n">
        <v>46226.58333333334</v>
      </c>
      <c r="I352" t="n">
        <v>1</v>
      </c>
      <c r="J352" s="3">
        <f>G352/I352</f>
        <v/>
      </c>
      <c r="K352">
        <f>IF(J352&gt;=5100,"ставка","мин.ставка")</f>
        <v/>
      </c>
      <c r="L352" s="3">
        <f>ROUND(IF(K352="мин.ставка",I352*100,G352/102*2),2)</f>
        <v/>
      </c>
      <c r="M352" s="5" t="n">
        <v>46227.5</v>
      </c>
      <c r="N352" t="inlineStr">
        <is>
          <t>TravelLine ресепшн</t>
        </is>
      </c>
      <c r="O352" s="2" t="inlineStr">
        <is>
          <t>СТАНДАРТНЫЙ ДВУХМЕСТНЫЙ НОМЕР</t>
        </is>
      </c>
      <c r="P352" s="6" t="n"/>
      <c r="R352" t="inlineStr"/>
      <c r="S352" t="inlineStr">
        <is>
          <t>Тариф с завтраком</t>
        </is>
      </c>
      <c r="T352" t="n">
        <v>0</v>
      </c>
      <c r="U352" t="n">
        <v>10215</v>
      </c>
    </row>
    <row r="353">
      <c r="A353" t="inlineStr">
        <is>
          <t>20260724-8186-449406216</t>
        </is>
      </c>
      <c r="B353" t="n">
        <v>1</v>
      </c>
      <c r="C353" s="2" t="inlineStr">
        <is>
          <t>Денис Грузинов</t>
        </is>
      </c>
      <c r="D353" s="3" t="n">
        <v>20430</v>
      </c>
      <c r="E353" s="4" t="n">
        <v>0</v>
      </c>
      <c r="F353" t="inlineStr">
        <is>
          <t>Прямые бронирования (стойка) [Чайковский]</t>
        </is>
      </c>
      <c r="G353" s="3">
        <f>ROUND(D353/(100-E353)*100,2)</f>
        <v/>
      </c>
      <c r="H353" s="5" t="n">
        <v>46227.58333333334</v>
      </c>
      <c r="I353" t="n">
        <v>2</v>
      </c>
      <c r="J353" s="3">
        <f>G353/I353</f>
        <v/>
      </c>
      <c r="K353">
        <f>IF(J353&gt;=5100,"ставка","мин.ставка")</f>
        <v/>
      </c>
      <c r="L353" s="3">
        <f>ROUND(IF(K353="мин.ставка",I353*100,G353/102*2),2)</f>
        <v/>
      </c>
      <c r="M353" s="5" t="n">
        <v>46229.5</v>
      </c>
      <c r="N353" t="inlineStr">
        <is>
          <t>TravelLine ресепшн</t>
        </is>
      </c>
      <c r="O353" s="2" t="inlineStr">
        <is>
          <t>СТАНДАРТНЫЙ ДВУХМЕСТНЫЙ НОМЕР</t>
        </is>
      </c>
      <c r="P353" s="6" t="n"/>
      <c r="R353" t="inlineStr"/>
      <c r="S353" t="inlineStr">
        <is>
          <t>Тариф с завтраком</t>
        </is>
      </c>
      <c r="T353" t="n">
        <v>0</v>
      </c>
      <c r="U353" t="n">
        <v>20430</v>
      </c>
    </row>
    <row r="354">
      <c r="A354" t="inlineStr">
        <is>
          <t>20260924-8186-466578898</t>
        </is>
      </c>
      <c r="B354" t="n">
        <v>1</v>
      </c>
      <c r="C354" s="2" t="inlineStr">
        <is>
          <t>Денис Дроздов</t>
        </is>
      </c>
      <c r="D354" s="3" t="n">
        <v>18160</v>
      </c>
      <c r="E354" s="4" t="n">
        <v>20</v>
      </c>
      <c r="F354" t="inlineStr">
        <is>
          <t>ООО «Дубль Гис» (OTELLO) [Чайковский]</t>
        </is>
      </c>
      <c r="G354" s="3">
        <f>ROUND(D354/(100-E354)*100,2)</f>
        <v/>
      </c>
      <c r="H354" s="5" t="n">
        <v>46289.58333333334</v>
      </c>
      <c r="I354" t="n">
        <v>2</v>
      </c>
      <c r="J354" s="3">
        <f>G354/I354</f>
        <v/>
      </c>
      <c r="K354">
        <f>IF(J354&gt;=5100,"ставка","мин.ставка")</f>
        <v/>
      </c>
      <c r="L354" s="3">
        <f>ROUND(IF(K354="мин.ставка",I354*100,G354/102*2),2)</f>
        <v/>
      </c>
      <c r="M354" s="5" t="n">
        <v>46291.5</v>
      </c>
      <c r="N354" t="inlineStr">
        <is>
          <t>TravelLine OL2</t>
        </is>
      </c>
      <c r="O354" s="2" t="inlineStr">
        <is>
          <t>СТАНДАРТНЫЙ ДВУХМЕСТНЫЙ НОМЕР</t>
        </is>
      </c>
      <c r="P354" s="6" t="n"/>
      <c r="R354" t="inlineStr"/>
      <c r="S354" t="inlineStr">
        <is>
          <t>Тариф с завтраком</t>
        </is>
      </c>
      <c r="T354" t="n">
        <v>0</v>
      </c>
      <c r="U354" t="n">
        <v>36320</v>
      </c>
    </row>
    <row r="355">
      <c r="A355" t="inlineStr">
        <is>
          <t>20260707-8186-448228838</t>
        </is>
      </c>
      <c r="B355" t="n">
        <v>1</v>
      </c>
      <c r="C355" s="2" t="inlineStr">
        <is>
          <t>Денис Евдокимов</t>
        </is>
      </c>
      <c r="D355" s="3" t="n">
        <v>26100</v>
      </c>
      <c r="E355" s="4" t="n">
        <v>0</v>
      </c>
      <c r="F355" t="inlineStr">
        <is>
          <t>Прямые бронирования (стойка) [Чайковский]</t>
        </is>
      </c>
      <c r="G355" s="3">
        <f>ROUND(D355/(100-E355)*100,2)</f>
        <v/>
      </c>
      <c r="H355" s="5" t="n">
        <v>46210.58333333334</v>
      </c>
      <c r="I355" t="n">
        <v>2</v>
      </c>
      <c r="J355" s="3">
        <f>G355/I355</f>
        <v/>
      </c>
      <c r="K355">
        <f>IF(J355&gt;=5100,"ставка","мин.ставка")</f>
        <v/>
      </c>
      <c r="L355" s="3">
        <f>ROUND(IF(K355="мин.ставка",I355*100,G355/102*2),2)</f>
        <v/>
      </c>
      <c r="M355" s="5" t="n">
        <v>46212.5</v>
      </c>
      <c r="N355" t="inlineStr">
        <is>
          <t>TravelLine ресепшн</t>
        </is>
      </c>
      <c r="O355" s="2" t="inlineStr">
        <is>
          <t>ЛЮКС ВТОРОЙ КОРПУС</t>
        </is>
      </c>
      <c r="P355" s="6" t="n"/>
      <c r="R355" t="inlineStr"/>
      <c r="S355" t="inlineStr">
        <is>
          <t>Тариф с завтраком</t>
        </is>
      </c>
      <c r="T355" t="n">
        <v>0</v>
      </c>
      <c r="U355" t="n">
        <v>26100</v>
      </c>
    </row>
    <row r="356">
      <c r="A356" t="inlineStr">
        <is>
          <t>20260719-8186-450701107</t>
        </is>
      </c>
      <c r="B356" t="n">
        <v>1</v>
      </c>
      <c r="C356" s="2" t="inlineStr">
        <is>
          <t>Денис Евдокимов</t>
        </is>
      </c>
      <c r="D356" s="3" t="n">
        <v>56880</v>
      </c>
      <c r="E356" s="4" t="n">
        <v>0</v>
      </c>
      <c r="F356" t="inlineStr">
        <is>
          <t>Прямые бронирования (стойка) [Чайковский]</t>
        </is>
      </c>
      <c r="G356" s="3">
        <f>ROUND(D356/(100-E356)*100,2)</f>
        <v/>
      </c>
      <c r="H356" s="5" t="n">
        <v>46222.58333333334</v>
      </c>
      <c r="I356" t="n">
        <v>4</v>
      </c>
      <c r="J356" s="3">
        <f>G356/I356</f>
        <v/>
      </c>
      <c r="K356">
        <f>IF(J356&gt;=5100,"ставка","мин.ставка")</f>
        <v/>
      </c>
      <c r="L356" s="3">
        <f>ROUND(IF(K356="мин.ставка",I356*100,G356/102*2),2)</f>
        <v/>
      </c>
      <c r="M356" s="5" t="n">
        <v>46226.5</v>
      </c>
      <c r="N356" t="inlineStr">
        <is>
          <t>TravelLine ресепшн</t>
        </is>
      </c>
      <c r="O356" s="2" t="inlineStr">
        <is>
          <t>ЛЮКС ВТОРОЙ КОРПУС</t>
        </is>
      </c>
      <c r="P356" s="6" t="n"/>
      <c r="R356" t="inlineStr"/>
      <c r="S356" t="inlineStr">
        <is>
          <t>Тариф с завтраком</t>
        </is>
      </c>
      <c r="T356" t="n">
        <v>0</v>
      </c>
      <c r="U356" t="n">
        <v>56880</v>
      </c>
    </row>
    <row r="357">
      <c r="A357" t="inlineStr">
        <is>
          <t>20260811-8186-457632332</t>
        </is>
      </c>
      <c r="B357" t="n">
        <v>1</v>
      </c>
      <c r="C357" s="2" t="inlineStr">
        <is>
          <t>Денис Евдокимов</t>
        </is>
      </c>
      <c r="D357" s="3" t="n">
        <v>13050</v>
      </c>
      <c r="E357" s="4" t="n">
        <v>0</v>
      </c>
      <c r="F357" t="inlineStr">
        <is>
          <t>Прямые бронирования (стойка) [Чайковский]</t>
        </is>
      </c>
      <c r="G357" s="3">
        <f>ROUND(D357/(100-E357)*100,2)</f>
        <v/>
      </c>
      <c r="H357" s="5" t="n">
        <v>46245.58333333334</v>
      </c>
      <c r="I357" t="n">
        <v>1</v>
      </c>
      <c r="J357" s="3">
        <f>G357/I357</f>
        <v/>
      </c>
      <c r="K357">
        <f>IF(J357&gt;=5100,"ставка","мин.ставка")</f>
        <v/>
      </c>
      <c r="L357" s="3">
        <f>ROUND(IF(K357="мин.ставка",I357*100,G357/102*2),2)</f>
        <v/>
      </c>
      <c r="M357" s="5" t="n">
        <v>46246.5</v>
      </c>
      <c r="N357" t="inlineStr">
        <is>
          <t>TravelLine ресепшн</t>
        </is>
      </c>
      <c r="O357" s="2" t="inlineStr">
        <is>
          <t>ПОЛУЛЮКС</t>
        </is>
      </c>
      <c r="P357" s="6" t="n"/>
      <c r="R357" t="inlineStr"/>
      <c r="S357" t="inlineStr">
        <is>
          <t>Тариф с завтраком</t>
        </is>
      </c>
      <c r="T357" t="n">
        <v>0</v>
      </c>
      <c r="U357" t="n">
        <v>13050</v>
      </c>
    </row>
    <row r="358">
      <c r="A358" t="inlineStr">
        <is>
          <t>20260812-8186-458096485</t>
        </is>
      </c>
      <c r="B358" t="n">
        <v>1</v>
      </c>
      <c r="C358" s="2" t="inlineStr">
        <is>
          <t>Денис Евдокимов</t>
        </is>
      </c>
      <c r="D358" s="3" t="n">
        <v>13050</v>
      </c>
      <c r="E358" s="4" t="n">
        <v>0</v>
      </c>
      <c r="F358" t="inlineStr">
        <is>
          <t>Прямые бронирования (стойка) [Чайковский]</t>
        </is>
      </c>
      <c r="G358" s="3">
        <f>ROUND(D358/(100-E358)*100,2)</f>
        <v/>
      </c>
      <c r="H358" s="5" t="n">
        <v>46246.58333333334</v>
      </c>
      <c r="I358" t="n">
        <v>1</v>
      </c>
      <c r="J358" s="3">
        <f>G358/I358</f>
        <v/>
      </c>
      <c r="K358">
        <f>IF(J358&gt;=5100,"ставка","мин.ставка")</f>
        <v/>
      </c>
      <c r="L358" s="3">
        <f>ROUND(IF(K358="мин.ставка",I358*100,G358/102*2),2)</f>
        <v/>
      </c>
      <c r="M358" s="5" t="n">
        <v>46247.5</v>
      </c>
      <c r="N358" t="inlineStr">
        <is>
          <t>TravelLine ресепшн</t>
        </is>
      </c>
      <c r="O358" s="2" t="inlineStr">
        <is>
          <t>ПОЛУЛЮКС</t>
        </is>
      </c>
      <c r="P358" s="6" t="n"/>
      <c r="R358" t="inlineStr"/>
      <c r="S358" t="inlineStr">
        <is>
          <t>Тариф с завтраком</t>
        </is>
      </c>
      <c r="T358" t="n">
        <v>0</v>
      </c>
      <c r="U358" t="n">
        <v>13050</v>
      </c>
    </row>
    <row r="359">
      <c r="A359" t="inlineStr">
        <is>
          <t>20260908-8186-464591169</t>
        </is>
      </c>
      <c r="B359" t="n">
        <v>1</v>
      </c>
      <c r="C359" s="2" t="inlineStr">
        <is>
          <t>Денис Евдокимов</t>
        </is>
      </c>
      <c r="D359" s="3" t="n">
        <v>14220</v>
      </c>
      <c r="E359" s="4" t="n">
        <v>0</v>
      </c>
      <c r="F359" t="inlineStr">
        <is>
          <t>Прямые бронирования (стойка) [Чайковский]</t>
        </is>
      </c>
      <c r="G359" s="3">
        <f>ROUND(D359/(100-E359)*100,2)</f>
        <v/>
      </c>
      <c r="H359" s="5" t="n">
        <v>46273.58333333334</v>
      </c>
      <c r="I359" t="n">
        <v>1</v>
      </c>
      <c r="J359" s="3">
        <f>G359/I359</f>
        <v/>
      </c>
      <c r="K359">
        <f>IF(J359&gt;=5100,"ставка","мин.ставка")</f>
        <v/>
      </c>
      <c r="L359" s="3">
        <f>ROUND(IF(K359="мин.ставка",I359*100,G359/102*2),2)</f>
        <v/>
      </c>
      <c r="M359" s="5" t="n">
        <v>46274.75</v>
      </c>
      <c r="N359" t="inlineStr">
        <is>
          <t>TravelLine ресепшн</t>
        </is>
      </c>
      <c r="O359" s="2" t="inlineStr">
        <is>
          <t>ЛЮКС ВТОРОЙ КОРПУС</t>
        </is>
      </c>
      <c r="P359" s="6" t="n"/>
      <c r="R359" t="inlineStr"/>
      <c r="S359" t="inlineStr">
        <is>
          <t>Тариф с завтраком</t>
        </is>
      </c>
      <c r="T359" t="n">
        <v>7110</v>
      </c>
      <c r="U359" t="n">
        <v>21330</v>
      </c>
    </row>
    <row r="360">
      <c r="A360" t="inlineStr">
        <is>
          <t>20260914-8186-464859122</t>
        </is>
      </c>
      <c r="B360" t="n">
        <v>1</v>
      </c>
      <c r="C360" s="2" t="inlineStr">
        <is>
          <t>Денис Евдокимов</t>
        </is>
      </c>
      <c r="D360" s="3" t="n">
        <v>14220</v>
      </c>
      <c r="E360" s="4" t="n">
        <v>0</v>
      </c>
      <c r="F360" t="inlineStr">
        <is>
          <t>Прямые бронирования (стойка) [Чайковский]</t>
        </is>
      </c>
      <c r="G360" s="3">
        <f>ROUND(D360/(100-E360)*100,2)</f>
        <v/>
      </c>
      <c r="H360" s="5" t="n">
        <v>46279.58333333334</v>
      </c>
      <c r="I360" t="n">
        <v>1</v>
      </c>
      <c r="J360" s="3">
        <f>G360/I360</f>
        <v/>
      </c>
      <c r="K360">
        <f>IF(J360&gt;=5100,"ставка","мин.ставка")</f>
        <v/>
      </c>
      <c r="L360" s="3">
        <f>ROUND(IF(K360="мин.ставка",I360*100,G360/102*2),2)</f>
        <v/>
      </c>
      <c r="M360" s="5" t="n">
        <v>46280.5</v>
      </c>
      <c r="N360" t="inlineStr">
        <is>
          <t>TravelLine ресепшн</t>
        </is>
      </c>
      <c r="O360" s="2" t="inlineStr">
        <is>
          <t>ЛЮКС ВТОРОЙ КОРПУС</t>
        </is>
      </c>
      <c r="P360" s="6" t="n"/>
      <c r="R360" t="inlineStr"/>
      <c r="S360" t="inlineStr">
        <is>
          <t>Тариф с завтраком</t>
        </is>
      </c>
      <c r="T360" t="n">
        <v>0</v>
      </c>
      <c r="U360" t="n">
        <v>14220</v>
      </c>
    </row>
    <row r="361">
      <c r="A361" t="inlineStr">
        <is>
          <t>20260915-8186-466067897</t>
        </is>
      </c>
      <c r="B361" t="n">
        <v>1</v>
      </c>
      <c r="C361" s="2" t="inlineStr">
        <is>
          <t>Денис Евдокимов</t>
        </is>
      </c>
      <c r="D361" s="3" t="n">
        <v>13050</v>
      </c>
      <c r="E361" s="4" t="n">
        <v>0</v>
      </c>
      <c r="F361" t="inlineStr">
        <is>
          <t>Прямые бронирования (стойка) [Чайковский]</t>
        </is>
      </c>
      <c r="G361" s="3">
        <f>ROUND(D361/(100-E361)*100,2)</f>
        <v/>
      </c>
      <c r="H361" s="5" t="n">
        <v>46280.58333333334</v>
      </c>
      <c r="I361" t="n">
        <v>1</v>
      </c>
      <c r="J361" s="3">
        <f>G361/I361</f>
        <v/>
      </c>
      <c r="K361">
        <f>IF(J361&gt;=5100,"ставка","мин.ставка")</f>
        <v/>
      </c>
      <c r="L361" s="3">
        <f>ROUND(IF(K361="мин.ставка",I361*100,G361/102*2),2)</f>
        <v/>
      </c>
      <c r="M361" s="5" t="n">
        <v>46281.5</v>
      </c>
      <c r="N361" t="inlineStr">
        <is>
          <t>TravelLine ресепшн</t>
        </is>
      </c>
      <c r="O361" s="2" t="inlineStr">
        <is>
          <t>ПОЛУЛЮКС</t>
        </is>
      </c>
      <c r="P361" s="6" t="n"/>
      <c r="R361" t="inlineStr"/>
      <c r="S361" t="inlineStr">
        <is>
          <t>Тариф с завтраком</t>
        </is>
      </c>
      <c r="T361" t="n">
        <v>0</v>
      </c>
      <c r="U361" t="n">
        <v>13050</v>
      </c>
    </row>
    <row r="362">
      <c r="A362" t="inlineStr">
        <is>
          <t>20260726-8186-453457921</t>
        </is>
      </c>
      <c r="B362" t="n">
        <v>1</v>
      </c>
      <c r="C362" s="2" t="inlineStr">
        <is>
          <t>Денис Зуев, Софья Артемьева</t>
        </is>
      </c>
      <c r="D362" s="3" t="n">
        <v>10900</v>
      </c>
      <c r="E362" s="4" t="n">
        <v>0</v>
      </c>
      <c r="F362" t="inlineStr">
        <is>
          <t>Прямые бронирования (стойка) [Чайковский]</t>
        </is>
      </c>
      <c r="G362" s="3">
        <f>ROUND(D362/(100-E362)*100,2)</f>
        <v/>
      </c>
      <c r="H362" s="5" t="n">
        <v>46229.58333333334</v>
      </c>
      <c r="I362" t="n">
        <v>1</v>
      </c>
      <c r="J362" s="3">
        <f>G362/I362</f>
        <v/>
      </c>
      <c r="K362">
        <f>IF(J362&gt;=5100,"ставка","мин.ставка")</f>
        <v/>
      </c>
      <c r="L362" s="3">
        <f>ROUND(IF(K362="мин.ставка",I362*100,G362/102*2),2)</f>
        <v/>
      </c>
      <c r="M362" s="5" t="n">
        <v>46230.5</v>
      </c>
      <c r="N362" t="inlineStr">
        <is>
          <t>TravelLine ресепшн</t>
        </is>
      </c>
      <c r="O362" s="2" t="inlineStr">
        <is>
          <t>СТАНДАРТНЫЙ ДВУХМЕСТНЫЙ НОМЕР</t>
        </is>
      </c>
      <c r="P362" s="6" t="n"/>
      <c r="R362" t="inlineStr"/>
      <c r="S362" t="inlineStr">
        <is>
          <t>Тариф с завтраком</t>
        </is>
      </c>
      <c r="T362" t="n">
        <v>0</v>
      </c>
      <c r="U362" t="n">
        <v>10900</v>
      </c>
    </row>
    <row r="363">
      <c r="A363" t="inlineStr">
        <is>
          <t>20260826-8186-430091613</t>
        </is>
      </c>
      <c r="B363" t="n">
        <v>1</v>
      </c>
      <c r="C363" s="2" t="inlineStr">
        <is>
          <t>Денис Клевцов, Екатерина Клевцова</t>
        </is>
      </c>
      <c r="D363" s="3" t="n">
        <v>13200</v>
      </c>
      <c r="E363" s="4" t="n">
        <v>18</v>
      </c>
      <c r="F363" t="inlineStr">
        <is>
          <t>Яндекс.Путешествия [Чайковский]</t>
        </is>
      </c>
      <c r="G363" s="3">
        <f>ROUND(D363/(100-E363)*100,2)</f>
        <v/>
      </c>
      <c r="H363" s="5" t="n">
        <v>46260.58333333334</v>
      </c>
      <c r="I363" t="n">
        <v>1</v>
      </c>
      <c r="J363" s="3">
        <f>G363/I363</f>
        <v/>
      </c>
      <c r="K363">
        <f>IF(J363&gt;=5100,"ставка","мин.ставка")</f>
        <v/>
      </c>
      <c r="L363" s="3">
        <f>ROUND(IF(K363="мин.ставка",I363*100,G363/102*2),2)</f>
        <v/>
      </c>
      <c r="M363" s="5" t="n">
        <v>46261.5</v>
      </c>
      <c r="N363" t="inlineStr">
        <is>
          <t>TravelLine YAX</t>
        </is>
      </c>
      <c r="O363" s="2" t="inlineStr">
        <is>
          <t>ПОЛУЛЮКС</t>
        </is>
      </c>
      <c r="P363" s="6" t="n"/>
      <c r="R363" t="inlineStr"/>
      <c r="S363" t="inlineStr">
        <is>
          <t>Тариф с завтраком</t>
        </is>
      </c>
      <c r="T363" t="n">
        <v>0</v>
      </c>
      <c r="U363" t="n">
        <v>13200</v>
      </c>
    </row>
    <row r="364">
      <c r="A364" t="inlineStr">
        <is>
          <t>20260720-8186-450692954</t>
        </is>
      </c>
      <c r="B364" t="n">
        <v>1</v>
      </c>
      <c r="C364" s="2" t="inlineStr">
        <is>
          <t>ДЕНИС ЛАЗУРЕНКО</t>
        </is>
      </c>
      <c r="D364" s="3" t="n">
        <v>11390</v>
      </c>
      <c r="E364" s="4" t="n">
        <v>15</v>
      </c>
      <c r="F364" t="inlineStr">
        <is>
          <t>ООО "БРОНИРОВАНИЕ ГОСТИНИЦ" (OSTROVOK) [Чайковский]</t>
        </is>
      </c>
      <c r="G364" s="3">
        <f>ROUND(D364/(100-E364)*100,2)</f>
        <v/>
      </c>
      <c r="H364" s="5" t="n">
        <v>46223.58333333334</v>
      </c>
      <c r="I364" t="n">
        <v>1</v>
      </c>
      <c r="J364" s="3">
        <f>G364/I364</f>
        <v/>
      </c>
      <c r="K364">
        <f>IF(J364&gt;=5100,"ставка","мин.ставка")</f>
        <v/>
      </c>
      <c r="L364" s="3">
        <f>ROUND(IF(K364="мин.ставка",I364*100,G364/102*2),2)</f>
        <v/>
      </c>
      <c r="M364" s="5" t="n">
        <v>46224.5</v>
      </c>
      <c r="N364" t="inlineStr">
        <is>
          <t>TravelLine OTK</t>
        </is>
      </c>
      <c r="O364" s="2" t="inlineStr">
        <is>
          <t>УЛУЧШЕННЫЙ ДВУХМЕСТНЫЙ НОМЕР</t>
        </is>
      </c>
      <c r="P364" s="6" t="n"/>
      <c r="R364" t="inlineStr"/>
      <c r="S364" t="inlineStr">
        <is>
          <t>Тариф с завтраком</t>
        </is>
      </c>
      <c r="T364" t="n">
        <v>0</v>
      </c>
      <c r="U364" t="n">
        <v>11390</v>
      </c>
    </row>
    <row r="365">
      <c r="A365" t="inlineStr">
        <is>
          <t>20260711-8186-410900231</t>
        </is>
      </c>
      <c r="B365" t="n">
        <v>1</v>
      </c>
      <c r="C365" s="2" t="inlineStr">
        <is>
          <t>Денис НИКИТИН, Наталья Никитина, Георгий Никитин</t>
        </is>
      </c>
      <c r="D365" s="3" t="n">
        <v>17250</v>
      </c>
      <c r="E365" s="4" t="n">
        <v>0</v>
      </c>
      <c r="F365" t="inlineStr">
        <is>
          <t>Прямые бронирования (стойка) [Чайковский]</t>
        </is>
      </c>
      <c r="G365" s="3">
        <f>ROUND(D365/(100-E365)*100,2)</f>
        <v/>
      </c>
      <c r="H365" s="5" t="n">
        <v>46214.58333333334</v>
      </c>
      <c r="I365" t="n">
        <v>1</v>
      </c>
      <c r="J365" s="3">
        <f>G365/I365</f>
        <v/>
      </c>
      <c r="K365">
        <f>IF(J365&gt;=5100,"ставка","мин.ставка")</f>
        <v/>
      </c>
      <c r="L365" s="3">
        <f>ROUND(IF(K365="мин.ставка",I365*100,G365/102*2),2)</f>
        <v/>
      </c>
      <c r="M365" s="5" t="n">
        <v>46215.5</v>
      </c>
      <c r="N365" t="inlineStr">
        <is>
          <t>TravelLine ресепшн</t>
        </is>
      </c>
      <c r="O365" s="2" t="inlineStr">
        <is>
          <t>семейный номер категории "стандарт"</t>
        </is>
      </c>
      <c r="P365" s="6" t="n"/>
      <c r="R365" t="inlineStr"/>
      <c r="S365" t="inlineStr">
        <is>
          <t>Тариф с завтраком</t>
        </is>
      </c>
      <c r="T365" t="n">
        <v>0</v>
      </c>
      <c r="U365" t="n">
        <v>17250</v>
      </c>
    </row>
    <row r="366">
      <c r="A366" t="inlineStr">
        <is>
          <t>20260901-8186-455767839</t>
        </is>
      </c>
      <c r="B366" t="n">
        <v>1</v>
      </c>
      <c r="C366" s="2" t="inlineStr">
        <is>
          <t>Денис Петров</t>
        </is>
      </c>
      <c r="D366" s="3" t="n">
        <v>27240</v>
      </c>
      <c r="E366" s="4" t="n">
        <v>20</v>
      </c>
      <c r="F366" t="inlineStr">
        <is>
          <t>ООО "КОМПАНИЯ БРОНЕВИК" [Чайковский]</t>
        </is>
      </c>
      <c r="G366" s="3">
        <f>ROUND(D366/(100-E366)*100,2)</f>
        <v/>
      </c>
      <c r="H366" s="5" t="n">
        <v>46266.58333333334</v>
      </c>
      <c r="I366" t="n">
        <v>3</v>
      </c>
      <c r="J366" s="3">
        <f>G366/I366</f>
        <v/>
      </c>
      <c r="K366">
        <f>IF(J366&gt;=5100,"ставка","мин.ставка")</f>
        <v/>
      </c>
      <c r="L366" s="3">
        <f>ROUND(IF(K366="мин.ставка",I366*100,G366/102*2),2)</f>
        <v/>
      </c>
      <c r="M366" s="5" t="n">
        <v>46269.875</v>
      </c>
      <c r="N366" t="inlineStr">
        <is>
          <t>TravelLine BR2</t>
        </is>
      </c>
      <c r="O366" s="2" t="inlineStr">
        <is>
          <t>СТАНДАРТНЫЙ ДВУХМЕСТНЫЙ НОМЕР</t>
        </is>
      </c>
      <c r="P366" s="6" t="n"/>
      <c r="R366" t="inlineStr"/>
      <c r="S366" t="inlineStr">
        <is>
          <t>Тариф с завтраком</t>
        </is>
      </c>
      <c r="T366" t="n">
        <v>9080</v>
      </c>
      <c r="U366" t="n">
        <v>36320</v>
      </c>
    </row>
    <row r="367">
      <c r="A367" t="inlineStr">
        <is>
          <t>20260810-8186-453530368</t>
        </is>
      </c>
      <c r="B367" t="n">
        <v>1</v>
      </c>
      <c r="C367" s="2" t="inlineStr">
        <is>
          <t>Денис Рыбин</t>
        </is>
      </c>
      <c r="D367" s="3" t="n">
        <v>6314</v>
      </c>
      <c r="E367" s="4" t="n">
        <v>18</v>
      </c>
      <c r="F367" t="inlineStr">
        <is>
          <t>ООО "ТРИВИО СЕРВИС" [Чайковский]</t>
        </is>
      </c>
      <c r="G367" s="3">
        <f>ROUND(D367/(100-E367)*100,2)</f>
        <v/>
      </c>
      <c r="H367" s="5" t="n">
        <v>46245.58333333334</v>
      </c>
      <c r="I367" t="n">
        <v>1</v>
      </c>
      <c r="J367" s="3">
        <f>G367/I367</f>
        <v/>
      </c>
      <c r="K367">
        <f>IF(J367&gt;=5100,"ставка","мин.ставка")</f>
        <v/>
      </c>
      <c r="L367" s="3">
        <f>ROUND(IF(K367="мин.ставка",I367*100,G367/102*2),2)</f>
        <v/>
      </c>
      <c r="M367" s="5" t="n">
        <v>46246.5</v>
      </c>
      <c r="N367" t="inlineStr">
        <is>
          <t>TravelLine TIO</t>
        </is>
      </c>
      <c r="O367" s="2" t="inlineStr">
        <is>
          <t>СТАНДАРТНЫЙ ОДНОМЕСТНЫЙ НОМЕР</t>
        </is>
      </c>
      <c r="P367" s="6" t="n"/>
      <c r="R367" t="inlineStr"/>
      <c r="S367" t="inlineStr">
        <is>
          <t>Тариф с завтраком</t>
        </is>
      </c>
      <c r="T367" t="n">
        <v>0</v>
      </c>
      <c r="U367" t="n">
        <v>6314</v>
      </c>
    </row>
    <row r="368">
      <c r="A368" t="inlineStr">
        <is>
          <t>20260708-8186-448169391</t>
        </is>
      </c>
      <c r="B368" t="n">
        <v>1</v>
      </c>
      <c r="C368" s="2" t="inlineStr">
        <is>
          <t>Денис Янке, Ксения Гнатишина</t>
        </is>
      </c>
      <c r="D368" s="3" t="n">
        <v>13695</v>
      </c>
      <c r="E368" s="4" t="n">
        <v>17</v>
      </c>
      <c r="F368" t="inlineStr">
        <is>
          <t>ООО «Интернет Трэвел» (OZON) [Чайковский]</t>
        </is>
      </c>
      <c r="G368" s="3">
        <f>ROUND(D368/(100-E368)*100,2)</f>
        <v/>
      </c>
      <c r="H368" s="5" t="n">
        <v>46211.58333333334</v>
      </c>
      <c r="I368" t="n">
        <v>1</v>
      </c>
      <c r="J368" s="3">
        <f>G368/I368</f>
        <v/>
      </c>
      <c r="K368">
        <f>IF(J368&gt;=5100,"ставка","мин.ставка")</f>
        <v/>
      </c>
      <c r="L368" s="3">
        <f>ROUND(IF(K368="мин.ставка",I368*100,G368/102*2),2)</f>
        <v/>
      </c>
      <c r="M368" s="5" t="n">
        <v>46212.5</v>
      </c>
      <c r="N368" t="inlineStr">
        <is>
          <t>TravelLine OZ2</t>
        </is>
      </c>
      <c r="O368" s="2" t="inlineStr">
        <is>
          <t>ПОЛУЛЮКС</t>
        </is>
      </c>
      <c r="P368" s="6" t="n"/>
      <c r="R368" t="inlineStr"/>
      <c r="S368" t="inlineStr">
        <is>
          <t>Тариф с завтраком</t>
        </is>
      </c>
      <c r="T368" t="n">
        <v>0</v>
      </c>
      <c r="U368" t="n">
        <v>13695</v>
      </c>
    </row>
    <row r="369">
      <c r="A369" t="inlineStr">
        <is>
          <t>20260810-8186-438161193</t>
        </is>
      </c>
      <c r="B369" t="n">
        <v>1</v>
      </c>
      <c r="C369" s="2" t="inlineStr">
        <is>
          <t>Диляра Газизова, Ралина Газизова</t>
        </is>
      </c>
      <c r="D369" s="3" t="n">
        <v>42075</v>
      </c>
      <c r="E369" s="4" t="n">
        <v>0</v>
      </c>
      <c r="F369" t="inlineStr">
        <is>
          <t>ООО «ХОМЛИН ЛЭНД» (ПЕГАС) [Чайковский]</t>
        </is>
      </c>
      <c r="G369" s="3">
        <f>ROUND(D369/(100-E369)*100,2)</f>
        <v/>
      </c>
      <c r="H369" s="5" t="n">
        <v>46244.58333333334</v>
      </c>
      <c r="I369" t="n">
        <v>5</v>
      </c>
      <c r="J369" s="3">
        <f>G369/I369</f>
        <v/>
      </c>
      <c r="K369">
        <f>IF(J369&gt;=5100,"ставка","мин.ставка")</f>
        <v/>
      </c>
      <c r="L369" s="3">
        <f>ROUND(IF(K369="мин.ставка",I369*100,G369/102*2),2)</f>
        <v/>
      </c>
      <c r="M369" s="5" t="n">
        <v>46249.5</v>
      </c>
      <c r="N369" t="inlineStr">
        <is>
          <t>TravelLine PGS</t>
        </is>
      </c>
      <c r="O369" s="2" t="inlineStr">
        <is>
          <t>СТАНДАРТНЫЙ ДВУХМЕСТНЫЙ НОМЕР (МАНСАРДА)</t>
        </is>
      </c>
      <c r="P369" s="6" t="n"/>
      <c r="R369" t="inlineStr"/>
      <c r="S369" t="inlineStr">
        <is>
          <t>Тариф с завтраком</t>
        </is>
      </c>
      <c r="T369" t="n">
        <v>0</v>
      </c>
      <c r="U369" t="n">
        <v>42075</v>
      </c>
    </row>
    <row r="370">
      <c r="A370" t="inlineStr">
        <is>
          <t>20260720-8186-451489596</t>
        </is>
      </c>
      <c r="B370" t="n">
        <v>1</v>
      </c>
      <c r="C370" s="2" t="inlineStr">
        <is>
          <t>Динара Гарипова, Наталья Зубкова</t>
        </is>
      </c>
      <c r="D370" s="3" t="n">
        <v>10680</v>
      </c>
      <c r="E370" s="4" t="n">
        <v>18</v>
      </c>
      <c r="F370" t="inlineStr">
        <is>
          <t>Яндекс.Путешествия [Чайковский]</t>
        </is>
      </c>
      <c r="G370" s="3">
        <f>ROUND(D370/(100-E370)*100,2)</f>
        <v/>
      </c>
      <c r="H370" s="5" t="n">
        <v>46223.58333333334</v>
      </c>
      <c r="I370" t="n">
        <v>1</v>
      </c>
      <c r="J370" s="3">
        <f>G370/I370</f>
        <v/>
      </c>
      <c r="K370">
        <f>IF(J370&gt;=5100,"ставка","мин.ставка")</f>
        <v/>
      </c>
      <c r="L370" s="3">
        <f>ROUND(IF(K370="мин.ставка",I370*100,G370/102*2),2)</f>
        <v/>
      </c>
      <c r="M370" s="5" t="n">
        <v>46224.5</v>
      </c>
      <c r="N370" t="inlineStr">
        <is>
          <t>TravelLine YAX</t>
        </is>
      </c>
      <c r="O370" s="2" t="inlineStr">
        <is>
          <t>СТАНДАРТНЫЙ ДВУХМЕСТНЫЙ НОМЕР</t>
        </is>
      </c>
      <c r="P370" s="6" t="n"/>
      <c r="R370" t="inlineStr"/>
      <c r="S370" t="inlineStr">
        <is>
          <t>Тариф с завтраком</t>
        </is>
      </c>
      <c r="T370" t="n">
        <v>0</v>
      </c>
      <c r="U370" t="n">
        <v>10680</v>
      </c>
    </row>
    <row r="371">
      <c r="A371" t="inlineStr">
        <is>
          <t>20260808-8186-457026340</t>
        </is>
      </c>
      <c r="B371" t="n">
        <v>1</v>
      </c>
      <c r="C371" s="2" t="inlineStr">
        <is>
          <t>Дмитрий Агеев</t>
        </is>
      </c>
      <c r="D371" s="3" t="n">
        <v>13350</v>
      </c>
      <c r="E371" s="4" t="n">
        <v>0</v>
      </c>
      <c r="F371" t="inlineStr">
        <is>
          <t>Прямые бронирования (стойка) [Чайковский]</t>
        </is>
      </c>
      <c r="G371" s="3">
        <f>ROUND(D371/(100-E371)*100,2)</f>
        <v/>
      </c>
      <c r="H371" s="5" t="n">
        <v>46242.58333333334</v>
      </c>
      <c r="I371" t="n">
        <v>1</v>
      </c>
      <c r="J371" s="3">
        <f>G371/I371</f>
        <v/>
      </c>
      <c r="K371">
        <f>IF(J371&gt;=5100,"ставка","мин.ставка")</f>
        <v/>
      </c>
      <c r="L371" s="3">
        <f>ROUND(IF(K371="мин.ставка",I371*100,G371/102*2),2)</f>
        <v/>
      </c>
      <c r="M371" s="5" t="n">
        <v>46243.5</v>
      </c>
      <c r="N371" t="inlineStr">
        <is>
          <t>TravelLine ресепшн</t>
        </is>
      </c>
      <c r="O371" s="2" t="inlineStr">
        <is>
          <t>СТАНДАРТНЫЙ ДВУХМЕСТНЫЙ НОМЕР</t>
        </is>
      </c>
      <c r="P371" s="6" t="n"/>
      <c r="R371" t="inlineStr"/>
      <c r="S371" t="inlineStr">
        <is>
          <t>Тариф с завтраком</t>
        </is>
      </c>
      <c r="T371" t="n">
        <v>0</v>
      </c>
      <c r="U371" t="n">
        <v>13350</v>
      </c>
    </row>
    <row r="372">
      <c r="A372" t="inlineStr">
        <is>
          <t>20260715-8186-450097245</t>
        </is>
      </c>
      <c r="B372" t="n">
        <v>1</v>
      </c>
      <c r="C372" s="2" t="inlineStr">
        <is>
          <t>ДМИТРИЙ АКСЕНОВ</t>
        </is>
      </c>
      <c r="D372" s="3" t="n">
        <v>28440</v>
      </c>
      <c r="E372" s="4" t="n">
        <v>0</v>
      </c>
      <c r="F372" t="inlineStr">
        <is>
          <t>Прямые бронирования (стойка) [Чайковский]</t>
        </is>
      </c>
      <c r="G372" s="3">
        <f>ROUND(D372/(100-E372)*100,2)</f>
        <v/>
      </c>
      <c r="H372" s="5" t="n">
        <v>46218.58333333334</v>
      </c>
      <c r="I372" t="n">
        <v>2</v>
      </c>
      <c r="J372" s="3">
        <f>G372/I372</f>
        <v/>
      </c>
      <c r="K372">
        <f>IF(J372&gt;=5100,"ставка","мин.ставка")</f>
        <v/>
      </c>
      <c r="L372" s="3">
        <f>ROUND(IF(K372="мин.ставка",I372*100,G372/102*2),2)</f>
        <v/>
      </c>
      <c r="M372" s="5" t="n">
        <v>46220.5</v>
      </c>
      <c r="N372" t="inlineStr">
        <is>
          <t>TravelLine ресепшн</t>
        </is>
      </c>
      <c r="O372" s="2" t="inlineStr">
        <is>
          <t>ЛЮКС ВТОРОЙ КОРПУС</t>
        </is>
      </c>
      <c r="P372" s="6" t="n"/>
      <c r="R372" t="inlineStr"/>
      <c r="S372" t="inlineStr">
        <is>
          <t>Тариф с завтраком</t>
        </is>
      </c>
      <c r="T372" t="n">
        <v>0</v>
      </c>
      <c r="U372" t="n">
        <v>28440</v>
      </c>
    </row>
    <row r="373">
      <c r="A373" t="inlineStr">
        <is>
          <t>20260920-8186-467291466</t>
        </is>
      </c>
      <c r="B373" t="n">
        <v>1</v>
      </c>
      <c r="C373" s="2" t="inlineStr">
        <is>
          <t>Дмитрий Алешков, Кристина аЛЕШКОВА</t>
        </is>
      </c>
      <c r="D373" s="3" t="n">
        <v>9900</v>
      </c>
      <c r="E373" s="4" t="n">
        <v>0</v>
      </c>
      <c r="F373" t="inlineStr">
        <is>
          <t>Прямые бронирования (стойка) [Чайковский]</t>
        </is>
      </c>
      <c r="G373" s="3">
        <f>ROUND(D373/(100-E373)*100,2)</f>
        <v/>
      </c>
      <c r="H373" s="5" t="n">
        <v>46285.58333333334</v>
      </c>
      <c r="I373" t="n">
        <v>1</v>
      </c>
      <c r="J373" s="3">
        <f>G373/I373</f>
        <v/>
      </c>
      <c r="K373">
        <f>IF(J373&gt;=5100,"ставка","мин.ставка")</f>
        <v/>
      </c>
      <c r="L373" s="3">
        <f>ROUND(IF(K373="мин.ставка",I373*100,G373/102*2),2)</f>
        <v/>
      </c>
      <c r="M373" s="5" t="n">
        <v>46286.5</v>
      </c>
      <c r="N373" t="inlineStr">
        <is>
          <t>TravelLine ресепшн</t>
        </is>
      </c>
      <c r="O373" s="2" t="inlineStr">
        <is>
          <t>СТАНДАРТНЫЙ ДВУХМЕСТНЫЙ НОМЕР (МАНСАРДА)</t>
        </is>
      </c>
      <c r="P373" s="6" t="n"/>
      <c r="R373" t="inlineStr"/>
      <c r="S373" t="inlineStr">
        <is>
          <t>Тариф с завтраком</t>
        </is>
      </c>
      <c r="T373" t="n">
        <v>0</v>
      </c>
      <c r="U373" t="n">
        <v>9900</v>
      </c>
    </row>
    <row r="374">
      <c r="A374" t="inlineStr">
        <is>
          <t>20260713-8186-449918669</t>
        </is>
      </c>
      <c r="B374" t="n">
        <v>1</v>
      </c>
      <c r="C374" s="2" t="inlineStr">
        <is>
          <t>Дмитрий Барменков</t>
        </is>
      </c>
      <c r="D374" s="3" t="n">
        <v>9647.5</v>
      </c>
      <c r="E374" s="4" t="n">
        <v>15</v>
      </c>
      <c r="F374" t="inlineStr">
        <is>
          <t>ООО "БРОНИРОВАНИЕ ГОСТИНИЦ" (OSTROVOK) [Чайковский]</t>
        </is>
      </c>
      <c r="G374" s="3">
        <f>ROUND(D374/(100-E374)*100,2)</f>
        <v/>
      </c>
      <c r="H374" s="5" t="n">
        <v>46216.58333333334</v>
      </c>
      <c r="I374" t="n">
        <v>1</v>
      </c>
      <c r="J374" s="3">
        <f>G374/I374</f>
        <v/>
      </c>
      <c r="K374">
        <f>IF(J374&gt;=5100,"ставка","мин.ставка")</f>
        <v/>
      </c>
      <c r="L374" s="3">
        <f>ROUND(IF(K374="мин.ставка",I374*100,G374/102*2),2)</f>
        <v/>
      </c>
      <c r="M374" s="5" t="n">
        <v>46217.5</v>
      </c>
      <c r="N374" t="inlineStr">
        <is>
          <t>TravelLine OTK</t>
        </is>
      </c>
      <c r="O374" s="2" t="inlineStr">
        <is>
          <t>СТАНДАРТНЫЙ ДВУХМЕСТНЫЙ НОМЕР</t>
        </is>
      </c>
      <c r="P374" s="6" t="n"/>
      <c r="R374" t="inlineStr"/>
      <c r="S374" t="inlineStr">
        <is>
          <t>Тариф с завтраком</t>
        </is>
      </c>
      <c r="T374" t="n">
        <v>0</v>
      </c>
      <c r="U374" t="n">
        <v>9647.5</v>
      </c>
    </row>
    <row r="375">
      <c r="A375" t="inlineStr">
        <is>
          <t>20260722-8186-443640267</t>
        </is>
      </c>
      <c r="B375" t="n">
        <v>1</v>
      </c>
      <c r="C375" s="2" t="inlineStr">
        <is>
          <t>Дмитрий Батюшенков</t>
        </is>
      </c>
      <c r="D375" s="3" t="n">
        <v>18160</v>
      </c>
      <c r="E375" s="4" t="n">
        <v>20</v>
      </c>
      <c r="F375" t="inlineStr">
        <is>
          <t>ООО "ХБ-ПРО" [Чайковский]</t>
        </is>
      </c>
      <c r="G375" s="3">
        <f>ROUND(D375/(100-E375)*100,2)</f>
        <v/>
      </c>
      <c r="H375" s="5" t="n">
        <v>46225.58333333334</v>
      </c>
      <c r="I375" t="n">
        <v>2</v>
      </c>
      <c r="J375" s="3">
        <f>G375/I375</f>
        <v/>
      </c>
      <c r="K375">
        <f>IF(J375&gt;=5100,"ставка","мин.ставка")</f>
        <v/>
      </c>
      <c r="L375" s="3">
        <f>ROUND(IF(K375="мин.ставка",I375*100,G375/102*2),2)</f>
        <v/>
      </c>
      <c r="M375" s="5" t="n">
        <v>46227.5</v>
      </c>
      <c r="N375" t="inlineStr">
        <is>
          <t>TravelLine UTS</t>
        </is>
      </c>
      <c r="O375" s="2" t="inlineStr">
        <is>
          <t>СТАНДАРТНЫЙ ДВУХМЕСТНЫЙ НОМЕР</t>
        </is>
      </c>
      <c r="P375" s="6" t="n"/>
      <c r="R375" t="inlineStr"/>
      <c r="S375" t="inlineStr">
        <is>
          <t>Тариф с завтраком</t>
        </is>
      </c>
      <c r="T375" t="n">
        <v>0</v>
      </c>
      <c r="U375" t="n">
        <v>18160</v>
      </c>
    </row>
    <row r="376">
      <c r="A376" t="inlineStr">
        <is>
          <t>20260706-8186-447671235</t>
        </is>
      </c>
      <c r="B376" t="n">
        <v>1</v>
      </c>
      <c r="C376" s="2" t="inlineStr">
        <is>
          <t>Дмитрий Ермолин, Эллина Ермолина</t>
        </is>
      </c>
      <c r="D376" s="3" t="n">
        <v>13346.75</v>
      </c>
      <c r="E376" s="4" t="n">
        <v>4</v>
      </c>
      <c r="F376" t="inlineStr">
        <is>
          <t>TravelLine Booking Engine [Чайковский]</t>
        </is>
      </c>
      <c r="G376" s="3">
        <f>ROUND(D376/(100-E376)*100,2)</f>
        <v/>
      </c>
      <c r="H376" s="5" t="n">
        <v>46209.58333333334</v>
      </c>
      <c r="I376" t="n">
        <v>1</v>
      </c>
      <c r="J376" s="3">
        <f>G376/I376</f>
        <v/>
      </c>
      <c r="K376">
        <f>IF(J376&gt;=5100,"ставка","мин.ставка")</f>
        <v/>
      </c>
      <c r="L376" s="3">
        <f>ROUND(IF(K376="мин.ставка",I376*100,G376/102*2),2)</f>
        <v/>
      </c>
      <c r="M376" s="5" t="n">
        <v>46210.5</v>
      </c>
      <c r="N376" t="inlineStr">
        <is>
          <t>TravelLine сайт</t>
        </is>
      </c>
      <c r="O376" s="2" t="inlineStr">
        <is>
          <t>ПОЛУЛЮКС</t>
        </is>
      </c>
      <c r="P376" s="6" t="n"/>
      <c r="R376" t="inlineStr"/>
      <c r="S376" t="inlineStr">
        <is>
          <t>Тариф с завтраком</t>
        </is>
      </c>
      <c r="T376" t="n">
        <v>0</v>
      </c>
      <c r="U376" t="n">
        <v>13346.75</v>
      </c>
    </row>
    <row r="377">
      <c r="A377" t="inlineStr">
        <is>
          <t>20260723-8186-449405536</t>
        </is>
      </c>
      <c r="B377" t="n">
        <v>1</v>
      </c>
      <c r="C377" s="2" t="inlineStr">
        <is>
          <t>Дмитрий Козлов</t>
        </is>
      </c>
      <c r="D377" s="3" t="n">
        <v>20430</v>
      </c>
      <c r="E377" s="4" t="n">
        <v>0</v>
      </c>
      <c r="F377" t="inlineStr">
        <is>
          <t>Прямые бронирования (стойка) [Чайковский]</t>
        </is>
      </c>
      <c r="G377" s="3">
        <f>ROUND(D377/(100-E377)*100,2)</f>
        <v/>
      </c>
      <c r="H377" s="5" t="n">
        <v>46227.58333333334</v>
      </c>
      <c r="I377" t="n">
        <v>2</v>
      </c>
      <c r="J377" s="3">
        <f>G377/I377</f>
        <v/>
      </c>
      <c r="K377">
        <f>IF(J377&gt;=5100,"ставка","мин.ставка")</f>
        <v/>
      </c>
      <c r="L377" s="3">
        <f>ROUND(IF(K377="мин.ставка",I377*100,G377/102*2),2)</f>
        <v/>
      </c>
      <c r="M377" s="5" t="n">
        <v>46229.5</v>
      </c>
      <c r="N377" t="inlineStr">
        <is>
          <t>TravelLine ресепшн</t>
        </is>
      </c>
      <c r="O377" s="2" t="inlineStr">
        <is>
          <t>СТАНДАРТНЫЙ ДВУХМЕСТНЫЙ НОМЕР</t>
        </is>
      </c>
      <c r="P377" s="6" t="n"/>
      <c r="R377" t="inlineStr"/>
      <c r="S377" t="inlineStr">
        <is>
          <t>Тариф с завтраком</t>
        </is>
      </c>
      <c r="T377" t="n">
        <v>0</v>
      </c>
      <c r="U377" t="n">
        <v>20430</v>
      </c>
    </row>
    <row r="378">
      <c r="A378" t="inlineStr">
        <is>
          <t>20260919-8186-465134993</t>
        </is>
      </c>
      <c r="B378" t="n">
        <v>1</v>
      </c>
      <c r="C378" s="2" t="inlineStr">
        <is>
          <t>ДМИТРИЙ Козлов</t>
        </is>
      </c>
      <c r="D378" s="3" t="n">
        <v>11850</v>
      </c>
      <c r="E378" s="4" t="n">
        <v>18</v>
      </c>
      <c r="F378" t="inlineStr">
        <is>
          <t>Яндекс.Путешествия [Чайковский]</t>
        </is>
      </c>
      <c r="G378" s="3">
        <f>ROUND(D378/(100-E378)*100,2)</f>
        <v/>
      </c>
      <c r="H378" s="5" t="n">
        <v>46284.58333333334</v>
      </c>
      <c r="I378" t="n">
        <v>2</v>
      </c>
      <c r="J378" s="3">
        <f>G378/I378</f>
        <v/>
      </c>
      <c r="K378">
        <f>IF(J378&gt;=5100,"ставка","мин.ставка")</f>
        <v/>
      </c>
      <c r="L378" s="3">
        <f>ROUND(IF(K378="мин.ставка",I378*100,G378/102*2),2)</f>
        <v/>
      </c>
      <c r="M378" s="5" t="n">
        <v>46286.5</v>
      </c>
      <c r="N378" t="inlineStr">
        <is>
          <t>TravelLine YAX</t>
        </is>
      </c>
      <c r="O378" s="2" t="inlineStr">
        <is>
          <t>СТАНДАРТНЫЙ ДВУХМЕСТНЫЙ НОМЕР (МАНСАРДА)</t>
        </is>
      </c>
      <c r="P378" s="6" t="n"/>
      <c r="R378" t="inlineStr"/>
      <c r="S378" t="inlineStr">
        <is>
          <t>Тариф с завтраком</t>
        </is>
      </c>
      <c r="T378" t="n">
        <v>0</v>
      </c>
      <c r="U378" t="n">
        <v>11850</v>
      </c>
    </row>
    <row r="379">
      <c r="A379" t="inlineStr">
        <is>
          <t>20260830-8186-441259447</t>
        </is>
      </c>
      <c r="B379" t="n">
        <v>1</v>
      </c>
      <c r="C379" s="2" t="inlineStr">
        <is>
          <t>Дмитрий Куковенко, Оксана Патрова</t>
        </is>
      </c>
      <c r="D379" s="3" t="n">
        <v>16434</v>
      </c>
      <c r="E379" s="4" t="n">
        <v>17</v>
      </c>
      <c r="F379" t="inlineStr">
        <is>
          <t>ООО «Интернет Трэвел» (OZON) [Чайковский]</t>
        </is>
      </c>
      <c r="G379" s="3">
        <f>ROUND(D379/(100-E379)*100,2)</f>
        <v/>
      </c>
      <c r="H379" s="5" t="n">
        <v>46264.58333333334</v>
      </c>
      <c r="I379" t="n">
        <v>2</v>
      </c>
      <c r="J379" s="3">
        <f>G379/I379</f>
        <v/>
      </c>
      <c r="K379">
        <f>IF(J379&gt;=5100,"ставка","мин.ставка")</f>
        <v/>
      </c>
      <c r="L379" s="3">
        <f>ROUND(IF(K379="мин.ставка",I379*100,G379/102*2),2)</f>
        <v/>
      </c>
      <c r="M379" s="5" t="n">
        <v>46266.5</v>
      </c>
      <c r="N379" t="inlineStr">
        <is>
          <t>TravelLine OZ2</t>
        </is>
      </c>
      <c r="O379" s="2" t="inlineStr">
        <is>
          <t>СТАНДАРТНЫЙ ДВУХМЕСТНЫЙ НОМЕР</t>
        </is>
      </c>
      <c r="P379" s="6" t="n"/>
      <c r="R379" t="inlineStr"/>
      <c r="S379" t="inlineStr">
        <is>
          <t>Тариф с завтраком</t>
        </is>
      </c>
      <c r="T379" t="n">
        <v>0</v>
      </c>
      <c r="U379" t="n">
        <v>16434</v>
      </c>
    </row>
    <row r="380">
      <c r="A380" t="inlineStr">
        <is>
          <t>20260801-8186-441245788</t>
        </is>
      </c>
      <c r="B380" t="n">
        <v>1</v>
      </c>
      <c r="C380" s="2" t="inlineStr">
        <is>
          <t>Дмитрий Кусков</t>
        </is>
      </c>
      <c r="D380" s="3" t="n">
        <v>7461.3</v>
      </c>
      <c r="E380" s="4" t="n">
        <v>4</v>
      </c>
      <c r="F380" t="inlineStr">
        <is>
          <t>TravelLine Booking Engine [Чайковский]</t>
        </is>
      </c>
      <c r="G380" s="3">
        <f>ROUND(D380/(100-E380)*100,2)</f>
        <v/>
      </c>
      <c r="H380" s="5" t="n">
        <v>46235.58333333334</v>
      </c>
      <c r="I380" t="n">
        <v>1</v>
      </c>
      <c r="J380" s="3">
        <f>G380/I380</f>
        <v/>
      </c>
      <c r="K380">
        <f>IF(J380&gt;=5100,"ставка","мин.ставка")</f>
        <v/>
      </c>
      <c r="L380" s="3">
        <f>ROUND(IF(K380="мин.ставка",I380*100,G380/102*2),2)</f>
        <v/>
      </c>
      <c r="M380" s="5" t="n">
        <v>46236.5</v>
      </c>
      <c r="N380" t="inlineStr">
        <is>
          <t>TravelLine сайт</t>
        </is>
      </c>
      <c r="O380" s="2" t="inlineStr">
        <is>
          <t>СТАНДАРТНЫЙ ОДНОМЕСТНЫЙ НОМЕР</t>
        </is>
      </c>
      <c r="P380" s="6" t="n"/>
      <c r="R380" t="inlineStr"/>
      <c r="S380" t="inlineStr">
        <is>
          <t>Тариф с завтраком</t>
        </is>
      </c>
      <c r="T380" t="n">
        <v>0</v>
      </c>
      <c r="U380" t="n">
        <v>7461.3</v>
      </c>
    </row>
    <row r="381">
      <c r="A381" t="inlineStr">
        <is>
          <t>20260925-8186-467835315</t>
        </is>
      </c>
      <c r="B381" t="n">
        <v>1</v>
      </c>
      <c r="C381" s="2" t="inlineStr">
        <is>
          <t>Дмитрий ЛЕБЕДЕВ, Анастасия Сирык</t>
        </is>
      </c>
      <c r="D381" s="3" t="n">
        <v>33000</v>
      </c>
      <c r="E381" s="4" t="n">
        <v>0</v>
      </c>
      <c r="F381" t="inlineStr">
        <is>
          <t>Прямые бронирования (стойка) [Чайковский]</t>
        </is>
      </c>
      <c r="G381" s="3">
        <f>ROUND(D381/(100-E381)*100,2)</f>
        <v/>
      </c>
      <c r="H381" s="5" t="n">
        <v>46290.64583333334</v>
      </c>
      <c r="I381" t="n">
        <v>2</v>
      </c>
      <c r="J381" s="3">
        <f>G381/I381</f>
        <v/>
      </c>
      <c r="K381">
        <f>IF(J381&gt;=5100,"ставка","мин.ставка")</f>
        <v/>
      </c>
      <c r="L381" s="3">
        <f>ROUND(IF(K381="мин.ставка",I381*100,G381/102*2),2)</f>
        <v/>
      </c>
      <c r="M381" s="5" t="n">
        <v>46292.5</v>
      </c>
      <c r="N381" t="inlineStr">
        <is>
          <t>TravelLine ресепшн</t>
        </is>
      </c>
      <c r="O381" s="2" t="inlineStr">
        <is>
          <t>ПОЛУЛЮКС</t>
        </is>
      </c>
      <c r="P381" s="6" t="n"/>
      <c r="R381" t="inlineStr"/>
      <c r="S381" t="inlineStr">
        <is>
          <t>Тариф с завтраком</t>
        </is>
      </c>
      <c r="T381" t="n">
        <v>0</v>
      </c>
      <c r="U381" t="n">
        <v>33000</v>
      </c>
    </row>
    <row r="382">
      <c r="A382" t="inlineStr">
        <is>
          <t>20260826-8186-460136123</t>
        </is>
      </c>
      <c r="B382" t="n">
        <v>1</v>
      </c>
      <c r="C382" s="2" t="inlineStr">
        <is>
          <t>Дмитрий Лемешов</t>
        </is>
      </c>
      <c r="D382" s="3" t="n">
        <v>18614</v>
      </c>
      <c r="E382" s="4" t="n">
        <v>18</v>
      </c>
      <c r="F382" t="inlineStr">
        <is>
          <t>ООО "Эй энд Эй" [Чайковский]</t>
        </is>
      </c>
      <c r="G382" s="3">
        <f>ROUND(D382/(100-E382)*100,2)</f>
        <v/>
      </c>
      <c r="H382" s="5" t="n">
        <v>46260.58333333334</v>
      </c>
      <c r="I382" t="n">
        <v>2</v>
      </c>
      <c r="J382" s="3">
        <f>G382/I382</f>
        <v/>
      </c>
      <c r="K382">
        <f>IF(J382&gt;=5100,"ставка","мин.ставка")</f>
        <v/>
      </c>
      <c r="L382" s="3">
        <f>ROUND(IF(K382="мин.ставка",I382*100,G382/102*2),2)</f>
        <v/>
      </c>
      <c r="M382" s="5" t="n">
        <v>46262.5</v>
      </c>
      <c r="N382" t="inlineStr">
        <is>
          <t>TravelLine ANA</t>
        </is>
      </c>
      <c r="O382" s="2" t="inlineStr">
        <is>
          <t>СТАНДАРТНЫЙ ДВУХМЕСТНЫЙ НОМЕР</t>
        </is>
      </c>
      <c r="P382" s="6" t="n"/>
      <c r="R382" t="inlineStr"/>
      <c r="S382" t="inlineStr">
        <is>
          <t>Тариф с завтраком</t>
        </is>
      </c>
      <c r="T382" t="n">
        <v>0</v>
      </c>
      <c r="U382" t="n">
        <v>18614</v>
      </c>
    </row>
    <row r="383">
      <c r="A383" t="inlineStr">
        <is>
          <t>20260913-8186-455450232</t>
        </is>
      </c>
      <c r="B383" t="n">
        <v>1</v>
      </c>
      <c r="C383" s="2" t="inlineStr">
        <is>
          <t>Дмитрий Липсон</t>
        </is>
      </c>
      <c r="D383" s="3" t="n">
        <v>56750</v>
      </c>
      <c r="E383" s="4" t="n">
        <v>0</v>
      </c>
      <c r="F383" t="inlineStr">
        <is>
          <t>Прямые бронирования (стойка) [Чайковский]</t>
        </is>
      </c>
      <c r="G383" s="3">
        <f>ROUND(D383/(100-E383)*100,2)</f>
        <v/>
      </c>
      <c r="H383" s="5" t="n">
        <v>46278.58333333334</v>
      </c>
      <c r="I383" t="n">
        <v>5</v>
      </c>
      <c r="J383" s="3">
        <f>G383/I383</f>
        <v/>
      </c>
      <c r="K383">
        <f>IF(J383&gt;=5100,"ставка","мин.ставка")</f>
        <v/>
      </c>
      <c r="L383" s="3">
        <f>ROUND(IF(K383="мин.ставка",I383*100,G383/102*2),2)</f>
        <v/>
      </c>
      <c r="M383" s="5" t="n">
        <v>46283.75</v>
      </c>
      <c r="N383" t="inlineStr">
        <is>
          <t>TravelLine ресепшн</t>
        </is>
      </c>
      <c r="O383" s="2" t="inlineStr">
        <is>
          <t>СТАНДАРТНЫЙ ДВУХМЕСТНЫЙ НОМЕР</t>
        </is>
      </c>
      <c r="P383" s="6" t="n"/>
      <c r="R383" t="inlineStr"/>
      <c r="S383" t="inlineStr">
        <is>
          <t>Тариф с завтраком</t>
        </is>
      </c>
      <c r="T383" t="n">
        <v>5675</v>
      </c>
      <c r="U383" t="n">
        <v>62425</v>
      </c>
    </row>
    <row r="384">
      <c r="A384" t="inlineStr">
        <is>
          <t>20260701-8186-446547107</t>
        </is>
      </c>
      <c r="B384" t="n">
        <v>1</v>
      </c>
      <c r="C384" s="2" t="inlineStr">
        <is>
          <t>ДМИТРИЙ МАЛЫШЕВ, АЛЕКСАНДРА АШАПАТОВА</t>
        </is>
      </c>
      <c r="D384" s="3" t="n">
        <v>49300</v>
      </c>
      <c r="E384" s="4" t="n">
        <v>15</v>
      </c>
      <c r="F384" t="inlineStr">
        <is>
          <t>ООО "БРОНИРОВАНИЕ ГОСТИНИЦ" (OSTROVOK) [Чайковский]</t>
        </is>
      </c>
      <c r="G384" s="3">
        <f>ROUND(D384/(100-E384)*100,2)</f>
        <v/>
      </c>
      <c r="H384" s="5" t="n">
        <v>46204.58333333334</v>
      </c>
      <c r="I384" t="n">
        <v>4</v>
      </c>
      <c r="J384" s="3">
        <f>G384/I384</f>
        <v/>
      </c>
      <c r="K384">
        <f>IF(J384&gt;=5100,"ставка","мин.ставка")</f>
        <v/>
      </c>
      <c r="L384" s="3">
        <f>ROUND(IF(K384="мин.ставка",I384*100,G384/102*2),2)</f>
        <v/>
      </c>
      <c r="M384" s="5" t="n">
        <v>46208.5</v>
      </c>
      <c r="N384" t="inlineStr">
        <is>
          <t>TravelLine OTK</t>
        </is>
      </c>
      <c r="O384" s="2" t="inlineStr">
        <is>
          <t>ЛЮКС ВТОРОЙ КОРПУС</t>
        </is>
      </c>
      <c r="P384" s="6" t="n"/>
      <c r="R384" t="inlineStr"/>
      <c r="S384" t="inlineStr">
        <is>
          <t>Основной тариф без завтрака</t>
        </is>
      </c>
      <c r="T384" t="n">
        <v>0</v>
      </c>
      <c r="U384" t="n">
        <v>49300</v>
      </c>
    </row>
    <row r="385">
      <c r="A385" t="inlineStr">
        <is>
          <t>20260706-8186-446293658</t>
        </is>
      </c>
      <c r="B385" t="n">
        <v>1</v>
      </c>
      <c r="C385" s="2" t="inlineStr">
        <is>
          <t>Дмитрий Марченко</t>
        </is>
      </c>
      <c r="D385" s="3" t="n">
        <v>30000</v>
      </c>
      <c r="E385" s="4" t="n">
        <v>0</v>
      </c>
      <c r="F385" t="inlineStr">
        <is>
          <t>Прямые бронирования (стойка) [Чайковский]</t>
        </is>
      </c>
      <c r="G385" s="3">
        <f>ROUND(D385/(100-E385)*100,2)</f>
        <v/>
      </c>
      <c r="H385" s="5" t="n">
        <v>46209.58333333334</v>
      </c>
      <c r="I385" t="n">
        <v>2</v>
      </c>
      <c r="J385" s="3">
        <f>G385/I385</f>
        <v/>
      </c>
      <c r="K385">
        <f>IF(J385&gt;=5100,"ставка","мин.ставка")</f>
        <v/>
      </c>
      <c r="L385" s="3">
        <f>ROUND(IF(K385="мин.ставка",I385*100,G385/102*2),2)</f>
        <v/>
      </c>
      <c r="M385" s="5" t="n">
        <v>46211.5</v>
      </c>
      <c r="N385" t="inlineStr">
        <is>
          <t>TravelLine ресепшн</t>
        </is>
      </c>
      <c r="O385" s="2" t="inlineStr">
        <is>
          <t>СТАНДАРТНЫЙ ДВУХМЕСТНЫЙ НОМЕР</t>
        </is>
      </c>
      <c r="P385" s="6" t="n"/>
      <c r="R385" t="inlineStr"/>
      <c r="S385" t="inlineStr">
        <is>
          <t>Тариф с завтраком</t>
        </is>
      </c>
      <c r="T385" t="n">
        <v>0</v>
      </c>
      <c r="U385" t="n">
        <v>30000</v>
      </c>
    </row>
    <row r="386">
      <c r="A386" t="inlineStr">
        <is>
          <t>20260720-8186-446146197</t>
        </is>
      </c>
      <c r="B386" t="n">
        <v>1</v>
      </c>
      <c r="C386" s="2" t="inlineStr">
        <is>
          <t>ДМИТРИЙ МЕШКОВ, НАДЕЖДА ЕВДОКИМОВА</t>
        </is>
      </c>
      <c r="D386" s="3" t="n">
        <v>21360</v>
      </c>
      <c r="E386" s="4" t="n">
        <v>20</v>
      </c>
      <c r="F386" t="inlineStr">
        <is>
          <t>ООО "КОМПАНИЯ БРОНЕВИК" [Чайковский]</t>
        </is>
      </c>
      <c r="G386" s="3">
        <f>ROUND(D386/(100-E386)*100,2)</f>
        <v/>
      </c>
      <c r="H386" s="5" t="n">
        <v>46223.58333333334</v>
      </c>
      <c r="I386" t="n">
        <v>2</v>
      </c>
      <c r="J386" s="3">
        <f>G386/I386</f>
        <v/>
      </c>
      <c r="K386">
        <f>IF(J386&gt;=5100,"ставка","мин.ставка")</f>
        <v/>
      </c>
      <c r="L386" s="3">
        <f>ROUND(IF(K386="мин.ставка",I386*100,G386/102*2),2)</f>
        <v/>
      </c>
      <c r="M386" s="5" t="n">
        <v>46225.5</v>
      </c>
      <c r="N386" t="inlineStr">
        <is>
          <t>TravelLine BR2</t>
        </is>
      </c>
      <c r="O386" s="2" t="inlineStr">
        <is>
          <t>СТАНДАРТНЫЙ ДВУХМЕСТНЫЙ НОМЕР</t>
        </is>
      </c>
      <c r="P386" s="6" t="n"/>
      <c r="R386" t="inlineStr"/>
      <c r="S386" t="inlineStr">
        <is>
          <t>Тариф с завтраком</t>
        </is>
      </c>
      <c r="T386" t="n">
        <v>0</v>
      </c>
      <c r="U386" t="n">
        <v>21360</v>
      </c>
    </row>
    <row r="387">
      <c r="A387" t="inlineStr">
        <is>
          <t>20260723-8186-449919086</t>
        </is>
      </c>
      <c r="B387" t="n">
        <v>1</v>
      </c>
      <c r="C387" s="2" t="inlineStr">
        <is>
          <t>Дмитрий Мещеряков</t>
        </is>
      </c>
      <c r="D387" s="3" t="n">
        <v>6764</v>
      </c>
      <c r="E387" s="4" t="n">
        <v>18</v>
      </c>
      <c r="F387" t="inlineStr">
        <is>
          <t>Яндекс.Путешествия [Чайковский]</t>
        </is>
      </c>
      <c r="G387" s="3">
        <f>ROUND(D387/(100-E387)*100,2)</f>
        <v/>
      </c>
      <c r="H387" s="5" t="n">
        <v>46226.58333333334</v>
      </c>
      <c r="I387" t="n">
        <v>1</v>
      </c>
      <c r="J387" s="3">
        <f>G387/I387</f>
        <v/>
      </c>
      <c r="K387">
        <f>IF(J387&gt;=5100,"ставка","мин.ставка")</f>
        <v/>
      </c>
      <c r="L387" s="3">
        <f>ROUND(IF(K387="мин.ставка",I387*100,G387/102*2),2)</f>
        <v/>
      </c>
      <c r="M387" s="5" t="n">
        <v>46227.5</v>
      </c>
      <c r="N387" t="inlineStr">
        <is>
          <t>TravelLine YAX</t>
        </is>
      </c>
      <c r="O387" s="2" t="inlineStr">
        <is>
          <t>СЕМЕЙНЫЙ НОМЕР КАТЕГОРИИ "СТАНДАРТ" ВТОРОЙ КОРПУС</t>
        </is>
      </c>
      <c r="P387" s="6" t="n"/>
      <c r="R387" t="inlineStr"/>
      <c r="S387" t="inlineStr">
        <is>
          <t>Тариф с завтраком</t>
        </is>
      </c>
      <c r="T387" t="n">
        <v>0</v>
      </c>
      <c r="U387" t="n">
        <v>6764</v>
      </c>
    </row>
    <row r="388">
      <c r="A388" t="inlineStr">
        <is>
          <t>20260907-8186-434979838</t>
        </is>
      </c>
      <c r="B388" t="n">
        <v>1</v>
      </c>
      <c r="C388" s="2" t="inlineStr">
        <is>
          <t>Дмитрий Мироненков</t>
        </is>
      </c>
      <c r="D388" s="3" t="n">
        <v>31600</v>
      </c>
      <c r="E388" s="4" t="n">
        <v>0</v>
      </c>
      <c r="F388" t="inlineStr">
        <is>
          <t>Прямые бронирования (стойка) [Чайковский]</t>
        </is>
      </c>
      <c r="G388" s="3">
        <f>ROUND(D388/(100-E388)*100,2)</f>
        <v/>
      </c>
      <c r="H388" s="5" t="n">
        <v>46272.58333333334</v>
      </c>
      <c r="I388" t="n">
        <v>4</v>
      </c>
      <c r="J388" s="3">
        <f>G388/I388</f>
        <v/>
      </c>
      <c r="K388">
        <f>IF(J388&gt;=5100,"ставка","мин.ставка")</f>
        <v/>
      </c>
      <c r="L388" s="3">
        <f>ROUND(IF(K388="мин.ставка",I388*100,G388/102*2),2)</f>
        <v/>
      </c>
      <c r="M388" s="5" t="n">
        <v>46276.5</v>
      </c>
      <c r="N388" t="inlineStr">
        <is>
          <t>TravelLine ресепшн</t>
        </is>
      </c>
      <c r="O388" s="2" t="inlineStr">
        <is>
          <t>СТАНДАРТНЫЙ ДВУХМЕСТНЫЙ НОМЕР (МАНСАРДА)</t>
        </is>
      </c>
      <c r="P388" s="6" t="n"/>
      <c r="R388" t="inlineStr"/>
      <c r="S388" t="inlineStr">
        <is>
          <t>Тариф с завтраком</t>
        </is>
      </c>
      <c r="T388" t="n">
        <v>0</v>
      </c>
      <c r="U388" t="n">
        <v>31600</v>
      </c>
    </row>
    <row r="389">
      <c r="A389" t="inlineStr">
        <is>
          <t>20260729-8186-454076275</t>
        </is>
      </c>
      <c r="B389" t="n">
        <v>1</v>
      </c>
      <c r="C389" s="2" t="inlineStr">
        <is>
          <t>Дмитрий Мольский</t>
        </is>
      </c>
      <c r="D389" s="3" t="n">
        <v>14220</v>
      </c>
      <c r="E389" s="4" t="n">
        <v>0</v>
      </c>
      <c r="F389" t="inlineStr">
        <is>
          <t>Прямые бронирования (стойка) [Чайковский]</t>
        </is>
      </c>
      <c r="G389" s="3">
        <f>ROUND(D389/(100-E389)*100,2)</f>
        <v/>
      </c>
      <c r="H389" s="5" t="n">
        <v>46232.58333333334</v>
      </c>
      <c r="I389" t="n">
        <v>1</v>
      </c>
      <c r="J389" s="3">
        <f>G389/I389</f>
        <v/>
      </c>
      <c r="K389">
        <f>IF(J389&gt;=5100,"ставка","мин.ставка")</f>
        <v/>
      </c>
      <c r="L389" s="3">
        <f>ROUND(IF(K389="мин.ставка",I389*100,G389/102*2),2)</f>
        <v/>
      </c>
      <c r="M389" s="5" t="n">
        <v>46233.5</v>
      </c>
      <c r="N389" t="inlineStr">
        <is>
          <t>TravelLine ресепшн</t>
        </is>
      </c>
      <c r="O389" s="2" t="inlineStr">
        <is>
          <t>ЛЮКС ВТОРОЙ КОРПУС</t>
        </is>
      </c>
      <c r="P389" s="6" t="n"/>
      <c r="R389" t="inlineStr"/>
      <c r="S389" t="inlineStr">
        <is>
          <t>Тариф с завтраком</t>
        </is>
      </c>
      <c r="T389" t="n">
        <v>0</v>
      </c>
      <c r="U389" t="n">
        <v>14220</v>
      </c>
    </row>
    <row r="390">
      <c r="A390" t="inlineStr">
        <is>
          <t>20260811-8186-457717969</t>
        </is>
      </c>
      <c r="B390" t="n">
        <v>1</v>
      </c>
      <c r="C390" s="2" t="inlineStr">
        <is>
          <t>Дмитрий Мольский</t>
        </is>
      </c>
      <c r="D390" s="3" t="n">
        <v>11205</v>
      </c>
      <c r="E390" s="4" t="n">
        <v>0</v>
      </c>
      <c r="F390" t="inlineStr">
        <is>
          <t>Прямые бронирования (стойка) [Чайковский]</t>
        </is>
      </c>
      <c r="G390" s="3">
        <f>ROUND(D390/(100-E390)*100,2)</f>
        <v/>
      </c>
      <c r="H390" s="5" t="n">
        <v>46245.58333333334</v>
      </c>
      <c r="I390" t="n">
        <v>1</v>
      </c>
      <c r="J390" s="3">
        <f>G390/I390</f>
        <v/>
      </c>
      <c r="K390">
        <f>IF(J390&gt;=5100,"ставка","мин.ставка")</f>
        <v/>
      </c>
      <c r="L390" s="3">
        <f>ROUND(IF(K390="мин.ставка",I390*100,G390/102*2),2)</f>
        <v/>
      </c>
      <c r="M390" s="5" t="n">
        <v>46246.5</v>
      </c>
      <c r="N390" t="inlineStr">
        <is>
          <t>TravelLine ресепшн</t>
        </is>
      </c>
      <c r="O390" s="2" t="inlineStr">
        <is>
          <t>СЕМЕЙНЫЙ НОМЕР КАТЕГОРИИ "СТАНДАРТ" ВТОРОЙ КОРПУС</t>
        </is>
      </c>
      <c r="P390" s="6" t="n"/>
      <c r="R390" t="inlineStr"/>
      <c r="S390" t="inlineStr">
        <is>
          <t>Тариф с завтраком</t>
        </is>
      </c>
      <c r="T390" t="n">
        <v>0</v>
      </c>
      <c r="U390" t="n">
        <v>11205</v>
      </c>
    </row>
    <row r="391">
      <c r="A391" t="inlineStr">
        <is>
          <t>20260904-8186-463700480</t>
        </is>
      </c>
      <c r="B391" t="n">
        <v>1</v>
      </c>
      <c r="C391" s="2" t="inlineStr">
        <is>
          <t>Дмитрий Мольский</t>
        </is>
      </c>
      <c r="D391" s="3" t="n">
        <v>14240</v>
      </c>
      <c r="E391" s="4" t="n">
        <v>0</v>
      </c>
      <c r="F391" t="inlineStr">
        <is>
          <t>Прямые бронирования (стойка) [Чайковский]</t>
        </is>
      </c>
      <c r="G391" s="3">
        <f>ROUND(D391/(100-E391)*100,2)</f>
        <v/>
      </c>
      <c r="H391" s="5" t="n">
        <v>46269.58333333334</v>
      </c>
      <c r="I391" t="n">
        <v>1</v>
      </c>
      <c r="J391" s="3">
        <f>G391/I391</f>
        <v/>
      </c>
      <c r="K391">
        <f>IF(J391&gt;=5100,"ставка","мин.ставка")</f>
        <v/>
      </c>
      <c r="L391" s="3">
        <f>ROUND(IF(K391="мин.ставка",I391*100,G391/102*2),2)</f>
        <v/>
      </c>
      <c r="M391" s="5" t="n">
        <v>46270.5</v>
      </c>
      <c r="N391" t="inlineStr">
        <is>
          <t>TravelLine ресепшн</t>
        </is>
      </c>
      <c r="O391" s="2" t="inlineStr">
        <is>
          <t>ЛЮКС ВТОРОЙ КОРПУС</t>
        </is>
      </c>
      <c r="P391" s="6" t="n"/>
      <c r="R391" t="inlineStr"/>
      <c r="S391" t="inlineStr">
        <is>
          <t>Основной тариф без завтрака</t>
        </is>
      </c>
      <c r="T391" t="n">
        <v>300</v>
      </c>
      <c r="U391" t="n">
        <v>14540</v>
      </c>
    </row>
    <row r="392">
      <c r="A392" t="inlineStr">
        <is>
          <t>20260809-8186-453699779</t>
        </is>
      </c>
      <c r="B392" t="n">
        <v>1</v>
      </c>
      <c r="C392" s="2" t="inlineStr">
        <is>
          <t>ДМИТРИЙ Москвин</t>
        </is>
      </c>
      <c r="D392" s="3" t="n">
        <v>27240</v>
      </c>
      <c r="E392" s="4" t="n">
        <v>20</v>
      </c>
      <c r="F392" t="inlineStr">
        <is>
          <t>ООО "КОМПАНИЯ БРОНЕВИК" [Чайковский]</t>
        </is>
      </c>
      <c r="G392" s="3">
        <f>ROUND(D392/(100-E392)*100,2)</f>
        <v/>
      </c>
      <c r="H392" s="5" t="n">
        <v>46243.58333333334</v>
      </c>
      <c r="I392" t="n">
        <v>3</v>
      </c>
      <c r="J392" s="3">
        <f>G392/I392</f>
        <v/>
      </c>
      <c r="K392">
        <f>IF(J392&gt;=5100,"ставка","мин.ставка")</f>
        <v/>
      </c>
      <c r="L392" s="3">
        <f>ROUND(IF(K392="мин.ставка",I392*100,G392/102*2),2)</f>
        <v/>
      </c>
      <c r="M392" s="5" t="n">
        <v>46246.5</v>
      </c>
      <c r="N392" t="inlineStr">
        <is>
          <t>TravelLine BR2</t>
        </is>
      </c>
      <c r="O392" s="2" t="inlineStr">
        <is>
          <t>СТАНДАРТНЫЙ ДВУХМЕСТНЫЙ НОМЕР</t>
        </is>
      </c>
      <c r="P392" s="6" t="n"/>
      <c r="R392" t="inlineStr"/>
      <c r="S392" t="inlineStr">
        <is>
          <t>Тариф с завтраком</t>
        </is>
      </c>
      <c r="T392" t="n">
        <v>0</v>
      </c>
      <c r="U392" t="n">
        <v>27240</v>
      </c>
    </row>
    <row r="393">
      <c r="A393" t="inlineStr">
        <is>
          <t>20260728-8186-453942448</t>
        </is>
      </c>
      <c r="B393" t="n">
        <v>1</v>
      </c>
      <c r="C393" s="2" t="inlineStr">
        <is>
          <t>ДМИТРИЙ МУРАНОВ</t>
        </is>
      </c>
      <c r="D393" s="3" t="n">
        <v>13400</v>
      </c>
      <c r="E393" s="4" t="n">
        <v>0</v>
      </c>
      <c r="F393" t="inlineStr">
        <is>
          <t>Прямые бронирования (стойка) [Чайковский]</t>
        </is>
      </c>
      <c r="G393" s="3">
        <f>ROUND(D393/(100-E393)*100,2)</f>
        <v/>
      </c>
      <c r="H393" s="5" t="n">
        <v>46231.58333333334</v>
      </c>
      <c r="I393" t="n">
        <v>1</v>
      </c>
      <c r="J393" s="3">
        <f>G393/I393</f>
        <v/>
      </c>
      <c r="K393">
        <f>IF(J393&gt;=5100,"ставка","мин.ставка")</f>
        <v/>
      </c>
      <c r="L393" s="3">
        <f>ROUND(IF(K393="мин.ставка",I393*100,G393/102*2),2)</f>
        <v/>
      </c>
      <c r="M393" s="5" t="n">
        <v>46232.5</v>
      </c>
      <c r="N393" t="inlineStr">
        <is>
          <t>TravelLine ресепшн</t>
        </is>
      </c>
      <c r="O393" s="2" t="inlineStr">
        <is>
          <t>УЛУЧШЕННЫЙ ДВУХМЕСТНЫЙ НОМЕР</t>
        </is>
      </c>
      <c r="P393" s="6" t="n"/>
      <c r="R393" t="inlineStr"/>
      <c r="S393" t="inlineStr">
        <is>
          <t>Тариф с завтраком</t>
        </is>
      </c>
      <c r="T393" t="n">
        <v>0</v>
      </c>
      <c r="U393" t="n">
        <v>13400</v>
      </c>
    </row>
    <row r="394">
      <c r="A394" t="inlineStr">
        <is>
          <t>20260911-8186-426784331</t>
        </is>
      </c>
      <c r="B394" t="n">
        <v>1</v>
      </c>
      <c r="C394" s="2" t="inlineStr">
        <is>
          <t>ДМИТРИЙ МЯСНИКОВ, СОФЬЯ МЯСНИКОВА</t>
        </is>
      </c>
      <c r="D394" s="3" t="n">
        <v>45390</v>
      </c>
      <c r="E394" s="4" t="n">
        <v>0</v>
      </c>
      <c r="F394" t="inlineStr">
        <is>
          <t>ООО "АЛЕАН ОТДЫХ" [Чайковский]</t>
        </is>
      </c>
      <c r="G394" s="3">
        <f>ROUND(D394/(100-E394)*100,2)</f>
        <v/>
      </c>
      <c r="H394" s="5" t="n">
        <v>46276.58333333334</v>
      </c>
      <c r="I394" t="n">
        <v>4</v>
      </c>
      <c r="J394" s="3">
        <f>G394/I394</f>
        <v/>
      </c>
      <c r="K394">
        <f>IF(J394&gt;=5100,"ставка","мин.ставка")</f>
        <v/>
      </c>
      <c r="L394" s="3">
        <f>ROUND(IF(K394="мин.ставка",I394*100,G394/102*2),2)</f>
        <v/>
      </c>
      <c r="M394" s="5" t="n">
        <v>46280.5</v>
      </c>
      <c r="N394" t="inlineStr">
        <is>
          <t>TravelLine ALN</t>
        </is>
      </c>
      <c r="O394" s="2" t="inlineStr">
        <is>
          <t>УЛУЧШЕННЫЙ ДВУХМЕСТНЫЙ НОМЕР</t>
        </is>
      </c>
      <c r="P394" s="6" t="n"/>
      <c r="R394" t="inlineStr"/>
      <c r="S394" t="inlineStr">
        <is>
          <t>Тариф с завтраком</t>
        </is>
      </c>
      <c r="T394" t="n">
        <v>0</v>
      </c>
      <c r="U394" t="n">
        <v>45390</v>
      </c>
    </row>
    <row r="395">
      <c r="A395" t="inlineStr">
        <is>
          <t>20260917-8186-463970139</t>
        </is>
      </c>
      <c r="B395" t="n">
        <v>1</v>
      </c>
      <c r="C395" s="2" t="inlineStr">
        <is>
          <t>Дмитрий Неклюдов, Екатерина Бессонова</t>
        </is>
      </c>
      <c r="D395" s="3" t="n">
        <v>30260</v>
      </c>
      <c r="E395" s="4" t="n">
        <v>15</v>
      </c>
      <c r="F395" t="inlineStr">
        <is>
          <t>ООО Тинькофф Путешествия [Чайковский]</t>
        </is>
      </c>
      <c r="G395" s="3">
        <f>ROUND(D395/(100-E395)*100,2)</f>
        <v/>
      </c>
      <c r="H395" s="5" t="n">
        <v>46282.58333333334</v>
      </c>
      <c r="I395" t="n">
        <v>2</v>
      </c>
      <c r="J395" s="3">
        <f>G395/I395</f>
        <v/>
      </c>
      <c r="K395">
        <f>IF(J395&gt;=5100,"ставка","мин.ставка")</f>
        <v/>
      </c>
      <c r="L395" s="3">
        <f>ROUND(IF(K395="мин.ставка",I395*100,G395/102*2),2)</f>
        <v/>
      </c>
      <c r="M395" s="5" t="n">
        <v>46284.5</v>
      </c>
      <c r="N395" t="inlineStr">
        <is>
          <t>TravelLine TNK</t>
        </is>
      </c>
      <c r="O395" s="2" t="inlineStr">
        <is>
          <t>ЛЮКС ВТОРОЙ КОРПУС</t>
        </is>
      </c>
      <c r="P395" s="6" t="n"/>
      <c r="R395" t="inlineStr"/>
      <c r="S395" t="inlineStr">
        <is>
          <t>Тариф с завтраком</t>
        </is>
      </c>
      <c r="T395" t="n">
        <v>0</v>
      </c>
      <c r="U395" t="n">
        <v>30260</v>
      </c>
    </row>
    <row r="396">
      <c r="A396" t="inlineStr">
        <is>
          <t>20260905-8186-463933189</t>
        </is>
      </c>
      <c r="B396" t="n">
        <v>1</v>
      </c>
      <c r="C396" s="2" t="inlineStr">
        <is>
          <t>Дмитрий Носков</t>
        </is>
      </c>
      <c r="D396" s="3" t="n">
        <v>40050</v>
      </c>
      <c r="E396" s="4" t="n">
        <v>18</v>
      </c>
      <c r="F396" t="inlineStr">
        <is>
          <t>Яндекс.Путешествия [Чайковский]</t>
        </is>
      </c>
      <c r="G396" s="3">
        <f>ROUND(D396/(100-E396)*100,2)</f>
        <v/>
      </c>
      <c r="H396" s="5" t="n">
        <v>46270.58333333334</v>
      </c>
      <c r="I396" t="n">
        <v>3</v>
      </c>
      <c r="J396" s="3">
        <f>G396/I396</f>
        <v/>
      </c>
      <c r="K396">
        <f>IF(J396&gt;=5100,"ставка","мин.ставка")</f>
        <v/>
      </c>
      <c r="L396" s="3">
        <f>ROUND(IF(K396="мин.ставка",I396*100,G396/102*2),2)</f>
        <v/>
      </c>
      <c r="M396" s="5" t="n">
        <v>46273.5</v>
      </c>
      <c r="N396" t="inlineStr">
        <is>
          <t>TravelLine YAX</t>
        </is>
      </c>
      <c r="O396" s="2" t="inlineStr">
        <is>
          <t>ЛЮКС ВТОРОЙ КОРПУС</t>
        </is>
      </c>
      <c r="P396" s="6" t="n"/>
      <c r="R396" t="inlineStr"/>
      <c r="S396" t="inlineStr">
        <is>
          <t>Тариф с завтраком</t>
        </is>
      </c>
      <c r="T396" t="n">
        <v>0</v>
      </c>
      <c r="U396" t="n">
        <v>40050</v>
      </c>
    </row>
    <row r="397">
      <c r="A397" t="inlineStr">
        <is>
          <t>20260716-8186-440572559</t>
        </is>
      </c>
      <c r="B397" t="n">
        <v>1</v>
      </c>
      <c r="C397" s="2" t="inlineStr">
        <is>
          <t>Дмитрий Самусевич, Эвелина Комарова</t>
        </is>
      </c>
      <c r="D397" s="3" t="n">
        <v>25564</v>
      </c>
      <c r="E397" s="4" t="n">
        <v>17</v>
      </c>
      <c r="F397" t="inlineStr">
        <is>
          <t>ООО «Интернет Трэвел» (OZON) [Чайковский]</t>
        </is>
      </c>
      <c r="G397" s="3">
        <f>ROUND(D397/(100-E397)*100,2)</f>
        <v/>
      </c>
      <c r="H397" s="5" t="n">
        <v>46219.58333333334</v>
      </c>
      <c r="I397" t="n">
        <v>2</v>
      </c>
      <c r="J397" s="3">
        <f>G397/I397</f>
        <v/>
      </c>
      <c r="K397">
        <f>IF(J397&gt;=5100,"ставка","мин.ставка")</f>
        <v/>
      </c>
      <c r="L397" s="3">
        <f>ROUND(IF(K397="мин.ставка",I397*100,G397/102*2),2)</f>
        <v/>
      </c>
      <c r="M397" s="5" t="n">
        <v>46221.5</v>
      </c>
      <c r="N397" t="inlineStr">
        <is>
          <t>TravelLine OZ2</t>
        </is>
      </c>
      <c r="O397" s="2" t="inlineStr">
        <is>
          <t>УЛУЧШЕННЫЙ ДВУХМЕСТНЫЙ НОМЕР</t>
        </is>
      </c>
      <c r="P397" s="6" t="n"/>
      <c r="R397" t="inlineStr"/>
      <c r="S397" t="inlineStr">
        <is>
          <t>Тариф с завтраком</t>
        </is>
      </c>
      <c r="T397" t="n">
        <v>0</v>
      </c>
      <c r="U397" t="n">
        <v>25564</v>
      </c>
    </row>
    <row r="398">
      <c r="A398" t="inlineStr">
        <is>
          <t>20260710-8186-421541572</t>
        </is>
      </c>
      <c r="B398" t="n">
        <v>1</v>
      </c>
      <c r="C398" s="2" t="inlineStr">
        <is>
          <t>Дмитрий Семенов, Татьяна Семенова</t>
        </is>
      </c>
      <c r="D398" s="3" t="n">
        <v>26286.15</v>
      </c>
      <c r="E398" s="4" t="n">
        <v>4</v>
      </c>
      <c r="F398" t="inlineStr">
        <is>
          <t>TravelLine Booking Engine [Чайковский]</t>
        </is>
      </c>
      <c r="G398" s="3">
        <f>ROUND(D398/(100-E398)*100,2)</f>
        <v/>
      </c>
      <c r="H398" s="5" t="n">
        <v>46213.58333333334</v>
      </c>
      <c r="I398" t="n">
        <v>2</v>
      </c>
      <c r="J398" s="3">
        <f>G398/I398</f>
        <v/>
      </c>
      <c r="K398">
        <f>IF(J398&gt;=5100,"ставка","мин.ставка")</f>
        <v/>
      </c>
      <c r="L398" s="3">
        <f>ROUND(IF(K398="мин.ставка",I398*100,G398/102*2),2)</f>
        <v/>
      </c>
      <c r="M398" s="5" t="n">
        <v>46215.5</v>
      </c>
      <c r="N398" t="inlineStr">
        <is>
          <t>TravelLine сайт</t>
        </is>
      </c>
      <c r="O398" s="2" t="inlineStr">
        <is>
          <t>СТАНДАРТНЫЙ ДВУХМЕСТНЫЙ НОМЕР</t>
        </is>
      </c>
      <c r="P398" s="6" t="n"/>
      <c r="R398" t="inlineStr"/>
      <c r="S398" t="inlineStr">
        <is>
          <t>Тариф с завтраком</t>
        </is>
      </c>
      <c r="T398" t="n">
        <v>0</v>
      </c>
      <c r="U398" t="n">
        <v>26286.15</v>
      </c>
    </row>
    <row r="399">
      <c r="A399" t="inlineStr">
        <is>
          <t>20260708-8186-448548633</t>
        </is>
      </c>
      <c r="B399" t="n">
        <v>1</v>
      </c>
      <c r="C399" s="2" t="inlineStr">
        <is>
          <t>ДМИТРИЙ СЕРОВ</t>
        </is>
      </c>
      <c r="D399" s="3" t="n">
        <v>7900</v>
      </c>
      <c r="E399" s="4" t="n">
        <v>0</v>
      </c>
      <c r="F399" t="inlineStr">
        <is>
          <t>Прямые бронирования (стойка) [Чайковский]</t>
        </is>
      </c>
      <c r="G399" s="3">
        <f>ROUND(D399/(100-E399)*100,2)</f>
        <v/>
      </c>
      <c r="H399" s="5" t="n">
        <v>46211.58333333334</v>
      </c>
      <c r="I399" t="n">
        <v>1</v>
      </c>
      <c r="J399" s="3">
        <f>G399/I399</f>
        <v/>
      </c>
      <c r="K399">
        <f>IF(J399&gt;=5100,"ставка","мин.ставка")</f>
        <v/>
      </c>
      <c r="L399" s="3">
        <f>ROUND(IF(K399="мин.ставка",I399*100,G399/102*2),2)</f>
        <v/>
      </c>
      <c r="M399" s="5" t="n">
        <v>46212.5</v>
      </c>
      <c r="N399" t="inlineStr">
        <is>
          <t>TravelLine ресепшн</t>
        </is>
      </c>
      <c r="O399" s="2" t="inlineStr">
        <is>
          <t>УЛУЧШЕННЫЙ ДВУХМЕСТНЫЙ НОМЕР</t>
        </is>
      </c>
      <c r="P399" s="6" t="n"/>
      <c r="R399" t="inlineStr"/>
      <c r="S399" t="inlineStr">
        <is>
          <t>Тариф с завтраком</t>
        </is>
      </c>
      <c r="T399" t="n">
        <v>0</v>
      </c>
      <c r="U399" t="n">
        <v>7900</v>
      </c>
    </row>
    <row r="400">
      <c r="A400" t="inlineStr">
        <is>
          <t>20260709-8186-448813635</t>
        </is>
      </c>
      <c r="B400" t="n">
        <v>1</v>
      </c>
      <c r="C400" s="2" t="inlineStr">
        <is>
          <t>ДМИТРИЙ СЕРОВ</t>
        </is>
      </c>
      <c r="D400" s="3" t="n">
        <v>7900</v>
      </c>
      <c r="E400" s="4" t="n">
        <v>0</v>
      </c>
      <c r="F400" t="inlineStr">
        <is>
          <t>Прямые бронирования (стойка) [Чайковский]</t>
        </is>
      </c>
      <c r="G400" s="3">
        <f>ROUND(D400/(100-E400)*100,2)</f>
        <v/>
      </c>
      <c r="H400" s="5" t="n">
        <v>46212.58333333334</v>
      </c>
      <c r="I400" t="n">
        <v>1</v>
      </c>
      <c r="J400" s="3">
        <f>G400/I400</f>
        <v/>
      </c>
      <c r="K400">
        <f>IF(J400&gt;=5100,"ставка","мин.ставка")</f>
        <v/>
      </c>
      <c r="L400" s="3">
        <f>ROUND(IF(K400="мин.ставка",I400*100,G400/102*2),2)</f>
        <v/>
      </c>
      <c r="M400" s="5" t="n">
        <v>46213.5</v>
      </c>
      <c r="N400" t="inlineStr">
        <is>
          <t>TravelLine ресепшн</t>
        </is>
      </c>
      <c r="O400" s="2" t="inlineStr">
        <is>
          <t>УЛУЧШЕННЫЙ ДВУХМЕСТНЫЙ НОМЕР</t>
        </is>
      </c>
      <c r="P400" s="6" t="n"/>
      <c r="R400" t="inlineStr"/>
      <c r="S400" t="inlineStr">
        <is>
          <t>Тариф с завтраком</t>
        </is>
      </c>
      <c r="T400" t="n">
        <v>0</v>
      </c>
      <c r="U400" t="n">
        <v>7900</v>
      </c>
    </row>
    <row r="401">
      <c r="A401" t="inlineStr">
        <is>
          <t>20260706-8186-448146879</t>
        </is>
      </c>
      <c r="B401" t="n">
        <v>1</v>
      </c>
      <c r="C401" s="2" t="inlineStr">
        <is>
          <t>ДМИТРИЙ СЕРОВ</t>
        </is>
      </c>
      <c r="D401" s="3" t="n">
        <v>19805</v>
      </c>
      <c r="E401" s="4" t="n">
        <v>15</v>
      </c>
      <c r="F401" t="inlineStr">
        <is>
          <t>ООО "БРОНИРОВАНИЕ ГОСТИНИЦ" (OSTROVOK) [Чайковский]</t>
        </is>
      </c>
      <c r="G401" s="3">
        <f>ROUND(D401/(100-E401)*100,2)</f>
        <v/>
      </c>
      <c r="H401" s="5" t="n">
        <v>46209.58333333334</v>
      </c>
      <c r="I401" t="n">
        <v>2</v>
      </c>
      <c r="J401" s="3">
        <f>G401/I401</f>
        <v/>
      </c>
      <c r="K401">
        <f>IF(J401&gt;=5100,"ставка","мин.ставка")</f>
        <v/>
      </c>
      <c r="L401" s="3">
        <f>ROUND(IF(K401="мин.ставка",I401*100,G401/102*2),2)</f>
        <v/>
      </c>
      <c r="M401" s="5" t="n">
        <v>46211.5</v>
      </c>
      <c r="N401" t="inlineStr">
        <is>
          <t>TravelLine OTK</t>
        </is>
      </c>
      <c r="O401" s="2" t="inlineStr">
        <is>
          <t>УЛУЧШЕННЫЙ ДВУХМЕСТНЫЙ НОМЕР</t>
        </is>
      </c>
      <c r="P401" s="6" t="n"/>
      <c r="R401" t="inlineStr"/>
      <c r="S401" t="inlineStr">
        <is>
          <t>Тариф с завтраком</t>
        </is>
      </c>
      <c r="T401" t="n">
        <v>0</v>
      </c>
      <c r="U401" t="n">
        <v>19805</v>
      </c>
    </row>
    <row r="402">
      <c r="A402" t="inlineStr">
        <is>
          <t>20260907-8186-464086254</t>
        </is>
      </c>
      <c r="B402" t="n">
        <v>1</v>
      </c>
      <c r="C402" s="2" t="inlineStr">
        <is>
          <t>ДМИТРИЙ СЕРОВ</t>
        </is>
      </c>
      <c r="D402" s="3" t="n">
        <v>9534</v>
      </c>
      <c r="E402" s="4" t="n">
        <v>16</v>
      </c>
      <c r="F402" t="inlineStr">
        <is>
          <t>ООО "БРОНИРОВАНИЕ ГОСТИНИЦ" (OSTROVOK) [Чайковский]</t>
        </is>
      </c>
      <c r="G402" s="3">
        <f>ROUND(D402/(100-E402)*100,2)</f>
        <v/>
      </c>
      <c r="H402" s="5" t="n">
        <v>46272.58333333334</v>
      </c>
      <c r="I402" t="n">
        <v>1</v>
      </c>
      <c r="J402" s="3">
        <f>G402/I402</f>
        <v/>
      </c>
      <c r="K402">
        <f>IF(J402&gt;=5100,"ставка","мин.ставка")</f>
        <v/>
      </c>
      <c r="L402" s="3">
        <f>ROUND(IF(K402="мин.ставка",I402*100,G402/102*2),2)</f>
        <v/>
      </c>
      <c r="M402" s="5" t="n">
        <v>46273.58333333334</v>
      </c>
      <c r="N402" t="inlineStr">
        <is>
          <t>TravelLine OTK</t>
        </is>
      </c>
      <c r="O402" s="2" t="inlineStr">
        <is>
          <t>СТАНДАРТНЫЙ ДВУХМЕСТНЫЙ НОМЕР</t>
        </is>
      </c>
      <c r="P402" s="6" t="n"/>
      <c r="R402" t="inlineStr"/>
      <c r="S402" t="inlineStr">
        <is>
          <t>Тариф с завтраком</t>
        </is>
      </c>
      <c r="T402" t="n">
        <v>0</v>
      </c>
      <c r="U402" t="n">
        <v>47670</v>
      </c>
    </row>
    <row r="403">
      <c r="A403" t="inlineStr">
        <is>
          <t>20260907-8186-464086254</t>
        </is>
      </c>
      <c r="B403" t="n">
        <v>1</v>
      </c>
      <c r="C403" s="2" t="inlineStr">
        <is>
          <t>ДМИТРИЙ СЕРОВ</t>
        </is>
      </c>
      <c r="D403" s="3" t="n">
        <v>38136</v>
      </c>
      <c r="E403" s="4" t="n">
        <v>16</v>
      </c>
      <c r="F403" t="inlineStr">
        <is>
          <t>ООО "БРОНИРОВАНИЕ ГОСТИНИЦ" (OSTROVOK) [Чайковский]</t>
        </is>
      </c>
      <c r="G403" s="3">
        <f>ROUND(D403/(100-E403)*100,2)</f>
        <v/>
      </c>
      <c r="H403" s="5" t="n">
        <v>46273.58333333334</v>
      </c>
      <c r="I403" t="n">
        <v>4</v>
      </c>
      <c r="J403" s="3">
        <f>G403/I403</f>
        <v/>
      </c>
      <c r="K403">
        <f>IF(J403&gt;=5100,"ставка","мин.ставка")</f>
        <v/>
      </c>
      <c r="L403" s="3">
        <f>ROUND(IF(K403="мин.ставка",I403*100,G403/102*2),2)</f>
        <v/>
      </c>
      <c r="M403" s="5" t="n">
        <v>46277.5</v>
      </c>
      <c r="N403" t="inlineStr">
        <is>
          <t>TravelLine OTK</t>
        </is>
      </c>
      <c r="O403" s="2" t="inlineStr">
        <is>
          <t>СТАНДАРТНЫЙ ДВУХМЕСТНЫЙ НОМЕР</t>
        </is>
      </c>
      <c r="P403" s="6" t="n"/>
      <c r="R403" t="inlineStr"/>
      <c r="S403" t="inlineStr">
        <is>
          <t>Тариф с завтраком</t>
        </is>
      </c>
      <c r="T403" t="n">
        <v>0</v>
      </c>
      <c r="U403" t="n">
        <v>47670</v>
      </c>
    </row>
    <row r="404">
      <c r="A404" t="inlineStr">
        <is>
          <t>20260912-8186-465262841</t>
        </is>
      </c>
      <c r="B404" t="n">
        <v>1</v>
      </c>
      <c r="C404" s="2" t="inlineStr">
        <is>
          <t>ДМИТРИЙ СЕРОВ</t>
        </is>
      </c>
      <c r="D404" s="3" t="n">
        <v>34050</v>
      </c>
      <c r="E404" s="4" t="n">
        <v>0</v>
      </c>
      <c r="F404" t="inlineStr">
        <is>
          <t>Прямые бронирования (стойка) [Чайковский]</t>
        </is>
      </c>
      <c r="G404" s="3">
        <f>ROUND(D404/(100-E404)*100,2)</f>
        <v/>
      </c>
      <c r="H404" s="5" t="n">
        <v>46277.58333333334</v>
      </c>
      <c r="I404" t="n">
        <v>3</v>
      </c>
      <c r="J404" s="3">
        <f>G404/I404</f>
        <v/>
      </c>
      <c r="K404">
        <f>IF(J404&gt;=5100,"ставка","мин.ставка")</f>
        <v/>
      </c>
      <c r="L404" s="3">
        <f>ROUND(IF(K404="мин.ставка",I404*100,G404/102*2),2)</f>
        <v/>
      </c>
      <c r="M404" s="5" t="n">
        <v>46280.5</v>
      </c>
      <c r="N404" t="inlineStr">
        <is>
          <t>TravelLine ресепшн</t>
        </is>
      </c>
      <c r="O404" s="2" t="inlineStr">
        <is>
          <t>СТАНДАРТНЫЙ ДВУХМЕСТНЫЙ НОМЕР</t>
        </is>
      </c>
      <c r="P404" s="6" t="n"/>
      <c r="R404" t="inlineStr"/>
      <c r="S404" t="inlineStr">
        <is>
          <t>Тариф с завтраком</t>
        </is>
      </c>
      <c r="T404" t="n">
        <v>0</v>
      </c>
      <c r="U404" t="n">
        <v>34050</v>
      </c>
    </row>
    <row r="405">
      <c r="A405" t="inlineStr">
        <is>
          <t>20260811-8186-457810096</t>
        </is>
      </c>
      <c r="B405" t="n">
        <v>1</v>
      </c>
      <c r="C405" s="2" t="inlineStr">
        <is>
          <t>ДМИТРИЙ СЕРОВ</t>
        </is>
      </c>
      <c r="D405" s="3" t="n">
        <v>12180</v>
      </c>
      <c r="E405" s="4" t="n">
        <v>16</v>
      </c>
      <c r="F405" t="inlineStr">
        <is>
          <t>ООО "БРОНИРОВАНИЕ ГОСТИНИЦ" (OSTROVOK) [Чайковский]</t>
        </is>
      </c>
      <c r="G405" s="3">
        <f>ROUND(D405/(100-E405)*100,2)</f>
        <v/>
      </c>
      <c r="H405" s="5" t="n">
        <v>46245.58333333334</v>
      </c>
      <c r="I405" t="n">
        <v>1</v>
      </c>
      <c r="J405" s="3">
        <f>G405/I405</f>
        <v/>
      </c>
      <c r="K405">
        <f>IF(J405&gt;=5100,"ставка","мин.ставка")</f>
        <v/>
      </c>
      <c r="L405" s="3">
        <f>ROUND(IF(K405="мин.ставка",I405*100,G405/102*2),2)</f>
        <v/>
      </c>
      <c r="M405" s="5" t="n">
        <v>46246.5</v>
      </c>
      <c r="N405" t="inlineStr">
        <is>
          <t>TravelLine OTK</t>
        </is>
      </c>
      <c r="O405" s="2" t="inlineStr">
        <is>
          <t>ПОЛУЛЮКС</t>
        </is>
      </c>
      <c r="P405" s="6" t="n"/>
      <c r="R405" t="inlineStr"/>
      <c r="S405" t="inlineStr">
        <is>
          <t>Тариф с завтраком</t>
        </is>
      </c>
      <c r="T405" t="n">
        <v>350</v>
      </c>
      <c r="U405" t="n">
        <v>12530</v>
      </c>
    </row>
    <row r="406">
      <c r="A406" t="inlineStr">
        <is>
          <t>20260812-8186-458120356</t>
        </is>
      </c>
      <c r="B406" t="n">
        <v>1</v>
      </c>
      <c r="C406" s="2" t="inlineStr">
        <is>
          <t>ДМИТРИЙ СЕРОВ</t>
        </is>
      </c>
      <c r="D406" s="3" t="n">
        <v>12180</v>
      </c>
      <c r="E406" s="4" t="n">
        <v>16</v>
      </c>
      <c r="F406" t="inlineStr">
        <is>
          <t>ООО "БРОНИРОВАНИЕ ГОСТИНИЦ" (OSTROVOK) [Чайковский]</t>
        </is>
      </c>
      <c r="G406" s="3">
        <f>ROUND(D406/(100-E406)*100,2)</f>
        <v/>
      </c>
      <c r="H406" s="5" t="n">
        <v>46246.58333333334</v>
      </c>
      <c r="I406" t="n">
        <v>1</v>
      </c>
      <c r="J406" s="3">
        <f>G406/I406</f>
        <v/>
      </c>
      <c r="K406">
        <f>IF(J406&gt;=5100,"ставка","мин.ставка")</f>
        <v/>
      </c>
      <c r="L406" s="3">
        <f>ROUND(IF(K406="мин.ставка",I406*100,G406/102*2),2)</f>
        <v/>
      </c>
      <c r="M406" s="5" t="n">
        <v>46247.5</v>
      </c>
      <c r="N406" t="inlineStr">
        <is>
          <t>TravelLine OTK</t>
        </is>
      </c>
      <c r="O406" s="2" t="inlineStr">
        <is>
          <t>ПОЛУЛЮКС</t>
        </is>
      </c>
      <c r="P406" s="6" t="n"/>
      <c r="R406" t="inlineStr"/>
      <c r="S406" t="inlineStr">
        <is>
          <t>Тариф с завтраком</t>
        </is>
      </c>
      <c r="T406" t="n">
        <v>0</v>
      </c>
      <c r="U406" t="n">
        <v>12180</v>
      </c>
    </row>
    <row r="407">
      <c r="A407" t="inlineStr">
        <is>
          <t>20260902-8186-462738129</t>
        </is>
      </c>
      <c r="B407" t="n">
        <v>1</v>
      </c>
      <c r="C407" s="2" t="inlineStr">
        <is>
          <t>Дмитрий Скрипальщиков, МАРИНА СКРИПАЛЬЩИКОВА</t>
        </is>
      </c>
      <c r="D407" s="3" t="n">
        <v>15890</v>
      </c>
      <c r="E407" s="4" t="n">
        <v>20</v>
      </c>
      <c r="F407" t="inlineStr">
        <is>
          <t>ООО "УК ГЦБ и Т" [Чайковский]</t>
        </is>
      </c>
      <c r="G407" s="3">
        <f>ROUND(D407/(100-E407)*100,2)</f>
        <v/>
      </c>
      <c r="H407" s="5" t="n">
        <v>46267.375</v>
      </c>
      <c r="I407" t="n">
        <v>2</v>
      </c>
      <c r="J407" s="3">
        <f>G407/I407</f>
        <v/>
      </c>
      <c r="K407">
        <f>IF(J407&gt;=5100,"ставка","мин.ставка")</f>
        <v/>
      </c>
      <c r="L407" s="3">
        <f>ROUND(IF(K407="мин.ставка",I407*100,G407/102*2),2)</f>
        <v/>
      </c>
      <c r="M407" s="5" t="n">
        <v>46269.5</v>
      </c>
      <c r="N407" t="inlineStr">
        <is>
          <t>TravelLine CBC</t>
        </is>
      </c>
      <c r="O407" s="2" t="inlineStr">
        <is>
          <t>СТАНДАРТНЫЙ ДВУХМЕСТНЫЙ НОМЕР</t>
        </is>
      </c>
      <c r="P407" s="6" t="n"/>
      <c r="R407" t="inlineStr"/>
      <c r="S407" t="inlineStr">
        <is>
          <t>Тариф с завтраком</t>
        </is>
      </c>
      <c r="T407" t="n">
        <v>17350</v>
      </c>
      <c r="U407" t="n">
        <v>33240</v>
      </c>
    </row>
    <row r="408">
      <c r="A408" t="inlineStr">
        <is>
          <t>20260916-8186-466040322</t>
        </is>
      </c>
      <c r="B408" t="n">
        <v>1</v>
      </c>
      <c r="C408" s="2" t="inlineStr">
        <is>
          <t>Дмитрий Тихомиров</t>
        </is>
      </c>
      <c r="D408" s="3" t="n">
        <v>19920</v>
      </c>
      <c r="E408" s="4" t="n">
        <v>20</v>
      </c>
      <c r="F408" t="inlineStr">
        <is>
          <t>ООО "КОМПАНИЯ БРОНЕВИК" [Чайковский]</t>
        </is>
      </c>
      <c r="G408" s="3">
        <f>ROUND(D408/(100-E408)*100,2)</f>
        <v/>
      </c>
      <c r="H408" s="5" t="n">
        <v>46281.58333333334</v>
      </c>
      <c r="I408" t="n">
        <v>2</v>
      </c>
      <c r="J408" s="3">
        <f>G408/I408</f>
        <v/>
      </c>
      <c r="K408">
        <f>IF(J408&gt;=5100,"ставка","мин.ставка")</f>
        <v/>
      </c>
      <c r="L408" s="3">
        <f>ROUND(IF(K408="мин.ставка",I408*100,G408/102*2),2)</f>
        <v/>
      </c>
      <c r="M408" s="5" t="n">
        <v>46283.5</v>
      </c>
      <c r="N408" t="inlineStr">
        <is>
          <t>TravelLine BR2</t>
        </is>
      </c>
      <c r="O408" s="2" t="inlineStr">
        <is>
          <t>СЕМЕЙНЫЙ НОМЕР КАТЕГОРИИ "СТАНДАРТ" ВТОРОЙ КОРПУС</t>
        </is>
      </c>
      <c r="P408" s="6" t="n"/>
      <c r="R408" t="inlineStr"/>
      <c r="S408" t="inlineStr">
        <is>
          <t>Тариф с завтраком</t>
        </is>
      </c>
      <c r="T408" t="n">
        <v>0</v>
      </c>
      <c r="U408" t="n">
        <v>19920</v>
      </c>
    </row>
    <row r="409">
      <c r="A409" t="inlineStr">
        <is>
          <t>20260728-8186-452916857</t>
        </is>
      </c>
      <c r="B409" t="n">
        <v>1</v>
      </c>
      <c r="C409" s="2" t="inlineStr">
        <is>
          <t>Дмитрий Шкирдов</t>
        </is>
      </c>
      <c r="D409" s="3" t="n">
        <v>6160</v>
      </c>
      <c r="E409" s="4" t="n">
        <v>20</v>
      </c>
      <c r="F409" t="inlineStr">
        <is>
          <t>ООО "УК ГЦБ и Т" [Чайковский]</t>
        </is>
      </c>
      <c r="G409" s="3">
        <f>ROUND(D409/(100-E409)*100,2)</f>
        <v/>
      </c>
      <c r="H409" s="5" t="n">
        <v>46231.58333333334</v>
      </c>
      <c r="I409" t="n">
        <v>1</v>
      </c>
      <c r="J409" s="3">
        <f>G409/I409</f>
        <v/>
      </c>
      <c r="K409">
        <f>IF(J409&gt;=5100,"ставка","мин.ставка")</f>
        <v/>
      </c>
      <c r="L409" s="3">
        <f>ROUND(IF(K409="мин.ставка",I409*100,G409/102*2),2)</f>
        <v/>
      </c>
      <c r="M409" s="5" t="n">
        <v>46232.5</v>
      </c>
      <c r="N409" t="inlineStr">
        <is>
          <t>TravelLine CBC</t>
        </is>
      </c>
      <c r="O409" s="2" t="inlineStr">
        <is>
          <t>СТАНДАРТНЫЙ ОДНОМЕСТНЫЙ НОМЕР</t>
        </is>
      </c>
      <c r="P409" s="6" t="n"/>
      <c r="R409" t="inlineStr"/>
      <c r="S409" t="inlineStr">
        <is>
          <t>Тариф с завтраком</t>
        </is>
      </c>
      <c r="T409" t="n">
        <v>0</v>
      </c>
      <c r="U409" t="n">
        <v>6160</v>
      </c>
    </row>
    <row r="410">
      <c r="A410" t="inlineStr">
        <is>
          <t>20260811-8186-453519352</t>
        </is>
      </c>
      <c r="B410" t="n">
        <v>1</v>
      </c>
      <c r="C410" s="2" t="inlineStr">
        <is>
          <t>Евгений Ванчик</t>
        </is>
      </c>
      <c r="D410" s="3" t="n">
        <v>18614</v>
      </c>
      <c r="E410" s="4" t="n">
        <v>18</v>
      </c>
      <c r="F410" t="inlineStr">
        <is>
          <t>ООО "ТРИВИО СЕРВИС" [Чайковский]</t>
        </is>
      </c>
      <c r="G410" s="3">
        <f>ROUND(D410/(100-E410)*100,2)</f>
        <v/>
      </c>
      <c r="H410" s="5" t="n">
        <v>46245.58333333334</v>
      </c>
      <c r="I410" t="n">
        <v>2</v>
      </c>
      <c r="J410" s="3">
        <f>G410/I410</f>
        <v/>
      </c>
      <c r="K410">
        <f>IF(J410&gt;=5100,"ставка","мин.ставка")</f>
        <v/>
      </c>
      <c r="L410" s="3">
        <f>ROUND(IF(K410="мин.ставка",I410*100,G410/102*2),2)</f>
        <v/>
      </c>
      <c r="M410" s="5" t="n">
        <v>46247.5</v>
      </c>
      <c r="N410" t="inlineStr">
        <is>
          <t>TravelLine TIO</t>
        </is>
      </c>
      <c r="O410" s="2" t="inlineStr">
        <is>
          <t>СТАНДАРТНЫЙ ДВУХМЕСТНЫЙ НОМЕР</t>
        </is>
      </c>
      <c r="P410" s="6" t="n"/>
      <c r="R410" t="inlineStr"/>
      <c r="S410" t="inlineStr">
        <is>
          <t>Тариф с завтраком</t>
        </is>
      </c>
      <c r="T410" t="n">
        <v>0</v>
      </c>
      <c r="U410" t="n">
        <v>18614</v>
      </c>
    </row>
    <row r="411">
      <c r="A411" t="inlineStr">
        <is>
          <t>20260810-8186-456644582</t>
        </is>
      </c>
      <c r="B411" t="n">
        <v>1</v>
      </c>
      <c r="C411" s="2" t="inlineStr">
        <is>
          <t>ЕВГЕНИЙ ВАХРАМЕЕВ</t>
        </is>
      </c>
      <c r="D411" s="3" t="n">
        <v>11600</v>
      </c>
      <c r="E411" s="4" t="n">
        <v>20</v>
      </c>
      <c r="F411" t="inlineStr">
        <is>
          <t>ООО "КОМПАНИЯ БРОНЕВИК" [Чайковский]</t>
        </is>
      </c>
      <c r="G411" s="3">
        <f>ROUND(D411/(100-E411)*100,2)</f>
        <v/>
      </c>
      <c r="H411" s="5" t="n">
        <v>46244.58333333334</v>
      </c>
      <c r="I411" t="n">
        <v>1</v>
      </c>
      <c r="J411" s="3">
        <f>G411/I411</f>
        <v/>
      </c>
      <c r="K411">
        <f>IF(J411&gt;=5100,"ставка","мин.ставка")</f>
        <v/>
      </c>
      <c r="L411" s="3">
        <f>ROUND(IF(K411="мин.ставка",I411*100,G411/102*2),2)</f>
        <v/>
      </c>
      <c r="M411" s="5" t="n">
        <v>46245.5</v>
      </c>
      <c r="N411" t="inlineStr">
        <is>
          <t>TravelLine BR2</t>
        </is>
      </c>
      <c r="O411" s="2" t="inlineStr">
        <is>
          <t>ПОЛУЛЮКС</t>
        </is>
      </c>
      <c r="P411" s="6" t="n"/>
      <c r="R411" t="inlineStr"/>
      <c r="S411" t="inlineStr">
        <is>
          <t>Тариф с завтраком</t>
        </is>
      </c>
      <c r="T411" t="n">
        <v>0</v>
      </c>
      <c r="U411" t="n">
        <v>11600</v>
      </c>
    </row>
    <row r="412">
      <c r="A412" t="inlineStr">
        <is>
          <t>20260728-8186-433948569</t>
        </is>
      </c>
      <c r="B412" t="n">
        <v>1</v>
      </c>
      <c r="C412" s="2" t="inlineStr">
        <is>
          <t>Евгений Гололобов, ЮЛИЯ АНДРЕЕВА, ПЕЛАГЕЯ ГОЛОЛОБОВА</t>
        </is>
      </c>
      <c r="D412" s="3" t="n">
        <v>16991.25</v>
      </c>
      <c r="E412" s="4" t="n">
        <v>4</v>
      </c>
      <c r="F412" t="inlineStr">
        <is>
          <t>TravelLine Booking Engine [Чайковский]</t>
        </is>
      </c>
      <c r="G412" s="3">
        <f>ROUND(D412/(100-E412)*100,2)</f>
        <v/>
      </c>
      <c r="H412" s="5" t="n">
        <v>46231.58333333334</v>
      </c>
      <c r="I412" t="n">
        <v>1</v>
      </c>
      <c r="J412" s="3">
        <f>G412/I412</f>
        <v/>
      </c>
      <c r="K412">
        <f>IF(J412&gt;=5100,"ставка","мин.ставка")</f>
        <v/>
      </c>
      <c r="L412" s="3">
        <f>ROUND(IF(K412="мин.ставка",I412*100,G412/102*2),2)</f>
        <v/>
      </c>
      <c r="M412" s="5" t="n">
        <v>46232.5</v>
      </c>
      <c r="N412" t="inlineStr">
        <is>
          <t>TravelLine сайт</t>
        </is>
      </c>
      <c r="O412" s="2" t="inlineStr">
        <is>
          <t>семейный номер категории "стандарт"</t>
        </is>
      </c>
      <c r="P412" s="6" t="n"/>
      <c r="R412" t="inlineStr"/>
      <c r="S412" t="inlineStr">
        <is>
          <t>Тариф с завтраком</t>
        </is>
      </c>
      <c r="T412" t="n">
        <v>0</v>
      </c>
      <c r="U412" t="n">
        <v>16991.25</v>
      </c>
    </row>
    <row r="413">
      <c r="A413" t="inlineStr">
        <is>
          <t>20260722-8186-451992437</t>
        </is>
      </c>
      <c r="B413" t="n">
        <v>1</v>
      </c>
      <c r="C413" s="2" t="inlineStr">
        <is>
          <t>Евгений Грошев</t>
        </is>
      </c>
      <c r="D413" s="3" t="n">
        <v>7298</v>
      </c>
      <c r="E413" s="4" t="n">
        <v>18</v>
      </c>
      <c r="F413" t="inlineStr">
        <is>
          <t>ООО "Эй энд Эй" [Чайковский]</t>
        </is>
      </c>
      <c r="G413" s="3">
        <f>ROUND(D413/(100-E413)*100,2)</f>
        <v/>
      </c>
      <c r="H413" s="5" t="n">
        <v>46225.58333333334</v>
      </c>
      <c r="I413" t="n">
        <v>1</v>
      </c>
      <c r="J413" s="3">
        <f>G413/I413</f>
        <v/>
      </c>
      <c r="K413">
        <f>IF(J413&gt;=5100,"ставка","мин.ставка")</f>
        <v/>
      </c>
      <c r="L413" s="3">
        <f>ROUND(IF(K413="мин.ставка",I413*100,G413/102*2),2)</f>
        <v/>
      </c>
      <c r="M413" s="5" t="n">
        <v>46226.5</v>
      </c>
      <c r="N413" t="inlineStr">
        <is>
          <t>TravelLine ANA</t>
        </is>
      </c>
      <c r="O413" s="2" t="inlineStr">
        <is>
          <t>СЕМЕЙНЫЙ НОМЕР КАТЕГОРИИ "СТАНДАРТ" ВТОРОЙ КОРПУС</t>
        </is>
      </c>
      <c r="P413" s="6" t="n"/>
      <c r="R413" t="inlineStr"/>
      <c r="S413" t="inlineStr">
        <is>
          <t>Тариф с завтраком</t>
        </is>
      </c>
      <c r="T413" t="n">
        <v>0</v>
      </c>
      <c r="U413" t="n">
        <v>7298</v>
      </c>
    </row>
    <row r="414">
      <c r="A414" t="inlineStr">
        <is>
          <t>20260720-8186-451630545</t>
        </is>
      </c>
      <c r="B414" t="n">
        <v>1</v>
      </c>
      <c r="C414" s="2" t="inlineStr">
        <is>
          <t>Евгений Езеев</t>
        </is>
      </c>
      <c r="D414" s="3" t="n">
        <v>15400</v>
      </c>
      <c r="E414" s="4" t="n">
        <v>0</v>
      </c>
      <c r="F414" t="inlineStr">
        <is>
          <t>Прямые бронирования (стойка) [Чайковский]</t>
        </is>
      </c>
      <c r="G414" s="3">
        <f>ROUND(D414/(100-E414)*100,2)</f>
        <v/>
      </c>
      <c r="H414" s="5" t="n">
        <v>46223.58333333334</v>
      </c>
      <c r="I414" t="n">
        <v>2</v>
      </c>
      <c r="J414" s="3">
        <f>G414/I414</f>
        <v/>
      </c>
      <c r="K414">
        <f>IF(J414&gt;=5100,"ставка","мин.ставка")</f>
        <v/>
      </c>
      <c r="L414" s="3">
        <f>ROUND(IF(K414="мин.ставка",I414*100,G414/102*2),2)</f>
        <v/>
      </c>
      <c r="M414" s="5" t="n">
        <v>46225.5</v>
      </c>
      <c r="N414" t="inlineStr">
        <is>
          <t>TravelLine ресепшн</t>
        </is>
      </c>
      <c r="O414" s="2" t="inlineStr">
        <is>
          <t>СТАНДАРТНЫЙ ОДНОМЕСТНЫЙ НОМЕР</t>
        </is>
      </c>
      <c r="P414" s="6" t="n"/>
      <c r="R414" t="inlineStr"/>
      <c r="S414" t="inlineStr">
        <is>
          <t>Тариф с завтраком</t>
        </is>
      </c>
      <c r="T414" t="n">
        <v>0</v>
      </c>
      <c r="U414" t="n">
        <v>15400</v>
      </c>
    </row>
    <row r="415">
      <c r="A415" t="inlineStr">
        <is>
          <t>20260827-8186-461586024</t>
        </is>
      </c>
      <c r="B415" t="n">
        <v>1</v>
      </c>
      <c r="C415" s="2" t="inlineStr">
        <is>
          <t>Евгений Езеев</t>
        </is>
      </c>
      <c r="D415" s="3" t="n">
        <v>56750</v>
      </c>
      <c r="E415" s="4" t="n">
        <v>0</v>
      </c>
      <c r="F415" t="inlineStr">
        <is>
          <t>Прямые бронирования (стойка) [Чайковский]</t>
        </is>
      </c>
      <c r="G415" s="3">
        <f>ROUND(D415/(100-E415)*100,2)</f>
        <v/>
      </c>
      <c r="H415" s="5" t="n">
        <v>46261.58333333334</v>
      </c>
      <c r="I415" t="n">
        <v>5</v>
      </c>
      <c r="J415" s="3">
        <f>G415/I415</f>
        <v/>
      </c>
      <c r="K415">
        <f>IF(J415&gt;=5100,"ставка","мин.ставка")</f>
        <v/>
      </c>
      <c r="L415" s="3">
        <f>ROUND(IF(K415="мин.ставка",I415*100,G415/102*2),2)</f>
        <v/>
      </c>
      <c r="M415" s="5" t="n">
        <v>46266.5</v>
      </c>
      <c r="N415" t="inlineStr">
        <is>
          <t>TravelLine ресепшн</t>
        </is>
      </c>
      <c r="O415" s="2" t="inlineStr">
        <is>
          <t>СТАНДАРТНЫЙ ДВУХМЕСТНЫЙ НОМЕР</t>
        </is>
      </c>
      <c r="P415" s="6" t="n"/>
      <c r="R415" t="inlineStr"/>
      <c r="S415" t="inlineStr">
        <is>
          <t>Тариф с завтраком</t>
        </is>
      </c>
      <c r="T415" t="n">
        <v>0</v>
      </c>
      <c r="U415" t="n">
        <v>56750</v>
      </c>
    </row>
    <row r="416">
      <c r="A416" t="inlineStr">
        <is>
          <t>20260906-8186-463599556</t>
        </is>
      </c>
      <c r="B416" t="n">
        <v>1</v>
      </c>
      <c r="C416" s="2" t="inlineStr">
        <is>
          <t>Евгений Езеев</t>
        </is>
      </c>
      <c r="D416" s="3" t="n">
        <v>15800</v>
      </c>
      <c r="E416" s="4" t="n">
        <v>0</v>
      </c>
      <c r="F416" t="inlineStr">
        <is>
          <t>Прямые бронирования (стойка) [Чайковский]</t>
        </is>
      </c>
      <c r="G416" s="3">
        <f>ROUND(D416/(100-E416)*100,2)</f>
        <v/>
      </c>
      <c r="H416" s="5" t="n">
        <v>46271.58333333334</v>
      </c>
      <c r="I416" t="n">
        <v>2</v>
      </c>
      <c r="J416" s="3">
        <f>G416/I416</f>
        <v/>
      </c>
      <c r="K416">
        <f>IF(J416&gt;=5100,"ставка","мин.ставка")</f>
        <v/>
      </c>
      <c r="L416" s="3">
        <f>ROUND(IF(K416="мин.ставка",I416*100,G416/102*2),2)</f>
        <v/>
      </c>
      <c r="M416" s="5" t="n">
        <v>46273.5</v>
      </c>
      <c r="N416" t="inlineStr">
        <is>
          <t>TravelLine ресепшн</t>
        </is>
      </c>
      <c r="O416" s="2" t="inlineStr">
        <is>
          <t>УЛУЧШЕННЫЙ ДВУХМЕСТНЫЙ НОМЕР</t>
        </is>
      </c>
      <c r="P416" s="6" t="n"/>
      <c r="R416" t="inlineStr"/>
      <c r="S416" t="inlineStr">
        <is>
          <t>Тариф с завтраком</t>
        </is>
      </c>
      <c r="T416" t="n">
        <v>0</v>
      </c>
      <c r="U416" t="n">
        <v>15800</v>
      </c>
    </row>
    <row r="417">
      <c r="A417" t="inlineStr">
        <is>
          <t>20260723-8186-449923724</t>
        </is>
      </c>
      <c r="B417" t="n">
        <v>1</v>
      </c>
      <c r="C417" s="2" t="inlineStr">
        <is>
          <t>Евгений МИХАЙЛОВ</t>
        </is>
      </c>
      <c r="D417" s="3" t="n">
        <v>7700</v>
      </c>
      <c r="E417" s="4" t="n">
        <v>0</v>
      </c>
      <c r="F417" t="inlineStr">
        <is>
          <t>Прямые бронирования (стойка) [Чайковский]</t>
        </is>
      </c>
      <c r="G417" s="3">
        <f>ROUND(D417/(100-E417)*100,2)</f>
        <v/>
      </c>
      <c r="H417" s="5" t="n">
        <v>46226.58333333334</v>
      </c>
      <c r="I417" t="n">
        <v>1</v>
      </c>
      <c r="J417" s="3">
        <f>G417/I417</f>
        <v/>
      </c>
      <c r="K417">
        <f>IF(J417&gt;=5100,"ставка","мин.ставка")</f>
        <v/>
      </c>
      <c r="L417" s="3">
        <f>ROUND(IF(K417="мин.ставка",I417*100,G417/102*2),2)</f>
        <v/>
      </c>
      <c r="M417" s="5" t="n">
        <v>46227.5</v>
      </c>
      <c r="N417" t="inlineStr">
        <is>
          <t>TravelLine ресепшн</t>
        </is>
      </c>
      <c r="O417" s="2" t="inlineStr">
        <is>
          <t>СТАНДАРТНЫЙ ОДНОМЕСТНЫЙ НОМЕР</t>
        </is>
      </c>
      <c r="P417" s="6" t="n"/>
      <c r="R417" t="inlineStr"/>
      <c r="S417" t="inlineStr">
        <is>
          <t>Тариф с завтраком</t>
        </is>
      </c>
      <c r="T417" t="n">
        <v>0</v>
      </c>
      <c r="U417" t="n">
        <v>7700</v>
      </c>
    </row>
    <row r="418">
      <c r="A418" t="inlineStr">
        <is>
          <t>20260705-8186-444726111</t>
        </is>
      </c>
      <c r="B418" t="n">
        <v>1</v>
      </c>
      <c r="C418" s="2" t="inlineStr">
        <is>
          <t>Евгений МИХАЙЛОВ, Надежда Матвеева</t>
        </is>
      </c>
      <c r="D418" s="3" t="n">
        <v>26700</v>
      </c>
      <c r="E418" s="4" t="n">
        <v>0</v>
      </c>
      <c r="F418" t="inlineStr">
        <is>
          <t>Прямые бронирования (стойка) [Чайковский]</t>
        </is>
      </c>
      <c r="G418" s="3">
        <f>ROUND(D418/(100-E418)*100,2)</f>
        <v/>
      </c>
      <c r="H418" s="5" t="n">
        <v>46208.58333333334</v>
      </c>
      <c r="I418" t="n">
        <v>2</v>
      </c>
      <c r="J418" s="3">
        <f>G418/I418</f>
        <v/>
      </c>
      <c r="K418">
        <f>IF(J418&gt;=5100,"ставка","мин.ставка")</f>
        <v/>
      </c>
      <c r="L418" s="3">
        <f>ROUND(IF(K418="мин.ставка",I418*100,G418/102*2),2)</f>
        <v/>
      </c>
      <c r="M418" s="5" t="n">
        <v>46210.5</v>
      </c>
      <c r="N418" t="inlineStr">
        <is>
          <t>TravelLine ресепшн</t>
        </is>
      </c>
      <c r="O418" s="2" t="inlineStr">
        <is>
          <t>СТАНДАРТНЫЙ ДВУХМЕСТНЫЙ НОМЕР</t>
        </is>
      </c>
      <c r="P418" s="6" t="n"/>
      <c r="R418" t="inlineStr"/>
      <c r="S418" t="inlineStr">
        <is>
          <t>Тариф с завтраком</t>
        </is>
      </c>
      <c r="T418" t="n">
        <v>0</v>
      </c>
      <c r="U418" t="n">
        <v>26700</v>
      </c>
    </row>
    <row r="419">
      <c r="A419" t="inlineStr">
        <is>
          <t>20260814-8186-455467392</t>
        </is>
      </c>
      <c r="B419" t="n">
        <v>1</v>
      </c>
      <c r="C419" s="2" t="inlineStr">
        <is>
          <t>Евгений Рафаилов, Вячеслав Рафаилов</t>
        </is>
      </c>
      <c r="D419" s="3" t="n">
        <v>22161</v>
      </c>
      <c r="E419" s="4" t="n">
        <v>18</v>
      </c>
      <c r="F419" t="inlineStr">
        <is>
          <t>Яндекс.Путешествия [Чайковский]</t>
        </is>
      </c>
      <c r="G419" s="3">
        <f>ROUND(D419/(100-E419)*100,2)</f>
        <v/>
      </c>
      <c r="H419" s="5" t="n">
        <v>46248.58333333334</v>
      </c>
      <c r="I419" t="n">
        <v>2</v>
      </c>
      <c r="J419" s="3">
        <f>G419/I419</f>
        <v/>
      </c>
      <c r="K419">
        <f>IF(J419&gt;=5100,"ставка","мин.ставка")</f>
        <v/>
      </c>
      <c r="L419" s="3">
        <f>ROUND(IF(K419="мин.ставка",I419*100,G419/102*2),2)</f>
        <v/>
      </c>
      <c r="M419" s="5" t="n">
        <v>46250.5</v>
      </c>
      <c r="N419" t="inlineStr">
        <is>
          <t>TravelLine YAX</t>
        </is>
      </c>
      <c r="O419" s="2" t="inlineStr">
        <is>
          <t>СТАНДАРТНЫЙ ДВУХМЕСТНЫЙ НОМЕР</t>
        </is>
      </c>
      <c r="P419" s="6" t="n"/>
      <c r="R419" t="inlineStr"/>
      <c r="S419" t="inlineStr">
        <is>
          <t>Тариф с завтраком</t>
        </is>
      </c>
      <c r="T419" t="n">
        <v>0</v>
      </c>
      <c r="U419" t="n">
        <v>44322</v>
      </c>
    </row>
    <row r="420">
      <c r="A420" t="inlineStr">
        <is>
          <t>20260925-8186-467701142</t>
        </is>
      </c>
      <c r="B420" t="n">
        <v>1</v>
      </c>
      <c r="C420" s="2" t="inlineStr">
        <is>
          <t>Евгений Родионов, Кристина Сокол</t>
        </is>
      </c>
      <c r="D420" s="3" t="n">
        <v>20000</v>
      </c>
      <c r="E420" s="4" t="n">
        <v>20</v>
      </c>
      <c r="F420" t="inlineStr">
        <is>
          <t>ООО «Дубль Гис» (OTELLO) [Чайковский]</t>
        </is>
      </c>
      <c r="G420" s="3">
        <f>ROUND(D420/(100-E420)*100,2)</f>
        <v/>
      </c>
      <c r="H420" s="5" t="n">
        <v>46290.58333333334</v>
      </c>
      <c r="I420" t="n">
        <v>2</v>
      </c>
      <c r="J420" s="3">
        <f>G420/I420</f>
        <v/>
      </c>
      <c r="K420">
        <f>IF(J420&gt;=5100,"ставка","мин.ставка")</f>
        <v/>
      </c>
      <c r="L420" s="3">
        <f>ROUND(IF(K420="мин.ставка",I420*100,G420/102*2),2)</f>
        <v/>
      </c>
      <c r="M420" s="5" t="n">
        <v>46292.5</v>
      </c>
      <c r="N420" t="inlineStr">
        <is>
          <t>TravelLine OL2</t>
        </is>
      </c>
      <c r="O420" s="2" t="inlineStr">
        <is>
          <t>СЕМЕЙНЫЙ НОМЕР КАТЕГОРИИ "СТАНДАРТ" ВТОРОЙ КОРПУС</t>
        </is>
      </c>
      <c r="P420" s="6" t="n"/>
      <c r="R420" t="inlineStr"/>
      <c r="S420" t="inlineStr">
        <is>
          <t>Основной тариф без завтрака</t>
        </is>
      </c>
      <c r="T420" t="n">
        <v>0</v>
      </c>
      <c r="U420" t="n">
        <v>20000</v>
      </c>
    </row>
    <row r="421">
      <c r="A421" t="inlineStr">
        <is>
          <t>20260710-8186-411189660</t>
        </is>
      </c>
      <c r="B421" t="n">
        <v>1</v>
      </c>
      <c r="C421" s="2" t="inlineStr">
        <is>
          <t>Евгений Станчук, Татьяна Станчук</t>
        </is>
      </c>
      <c r="D421" s="3" t="n">
        <v>17533</v>
      </c>
      <c r="E421" s="4" t="n">
        <v>4</v>
      </c>
      <c r="F421" t="inlineStr">
        <is>
          <t>TravelLine Booking Engine [Чайковский]</t>
        </is>
      </c>
      <c r="G421" s="3">
        <f>ROUND(D421/(100-E421)*100,2)</f>
        <v/>
      </c>
      <c r="H421" s="5" t="n">
        <v>46213.58333333334</v>
      </c>
      <c r="I421" t="n">
        <v>1</v>
      </c>
      <c r="J421" s="3">
        <f>G421/I421</f>
        <v/>
      </c>
      <c r="K421">
        <f>IF(J421&gt;=5100,"ставка","мин.ставка")</f>
        <v/>
      </c>
      <c r="L421" s="3">
        <f>ROUND(IF(K421="мин.ставка",I421*100,G421/102*2),2)</f>
        <v/>
      </c>
      <c r="M421" s="5" t="n">
        <v>46214.5</v>
      </c>
      <c r="N421" t="inlineStr">
        <is>
          <t>TravelLine сайт</t>
        </is>
      </c>
      <c r="O421" s="2" t="inlineStr">
        <is>
          <t>ЛЮКС</t>
        </is>
      </c>
      <c r="P421" s="6" t="n"/>
      <c r="R421" t="inlineStr"/>
      <c r="S421" t="inlineStr">
        <is>
          <t>Тариф с завтраком</t>
        </is>
      </c>
      <c r="T421" t="n">
        <v>0</v>
      </c>
      <c r="U421" t="n">
        <v>17533</v>
      </c>
    </row>
    <row r="422">
      <c r="A422" t="inlineStr">
        <is>
          <t>20260922-8186-466786045</t>
        </is>
      </c>
      <c r="B422" t="n">
        <v>1</v>
      </c>
      <c r="C422" s="2" t="inlineStr">
        <is>
          <t>Евгения Бердникова</t>
        </is>
      </c>
      <c r="D422" s="3" t="n">
        <v>9080</v>
      </c>
      <c r="E422" s="4" t="n">
        <v>20</v>
      </c>
      <c r="F422" t="inlineStr">
        <is>
          <t>ООО "КОМПАНИЯ БРОНЕВИК" [Чайковский]</t>
        </is>
      </c>
      <c r="G422" s="3">
        <f>ROUND(D422/(100-E422)*100,2)</f>
        <v/>
      </c>
      <c r="H422" s="5" t="n">
        <v>46287.58333333334</v>
      </c>
      <c r="I422" t="n">
        <v>1</v>
      </c>
      <c r="J422" s="3">
        <f>G422/I422</f>
        <v/>
      </c>
      <c r="K422">
        <f>IF(J422&gt;=5100,"ставка","мин.ставка")</f>
        <v/>
      </c>
      <c r="L422" s="3">
        <f>ROUND(IF(K422="мин.ставка",I422*100,G422/102*2),2)</f>
        <v/>
      </c>
      <c r="M422" s="5" t="n">
        <v>46288.5</v>
      </c>
      <c r="N422" t="inlineStr">
        <is>
          <t>TravelLine BR2</t>
        </is>
      </c>
      <c r="O422" s="2" t="inlineStr">
        <is>
          <t>СТАНДАРТНЫЙ ДВУХМЕСТНЫЙ НОМЕР</t>
        </is>
      </c>
      <c r="P422" s="6" t="n"/>
      <c r="R422" t="inlineStr"/>
      <c r="S422" t="inlineStr">
        <is>
          <t>Тариф с завтраком</t>
        </is>
      </c>
      <c r="T422" t="n">
        <v>0</v>
      </c>
      <c r="U422" t="n">
        <v>9080</v>
      </c>
    </row>
    <row r="423">
      <c r="A423" t="inlineStr">
        <is>
          <t>20260930-8186-462775980</t>
        </is>
      </c>
      <c r="B423" t="n">
        <v>1</v>
      </c>
      <c r="C423" s="2" t="inlineStr">
        <is>
          <t>Евгения Каменщикова, Константин Попов</t>
        </is>
      </c>
      <c r="D423" s="3" t="n">
        <v>20957.5</v>
      </c>
      <c r="E423" s="4" t="n">
        <v>18</v>
      </c>
      <c r="F423" t="inlineStr">
        <is>
          <t>Яндекс.Путешествия [Чайковский]</t>
        </is>
      </c>
      <c r="G423" s="3">
        <f>ROUND(D423/(100-E423)*100,2)</f>
        <v/>
      </c>
      <c r="H423" s="5" t="n">
        <v>46295.58333333334</v>
      </c>
      <c r="I423" t="n">
        <v>2</v>
      </c>
      <c r="J423" s="3">
        <f>G423/I423</f>
        <v/>
      </c>
      <c r="K423">
        <f>IF(J423&gt;=5100,"ставка","мин.ставка")</f>
        <v/>
      </c>
      <c r="L423" s="3">
        <f>ROUND(IF(K423="мин.ставка",I423*100,G423/102*2),2)</f>
        <v/>
      </c>
      <c r="M423" s="5" t="n">
        <v>46297.5</v>
      </c>
      <c r="N423" t="inlineStr">
        <is>
          <t>TravelLine YAX</t>
        </is>
      </c>
      <c r="O423" s="2" t="inlineStr">
        <is>
          <t>СТАНДАРТНЫЙ ДВУХМЕСТНЫЙ НОМЕР</t>
        </is>
      </c>
      <c r="P423" s="6" t="n"/>
      <c r="R423" t="inlineStr"/>
      <c r="S423" t="inlineStr">
        <is>
          <t>Тариф с завтраком</t>
        </is>
      </c>
      <c r="T423" t="n">
        <v>0</v>
      </c>
      <c r="U423" t="n">
        <v>20957.5</v>
      </c>
    </row>
    <row r="424">
      <c r="A424" t="inlineStr">
        <is>
          <t>20260709-8186-415694678</t>
        </is>
      </c>
      <c r="B424" t="n">
        <v>1</v>
      </c>
      <c r="C424" s="2" t="inlineStr">
        <is>
          <t>Евгения Комарова</t>
        </is>
      </c>
      <c r="D424" s="3" t="n">
        <v>25878</v>
      </c>
      <c r="E424" s="4" t="n">
        <v>18</v>
      </c>
      <c r="F424" t="inlineStr">
        <is>
          <t>Яндекс.Путешествия [Чайковский]</t>
        </is>
      </c>
      <c r="G424" s="3">
        <f>ROUND(D424/(100-E424)*100,2)</f>
        <v/>
      </c>
      <c r="H424" s="5" t="n">
        <v>46212.58333333334</v>
      </c>
      <c r="I424" t="n">
        <v>3</v>
      </c>
      <c r="J424" s="3">
        <f>G424/I424</f>
        <v/>
      </c>
      <c r="K424">
        <f>IF(J424&gt;=5100,"ставка","мин.ставка")</f>
        <v/>
      </c>
      <c r="L424" s="3">
        <f>ROUND(IF(K424="мин.ставка",I424*100,G424/102*2),2)</f>
        <v/>
      </c>
      <c r="M424" s="5" t="n">
        <v>46215.5</v>
      </c>
      <c r="N424" t="inlineStr">
        <is>
          <t>TravelLine YAX</t>
        </is>
      </c>
      <c r="O424" s="2" t="inlineStr">
        <is>
          <t>СТАНДАРТНЫЙ ДВУХМЕСТНЫЙ НОМЕР</t>
        </is>
      </c>
      <c r="P424" s="6" t="n"/>
      <c r="R424" t="inlineStr"/>
      <c r="S424" t="inlineStr">
        <is>
          <t>Тариф с завтраком</t>
        </is>
      </c>
      <c r="T424" t="n">
        <v>0</v>
      </c>
      <c r="U424" t="n">
        <v>25878</v>
      </c>
    </row>
    <row r="425">
      <c r="A425" t="inlineStr">
        <is>
          <t>20260823-8186-456417085</t>
        </is>
      </c>
      <c r="B425" t="n">
        <v>1</v>
      </c>
      <c r="C425" s="2" t="inlineStr">
        <is>
          <t>Евгения Мельникова, Кирилл Мельников</t>
        </is>
      </c>
      <c r="D425" s="3" t="n">
        <v>8217</v>
      </c>
      <c r="E425" s="4" t="n">
        <v>17</v>
      </c>
      <c r="F425" t="inlineStr">
        <is>
          <t>ООО «Интернет Трэвел» (OZON) [Чайковский]</t>
        </is>
      </c>
      <c r="G425" s="3">
        <f>ROUND(D425/(100-E425)*100,2)</f>
        <v/>
      </c>
      <c r="H425" s="5" t="n">
        <v>46257.58333333334</v>
      </c>
      <c r="I425" t="n">
        <v>1</v>
      </c>
      <c r="J425" s="3">
        <f>G425/I425</f>
        <v/>
      </c>
      <c r="K425">
        <f>IF(J425&gt;=5100,"ставка","мин.ставка")</f>
        <v/>
      </c>
      <c r="L425" s="3">
        <f>ROUND(IF(K425="мин.ставка",I425*100,G425/102*2),2)</f>
        <v/>
      </c>
      <c r="M425" s="5" t="n">
        <v>46258.5</v>
      </c>
      <c r="N425" t="inlineStr">
        <is>
          <t>TravelLine OZ2</t>
        </is>
      </c>
      <c r="O425" s="2" t="inlineStr">
        <is>
          <t>СТАНДАРТНЫЙ ДВУХМЕСТНЫЙ НОМЕР (МАНСАРДА)</t>
        </is>
      </c>
      <c r="P425" s="6" t="n"/>
      <c r="R425" t="inlineStr"/>
      <c r="S425" t="inlineStr">
        <is>
          <t>Тариф с завтраком</t>
        </is>
      </c>
      <c r="T425" t="n">
        <v>0</v>
      </c>
      <c r="U425" t="n">
        <v>8217</v>
      </c>
    </row>
    <row r="426">
      <c r="A426" t="inlineStr">
        <is>
          <t>20260831-8186-449066045</t>
        </is>
      </c>
      <c r="B426" t="n">
        <v>1</v>
      </c>
      <c r="C426" s="2" t="inlineStr">
        <is>
          <t>Евгения Михеева, Василий Михеев</t>
        </is>
      </c>
      <c r="D426" s="3" t="n">
        <v>42075</v>
      </c>
      <c r="E426" s="4" t="n">
        <v>15</v>
      </c>
      <c r="F426" t="inlineStr">
        <is>
          <t>ООО Тинькофф Путешествия [Чайковский]</t>
        </is>
      </c>
      <c r="G426" s="3">
        <f>ROUND(D426/(100-E426)*100,2)</f>
        <v/>
      </c>
      <c r="H426" s="5" t="n">
        <v>46265.58333333334</v>
      </c>
      <c r="I426" t="n">
        <v>5</v>
      </c>
      <c r="J426" s="3">
        <f>G426/I426</f>
        <v/>
      </c>
      <c r="K426">
        <f>IF(J426&gt;=5100,"ставка","мин.ставка")</f>
        <v/>
      </c>
      <c r="L426" s="3">
        <f>ROUND(IF(K426="мин.ставка",I426*100,G426/102*2),2)</f>
        <v/>
      </c>
      <c r="M426" s="5" t="n">
        <v>46270.5</v>
      </c>
      <c r="N426" t="inlineStr">
        <is>
          <t>TravelLine TNK</t>
        </is>
      </c>
      <c r="O426" s="2" t="inlineStr">
        <is>
          <t>СТАНДАРТНЫЙ ДВУХМЕСТНЫЙ НОМЕР (МАНСАРДА)</t>
        </is>
      </c>
      <c r="P426" s="6" t="n"/>
      <c r="R426" t="inlineStr"/>
      <c r="S426" t="inlineStr">
        <is>
          <t>Тариф с завтраком</t>
        </is>
      </c>
      <c r="T426" t="n">
        <v>0</v>
      </c>
      <c r="U426" t="n">
        <v>42075</v>
      </c>
    </row>
    <row r="427">
      <c r="A427" t="inlineStr">
        <is>
          <t>20260807-8186-456741568</t>
        </is>
      </c>
      <c r="B427" t="n">
        <v>1</v>
      </c>
      <c r="C427" s="2" t="inlineStr">
        <is>
          <t>Егор Михайлов, Инна Михайлова</t>
        </is>
      </c>
      <c r="D427" s="3" t="n">
        <v>13695</v>
      </c>
      <c r="E427" s="4" t="n">
        <v>18</v>
      </c>
      <c r="F427" t="inlineStr">
        <is>
          <t>Яндекс.Путешествия [Чайковский]</t>
        </is>
      </c>
      <c r="G427" s="3">
        <f>ROUND(D427/(100-E427)*100,2)</f>
        <v/>
      </c>
      <c r="H427" s="5" t="n">
        <v>46241.58333333334</v>
      </c>
      <c r="I427" t="n">
        <v>1</v>
      </c>
      <c r="J427" s="3">
        <f>G427/I427</f>
        <v/>
      </c>
      <c r="K427">
        <f>IF(J427&gt;=5100,"ставка","мин.ставка")</f>
        <v/>
      </c>
      <c r="L427" s="3">
        <f>ROUND(IF(K427="мин.ставка",I427*100,G427/102*2),2)</f>
        <v/>
      </c>
      <c r="M427" s="5" t="n">
        <v>46242.5</v>
      </c>
      <c r="N427" t="inlineStr">
        <is>
          <t>TravelLine YAX</t>
        </is>
      </c>
      <c r="O427" s="2" t="inlineStr">
        <is>
          <t>ПОЛУЛЮКС</t>
        </is>
      </c>
      <c r="P427" s="6" t="n"/>
      <c r="R427" t="inlineStr"/>
      <c r="S427" t="inlineStr">
        <is>
          <t>Тариф с завтраком</t>
        </is>
      </c>
      <c r="T427" t="n">
        <v>0</v>
      </c>
      <c r="U427" t="n">
        <v>13695</v>
      </c>
    </row>
    <row r="428">
      <c r="A428" t="inlineStr">
        <is>
          <t>20260723-8186-449878225</t>
        </is>
      </c>
      <c r="B428" t="n">
        <v>1</v>
      </c>
      <c r="C428" s="2" t="inlineStr">
        <is>
          <t>Егор Пожидаев, Олеся Лидле</t>
        </is>
      </c>
      <c r="D428" s="3" t="n">
        <v>35333</v>
      </c>
      <c r="E428" s="4" t="n">
        <v>4</v>
      </c>
      <c r="F428" t="inlineStr">
        <is>
          <t>TravelLine Booking Engine [Чайковский]</t>
        </is>
      </c>
      <c r="G428" s="3">
        <f>ROUND(D428/(100-E428)*100,2)</f>
        <v/>
      </c>
      <c r="H428" s="5" t="n">
        <v>46226.58333333334</v>
      </c>
      <c r="I428" t="n">
        <v>2</v>
      </c>
      <c r="J428" s="3">
        <f>G428/I428</f>
        <v/>
      </c>
      <c r="K428">
        <f>IF(J428&gt;=5100,"ставка","мин.ставка")</f>
        <v/>
      </c>
      <c r="L428" s="3">
        <f>ROUND(IF(K428="мин.ставка",I428*100,G428/102*2),2)</f>
        <v/>
      </c>
      <c r="M428" s="5" t="n">
        <v>46228.5</v>
      </c>
      <c r="N428" t="inlineStr">
        <is>
          <t>TravelLine сайт</t>
        </is>
      </c>
      <c r="O428" s="2" t="inlineStr">
        <is>
          <t>ЛЮКС ВТОРОЙ КОРПУС</t>
        </is>
      </c>
      <c r="P428" s="6" t="n"/>
      <c r="R428" t="inlineStr"/>
      <c r="S428" t="inlineStr">
        <is>
          <t>Тариф с завтраком</t>
        </is>
      </c>
      <c r="T428" t="n">
        <v>0</v>
      </c>
      <c r="U428" t="n">
        <v>35333</v>
      </c>
    </row>
    <row r="429">
      <c r="A429" t="inlineStr">
        <is>
          <t>20260905-8186-454296159</t>
        </is>
      </c>
      <c r="B429" t="n">
        <v>1</v>
      </c>
      <c r="C429" s="2" t="inlineStr">
        <is>
          <t>Егор Яковлев, Дарья Мухина</t>
        </is>
      </c>
      <c r="D429" s="3" t="n">
        <v>52800</v>
      </c>
      <c r="E429" s="4" t="n">
        <v>18</v>
      </c>
      <c r="F429" t="inlineStr">
        <is>
          <t>Яндекс.Путешествия [Чайковский]</t>
        </is>
      </c>
      <c r="G429" s="3">
        <f>ROUND(D429/(100-E429)*100,2)</f>
        <v/>
      </c>
      <c r="H429" s="5" t="n">
        <v>46270.58333333334</v>
      </c>
      <c r="I429" t="n">
        <v>4</v>
      </c>
      <c r="J429" s="3">
        <f>G429/I429</f>
        <v/>
      </c>
      <c r="K429">
        <f>IF(J429&gt;=5100,"ставка","мин.ставка")</f>
        <v/>
      </c>
      <c r="L429" s="3">
        <f>ROUND(IF(K429="мин.ставка",I429*100,G429/102*2),2)</f>
        <v/>
      </c>
      <c r="M429" s="5" t="n">
        <v>46274.5</v>
      </c>
      <c r="N429" t="inlineStr">
        <is>
          <t>TravelLine YAX</t>
        </is>
      </c>
      <c r="O429" s="2" t="inlineStr">
        <is>
          <t>ПОЛУЛЮКС</t>
        </is>
      </c>
      <c r="P429" s="6" t="n"/>
      <c r="R429" t="inlineStr"/>
      <c r="S429" t="inlineStr">
        <is>
          <t>Тариф с завтраком</t>
        </is>
      </c>
      <c r="T429" t="n">
        <v>0</v>
      </c>
      <c r="U429" t="n">
        <v>52800</v>
      </c>
    </row>
    <row r="430">
      <c r="A430" t="inlineStr">
        <is>
          <t>20260819-8186-459277807</t>
        </is>
      </c>
      <c r="B430" t="n">
        <v>1</v>
      </c>
      <c r="C430" s="2" t="inlineStr">
        <is>
          <t>ЕКАТЕРИНА БАСАРАБЕЦ</t>
        </is>
      </c>
      <c r="D430" s="3" t="n">
        <v>9647.5</v>
      </c>
      <c r="E430" s="4" t="n">
        <v>15</v>
      </c>
      <c r="F430" t="inlineStr">
        <is>
          <t>ООО "АКАДЕМ-ОНЛАЙН" [Чайковский]</t>
        </is>
      </c>
      <c r="G430" s="3">
        <f>ROUND(D430/(100-E430)*100,2)</f>
        <v/>
      </c>
      <c r="H430" s="5" t="n">
        <v>46253.58333333334</v>
      </c>
      <c r="I430" t="n">
        <v>1</v>
      </c>
      <c r="J430" s="3">
        <f>G430/I430</f>
        <v/>
      </c>
      <c r="K430">
        <f>IF(J430&gt;=5100,"ставка","мин.ставка")</f>
        <v/>
      </c>
      <c r="L430" s="3">
        <f>ROUND(IF(K430="мин.ставка",I430*100,G430/102*2),2)</f>
        <v/>
      </c>
      <c r="M430" s="5" t="n">
        <v>46254.5</v>
      </c>
      <c r="N430" t="inlineStr">
        <is>
          <t>TravelLine ACS</t>
        </is>
      </c>
      <c r="O430" s="2" t="inlineStr">
        <is>
          <t>СТАНДАРТНЫЙ ДВУХМЕСТНЫЙ НОМЕР</t>
        </is>
      </c>
      <c r="P430" s="6" t="n"/>
      <c r="R430" t="inlineStr"/>
      <c r="S430" t="inlineStr">
        <is>
          <t>Тариф с завтраком</t>
        </is>
      </c>
      <c r="T430" t="n">
        <v>0</v>
      </c>
      <c r="U430" t="n">
        <v>9647.5</v>
      </c>
    </row>
    <row r="431">
      <c r="A431" t="inlineStr">
        <is>
          <t>20260922-8186-459295837</t>
        </is>
      </c>
      <c r="B431" t="n">
        <v>1</v>
      </c>
      <c r="C431" s="2" t="inlineStr">
        <is>
          <t>ЕКАТЕРИНА ЕВТУШЕНКО</t>
        </is>
      </c>
      <c r="D431" s="3" t="n">
        <v>11704</v>
      </c>
      <c r="E431" s="4" t="n">
        <v>18</v>
      </c>
      <c r="F431" t="inlineStr">
        <is>
          <t>Яндекс.Путешествия [Чайковский]</t>
        </is>
      </c>
      <c r="G431" s="3">
        <f>ROUND(D431/(100-E431)*100,2)</f>
        <v/>
      </c>
      <c r="H431" s="5" t="n">
        <v>46287.58333333334</v>
      </c>
      <c r="I431" t="n">
        <v>2</v>
      </c>
      <c r="J431" s="3">
        <f>G431/I431</f>
        <v/>
      </c>
      <c r="K431">
        <f>IF(J431&gt;=5100,"ставка","мин.ставка")</f>
        <v/>
      </c>
      <c r="L431" s="3">
        <f>ROUND(IF(K431="мин.ставка",I431*100,G431/102*2),2)</f>
        <v/>
      </c>
      <c r="M431" s="5" t="n">
        <v>46289.5</v>
      </c>
      <c r="N431" t="inlineStr">
        <is>
          <t>TravelLine YAX</t>
        </is>
      </c>
      <c r="O431" s="2" t="inlineStr">
        <is>
          <t>СТАНДАРТНЫЙ ОДНОМЕСТНЫЙ НОМЕР</t>
        </is>
      </c>
      <c r="P431" s="6" t="n"/>
      <c r="R431" t="inlineStr"/>
      <c r="S431" t="inlineStr">
        <is>
          <t>Тариф с завтраком</t>
        </is>
      </c>
      <c r="T431" t="n">
        <v>0</v>
      </c>
      <c r="U431" t="n">
        <v>11704</v>
      </c>
    </row>
    <row r="432">
      <c r="A432" t="inlineStr">
        <is>
          <t>20260715-8186-423873505</t>
        </is>
      </c>
      <c r="B432" t="n">
        <v>1</v>
      </c>
      <c r="C432" s="2" t="inlineStr">
        <is>
          <t>Екатерина Егорова</t>
        </is>
      </c>
      <c r="D432" s="3" t="n">
        <v>25280</v>
      </c>
      <c r="E432" s="4" t="n">
        <v>18</v>
      </c>
      <c r="F432" t="inlineStr">
        <is>
          <t>Яндекс.Путешествия [Чайковский]</t>
        </is>
      </c>
      <c r="G432" s="3">
        <f>ROUND(D432/(100-E432)*100,2)</f>
        <v/>
      </c>
      <c r="H432" s="5" t="n">
        <v>46218.58333333334</v>
      </c>
      <c r="I432" t="n">
        <v>4</v>
      </c>
      <c r="J432" s="3">
        <f>G432/I432</f>
        <v/>
      </c>
      <c r="K432">
        <f>IF(J432&gt;=5100,"ставка","мин.ставка")</f>
        <v/>
      </c>
      <c r="L432" s="3">
        <f>ROUND(IF(K432="мин.ставка",I432*100,G432/102*2),2)</f>
        <v/>
      </c>
      <c r="M432" s="5" t="n">
        <v>46222.5</v>
      </c>
      <c r="N432" t="inlineStr">
        <is>
          <t>TravelLine YAX</t>
        </is>
      </c>
      <c r="O432" s="2" t="inlineStr">
        <is>
          <t>СТАНДАРТНЫЙ ДВУХМЕСТНЫЙ НОМЕР (МАНСАРДА)</t>
        </is>
      </c>
      <c r="P432" s="6" t="n"/>
      <c r="R432" t="inlineStr"/>
      <c r="S432" t="inlineStr">
        <is>
          <t>Тариф с завтраком</t>
        </is>
      </c>
      <c r="T432" t="n">
        <v>0</v>
      </c>
      <c r="U432" t="n">
        <v>25280</v>
      </c>
    </row>
    <row r="433">
      <c r="A433" t="inlineStr">
        <is>
          <t>20260829-8186-460256896</t>
        </is>
      </c>
      <c r="B433" t="n">
        <v>1</v>
      </c>
      <c r="C433" s="2" t="inlineStr">
        <is>
          <t>ЕКАТЕРИНА ЕГОРОВА</t>
        </is>
      </c>
      <c r="D433" s="3" t="n">
        <v>15555.1</v>
      </c>
      <c r="E433" s="4" t="n">
        <v>4</v>
      </c>
      <c r="F433" t="inlineStr">
        <is>
          <t>TravelLine Booking Engine [Чайковский]</t>
        </is>
      </c>
      <c r="G433" s="3">
        <f>ROUND(D433/(100-E433)*100,2)</f>
        <v/>
      </c>
      <c r="H433" s="5" t="n">
        <v>46263.58333333334</v>
      </c>
      <c r="I433" t="n">
        <v>2</v>
      </c>
      <c r="J433" s="3">
        <f>G433/I433</f>
        <v/>
      </c>
      <c r="K433">
        <f>IF(J433&gt;=5100,"ставка","мин.ставка")</f>
        <v/>
      </c>
      <c r="L433" s="3">
        <f>ROUND(IF(K433="мин.ставка",I433*100,G433/102*2),2)</f>
        <v/>
      </c>
      <c r="M433" s="5" t="n">
        <v>46265.5</v>
      </c>
      <c r="N433" t="inlineStr">
        <is>
          <t>TravelLine сайт</t>
        </is>
      </c>
      <c r="O433" s="2" t="inlineStr">
        <is>
          <t>СТАНДАРТНЫЙ ДВУХМЕСТНЫЙ НОМЕР (МАНСАРДА)</t>
        </is>
      </c>
      <c r="P433" s="6" t="n"/>
      <c r="R433" t="inlineStr"/>
      <c r="S433" t="inlineStr">
        <is>
          <t>Тариф с завтраком</t>
        </is>
      </c>
      <c r="T433" t="n">
        <v>0</v>
      </c>
      <c r="U433" t="n">
        <v>15555.1</v>
      </c>
    </row>
    <row r="434">
      <c r="A434" t="inlineStr">
        <is>
          <t>20260823-8186-457343418</t>
        </is>
      </c>
      <c r="B434" t="n">
        <v>1</v>
      </c>
      <c r="C434" s="2" t="inlineStr">
        <is>
          <t>Екатерина Зайцева, Александр Демидов</t>
        </is>
      </c>
      <c r="D434" s="3" t="n">
        <v>89474</v>
      </c>
      <c r="E434" s="4" t="n">
        <v>17</v>
      </c>
      <c r="F434" t="inlineStr">
        <is>
          <t>ООО «Интернет Трэвел» (OZON) [Чайковский]</t>
        </is>
      </c>
      <c r="G434" s="3">
        <f>ROUND(D434/(100-E434)*100,2)</f>
        <v/>
      </c>
      <c r="H434" s="5" t="n">
        <v>46257.58333333334</v>
      </c>
      <c r="I434" t="n">
        <v>7</v>
      </c>
      <c r="J434" s="3">
        <f>G434/I434</f>
        <v/>
      </c>
      <c r="K434">
        <f>IF(J434&gt;=5100,"ставка","мин.ставка")</f>
        <v/>
      </c>
      <c r="L434" s="3">
        <f>ROUND(IF(K434="мин.ставка",I434*100,G434/102*2),2)</f>
        <v/>
      </c>
      <c r="M434" s="5" t="n">
        <v>46264.5</v>
      </c>
      <c r="N434" t="inlineStr">
        <is>
          <t>TravelLine OZ2</t>
        </is>
      </c>
      <c r="O434" s="2" t="inlineStr">
        <is>
          <t>УЛУЧШЕННЫЙ ДВУХМЕСТНЫЙ НОМЕР</t>
        </is>
      </c>
      <c r="P434" s="6" t="n"/>
      <c r="R434" t="inlineStr"/>
      <c r="S434" t="inlineStr">
        <is>
          <t>Тариф с завтраком</t>
        </is>
      </c>
      <c r="T434" t="n">
        <v>0</v>
      </c>
      <c r="U434" t="n">
        <v>89474</v>
      </c>
    </row>
    <row r="435">
      <c r="A435" t="inlineStr">
        <is>
          <t>20260724-8186-452008771</t>
        </is>
      </c>
      <c r="B435" t="n">
        <v>1</v>
      </c>
      <c r="C435" s="2" t="inlineStr">
        <is>
          <t>Екатерина Закревская</t>
        </is>
      </c>
      <c r="D435" s="3" t="n">
        <v>6160</v>
      </c>
      <c r="E435" s="4" t="n">
        <v>20</v>
      </c>
      <c r="F435" t="inlineStr">
        <is>
          <t>ООО "КОМПАНИЯ БРОНЕВИК" [Чайковский]</t>
        </is>
      </c>
      <c r="G435" s="3">
        <f>ROUND(D435/(100-E435)*100,2)</f>
        <v/>
      </c>
      <c r="H435" s="5" t="n">
        <v>46227.58333333334</v>
      </c>
      <c r="I435" t="n">
        <v>1</v>
      </c>
      <c r="J435" s="3">
        <f>G435/I435</f>
        <v/>
      </c>
      <c r="K435">
        <f>IF(J435&gt;=5100,"ставка","мин.ставка")</f>
        <v/>
      </c>
      <c r="L435" s="3">
        <f>ROUND(IF(K435="мин.ставка",I435*100,G435/102*2),2)</f>
        <v/>
      </c>
      <c r="M435" s="5" t="n">
        <v>46228.5</v>
      </c>
      <c r="N435" t="inlineStr">
        <is>
          <t>TravelLine BR2</t>
        </is>
      </c>
      <c r="O435" s="2" t="inlineStr">
        <is>
          <t>СТАНДАРТНЫЙ ОДНОМЕСТНЫЙ НОМЕР</t>
        </is>
      </c>
      <c r="P435" s="6" t="n"/>
      <c r="R435" t="inlineStr"/>
      <c r="S435" t="inlineStr">
        <is>
          <t>Тариф с завтраком</t>
        </is>
      </c>
      <c r="T435" t="n">
        <v>0</v>
      </c>
      <c r="U435" t="n">
        <v>6160</v>
      </c>
    </row>
    <row r="436">
      <c r="A436" t="inlineStr">
        <is>
          <t>20260707-8186-425680261</t>
        </is>
      </c>
      <c r="B436" t="n">
        <v>1</v>
      </c>
      <c r="C436" s="2" t="inlineStr">
        <is>
          <t>Екатерина Лобанова</t>
        </is>
      </c>
      <c r="D436" s="3" t="n">
        <v>21945</v>
      </c>
      <c r="E436" s="4" t="n">
        <v>17</v>
      </c>
      <c r="F436" t="inlineStr">
        <is>
          <t>ООО "ОНЛАЙН ИННОВАЦИИ" (101 Отель) [Чайковский]</t>
        </is>
      </c>
      <c r="G436" s="3">
        <f>ROUND(D436/(100-E436)*100,2)</f>
        <v/>
      </c>
      <c r="H436" s="5" t="n">
        <v>46210.58333333334</v>
      </c>
      <c r="I436" t="n">
        <v>3</v>
      </c>
      <c r="J436" s="3">
        <f>G436/I436</f>
        <v/>
      </c>
      <c r="K436">
        <f>IF(J436&gt;=5100,"ставка","мин.ставка")</f>
        <v/>
      </c>
      <c r="L436" s="3">
        <f>ROUND(IF(K436="мин.ставка",I436*100,G436/102*2),2)</f>
        <v/>
      </c>
      <c r="M436" s="5" t="n">
        <v>46213.5</v>
      </c>
      <c r="N436" t="inlineStr">
        <is>
          <t>TravelLine H1C</t>
        </is>
      </c>
      <c r="O436" s="2" t="inlineStr">
        <is>
          <t>СТАНДАРТНЫЙ ОДНОМЕСТНЫЙ НОМЕР</t>
        </is>
      </c>
      <c r="P436" s="6" t="n"/>
      <c r="R436" t="inlineStr"/>
      <c r="S436" t="inlineStr">
        <is>
          <t>Тариф с завтраком</t>
        </is>
      </c>
      <c r="T436" t="n">
        <v>0</v>
      </c>
      <c r="U436" t="n">
        <v>21945</v>
      </c>
    </row>
    <row r="437">
      <c r="A437" t="inlineStr">
        <is>
          <t>20260829-8186-459139578</t>
        </is>
      </c>
      <c r="B437" t="n">
        <v>1</v>
      </c>
      <c r="C437" s="2" t="inlineStr">
        <is>
          <t>Екатерина Лотова, константин лотов</t>
        </is>
      </c>
      <c r="D437" s="3" t="n">
        <v>8217</v>
      </c>
      <c r="E437" s="4" t="n">
        <v>18</v>
      </c>
      <c r="F437" t="inlineStr">
        <is>
          <t>Яндекс.Путешествия [Чайковский]</t>
        </is>
      </c>
      <c r="G437" s="3">
        <f>ROUND(D437/(100-E437)*100,2)</f>
        <v/>
      </c>
      <c r="H437" s="5" t="n">
        <v>46263.58333333334</v>
      </c>
      <c r="I437" t="n">
        <v>1</v>
      </c>
      <c r="J437" s="3">
        <f>G437/I437</f>
        <v/>
      </c>
      <c r="K437">
        <f>IF(J437&gt;=5100,"ставка","мин.ставка")</f>
        <v/>
      </c>
      <c r="L437" s="3">
        <f>ROUND(IF(K437="мин.ставка",I437*100,G437/102*2),2)</f>
        <v/>
      </c>
      <c r="M437" s="5" t="n">
        <v>46264.5</v>
      </c>
      <c r="N437" t="inlineStr">
        <is>
          <t>TravelLine YAX</t>
        </is>
      </c>
      <c r="O437" s="2" t="inlineStr">
        <is>
          <t>СТАНДАРТНЫЙ ДВУХМЕСТНЫЙ НОМЕР</t>
        </is>
      </c>
      <c r="P437" s="6" t="n"/>
      <c r="R437" t="inlineStr"/>
      <c r="S437" t="inlineStr">
        <is>
          <t>Тариф с завтраком</t>
        </is>
      </c>
      <c r="T437" t="n">
        <v>0</v>
      </c>
      <c r="U437" t="n">
        <v>8217</v>
      </c>
    </row>
    <row r="438">
      <c r="A438" t="inlineStr">
        <is>
          <t>20260705-8186-445487488</t>
        </is>
      </c>
      <c r="B438" t="n">
        <v>1</v>
      </c>
      <c r="C438" s="2" t="inlineStr">
        <is>
          <t>ЕКАТЕРИНА МАТУСЕВИЧ</t>
        </is>
      </c>
      <c r="D438" s="3" t="n">
        <v>9080</v>
      </c>
      <c r="E438" s="4" t="n">
        <v>20</v>
      </c>
      <c r="F438" t="inlineStr">
        <is>
          <t>ООО "ХБ-ПРО" [Чайковский]</t>
        </is>
      </c>
      <c r="G438" s="3">
        <f>ROUND(D438/(100-E438)*100,2)</f>
        <v/>
      </c>
      <c r="H438" s="5" t="n">
        <v>46208.58333333334</v>
      </c>
      <c r="I438" t="n">
        <v>1</v>
      </c>
      <c r="J438" s="3">
        <f>G438/I438</f>
        <v/>
      </c>
      <c r="K438">
        <f>IF(J438&gt;=5100,"ставка","мин.ставка")</f>
        <v/>
      </c>
      <c r="L438" s="3">
        <f>ROUND(IF(K438="мин.ставка",I438*100,G438/102*2),2)</f>
        <v/>
      </c>
      <c r="M438" s="5" t="n">
        <v>46209.5</v>
      </c>
      <c r="N438" t="inlineStr">
        <is>
          <t>TravelLine UTS</t>
        </is>
      </c>
      <c r="O438" s="2" t="inlineStr">
        <is>
          <t>СТАНДАРТНЫЙ ДВУХМЕСТНЫЙ НОМЕР</t>
        </is>
      </c>
      <c r="P438" s="6" t="n"/>
      <c r="R438" t="inlineStr"/>
      <c r="S438" t="inlineStr">
        <is>
          <t>Тариф с завтраком</t>
        </is>
      </c>
      <c r="T438" t="n">
        <v>0</v>
      </c>
      <c r="U438" t="n">
        <v>9080</v>
      </c>
    </row>
    <row r="439">
      <c r="A439" t="inlineStr">
        <is>
          <t>20260902-8186-461101023</t>
        </is>
      </c>
      <c r="B439" t="n">
        <v>1</v>
      </c>
      <c r="C439" s="2" t="inlineStr">
        <is>
          <t>Екатерина Михалева</t>
        </is>
      </c>
      <c r="D439" s="3" t="n">
        <v>27921</v>
      </c>
      <c r="E439" s="4" t="n">
        <v>18</v>
      </c>
      <c r="F439" t="inlineStr">
        <is>
          <t>ООО "Эй энд Эй" [Чайковский]</t>
        </is>
      </c>
      <c r="G439" s="3">
        <f>ROUND(D439/(100-E439)*100,2)</f>
        <v/>
      </c>
      <c r="H439" s="5" t="n">
        <v>46267.58333333334</v>
      </c>
      <c r="I439" t="n">
        <v>3</v>
      </c>
      <c r="J439" s="3">
        <f>G439/I439</f>
        <v/>
      </c>
      <c r="K439">
        <f>IF(J439&gt;=5100,"ставка","мин.ставка")</f>
        <v/>
      </c>
      <c r="L439" s="3">
        <f>ROUND(IF(K439="мин.ставка",I439*100,G439/102*2),2)</f>
        <v/>
      </c>
      <c r="M439" s="5" t="n">
        <v>46270.5</v>
      </c>
      <c r="N439" t="inlineStr">
        <is>
          <t>TravelLine ANA</t>
        </is>
      </c>
      <c r="O439" s="2" t="inlineStr">
        <is>
          <t>СТАНДАРТНЫЙ ДВУХМЕСТНЫЙ НОМЕР</t>
        </is>
      </c>
      <c r="P439" s="6" t="n"/>
      <c r="R439" t="inlineStr"/>
      <c r="S439" t="inlineStr">
        <is>
          <t>Тариф с завтраком</t>
        </is>
      </c>
      <c r="T439" t="n">
        <v>0</v>
      </c>
      <c r="U439" t="n">
        <v>27921</v>
      </c>
    </row>
    <row r="440">
      <c r="A440" t="inlineStr">
        <is>
          <t>20260914-8186-465905610</t>
        </is>
      </c>
      <c r="B440" t="n">
        <v>1</v>
      </c>
      <c r="C440" s="2" t="inlineStr">
        <is>
          <t>ЕКАТЕРИНА МОЛОДЦОВА</t>
        </is>
      </c>
      <c r="D440" s="3" t="n">
        <v>6545</v>
      </c>
      <c r="E440" s="4" t="n">
        <v>15</v>
      </c>
      <c r="F440" t="inlineStr">
        <is>
          <t>ООО «12Т» (ранее ONE TWO TRIP) [Чайковский]</t>
        </is>
      </c>
      <c r="G440" s="3">
        <f>ROUND(D440/(100-E440)*100,2)</f>
        <v/>
      </c>
      <c r="H440" s="5" t="n">
        <v>46279.58333333334</v>
      </c>
      <c r="I440" t="n">
        <v>1</v>
      </c>
      <c r="J440" s="3">
        <f>G440/I440</f>
        <v/>
      </c>
      <c r="K440">
        <f>IF(J440&gt;=5100,"ставка","мин.ставка")</f>
        <v/>
      </c>
      <c r="L440" s="3">
        <f>ROUND(IF(K440="мин.ставка",I440*100,G440/102*2),2)</f>
        <v/>
      </c>
      <c r="M440" s="5" t="n">
        <v>46280.5</v>
      </c>
      <c r="N440" t="inlineStr">
        <is>
          <t>TravelLine OTT</t>
        </is>
      </c>
      <c r="O440" s="2" t="inlineStr">
        <is>
          <t>СТАНДАРТНЫЙ ОДНОМЕСТНЫЙ НОМЕР</t>
        </is>
      </c>
      <c r="P440" s="6" t="n"/>
      <c r="R440" t="inlineStr"/>
      <c r="S440" t="inlineStr">
        <is>
          <t>Тариф с завтраком</t>
        </is>
      </c>
      <c r="T440" t="n">
        <v>0</v>
      </c>
      <c r="U440" t="n">
        <v>6545</v>
      </c>
    </row>
    <row r="441">
      <c r="A441" t="inlineStr">
        <is>
          <t>20260826-8186-459009003</t>
        </is>
      </c>
      <c r="B441" t="n">
        <v>1</v>
      </c>
      <c r="C441" s="2" t="inlineStr">
        <is>
          <t>Екатерина Назарова</t>
        </is>
      </c>
      <c r="D441" s="3" t="n">
        <v>7584.5</v>
      </c>
      <c r="E441" s="4" t="n">
        <v>4</v>
      </c>
      <c r="F441" t="inlineStr">
        <is>
          <t>TravelLine Booking Engine [Чайковский]</t>
        </is>
      </c>
      <c r="G441" s="3">
        <f>ROUND(D441/(100-E441)*100,2)</f>
        <v/>
      </c>
      <c r="H441" s="5" t="n">
        <v>46260.58333333334</v>
      </c>
      <c r="I441" t="n">
        <v>1</v>
      </c>
      <c r="J441" s="3">
        <f>G441/I441</f>
        <v/>
      </c>
      <c r="K441">
        <f>IF(J441&gt;=5100,"ставка","мин.ставка")</f>
        <v/>
      </c>
      <c r="L441" s="3">
        <f>ROUND(IF(K441="мин.ставка",I441*100,G441/102*2),2)</f>
        <v/>
      </c>
      <c r="M441" s="5" t="n">
        <v>46261.5</v>
      </c>
      <c r="N441" t="inlineStr">
        <is>
          <t>TravelLine сайт</t>
        </is>
      </c>
      <c r="O441" s="2" t="inlineStr">
        <is>
          <t>СТАНДАРТНЫЙ ОДНОМЕСТНЫЙ НОМЕР</t>
        </is>
      </c>
      <c r="P441" s="6" t="n"/>
      <c r="R441" t="inlineStr"/>
      <c r="S441" t="inlineStr">
        <is>
          <t>Тариф с завтраком</t>
        </is>
      </c>
      <c r="T441" t="n">
        <v>0</v>
      </c>
      <c r="U441" t="n">
        <v>7584.5</v>
      </c>
    </row>
    <row r="442">
      <c r="A442" t="inlineStr">
        <is>
          <t>20260710-8186-448939418</t>
        </is>
      </c>
      <c r="B442" t="n">
        <v>1</v>
      </c>
      <c r="C442" s="2" t="inlineStr">
        <is>
          <t>Екатерина Привалова, Семен Лаврин</t>
        </is>
      </c>
      <c r="D442" s="3" t="n">
        <v>8415</v>
      </c>
      <c r="E442" s="4" t="n">
        <v>15</v>
      </c>
      <c r="F442" t="inlineStr">
        <is>
          <t>ООО "БРОНИРОВАНИЕ ГОСТИНИЦ" (OSTROVOK) [Чайковский]</t>
        </is>
      </c>
      <c r="G442" s="3">
        <f>ROUND(D442/(100-E442)*100,2)</f>
        <v/>
      </c>
      <c r="H442" s="5" t="n">
        <v>46213.58333333334</v>
      </c>
      <c r="I442" t="n">
        <v>1</v>
      </c>
      <c r="J442" s="3">
        <f>G442/I442</f>
        <v/>
      </c>
      <c r="K442">
        <f>IF(J442&gt;=5100,"ставка","мин.ставка")</f>
        <v/>
      </c>
      <c r="L442" s="3">
        <f>ROUND(IF(K442="мин.ставка",I442*100,G442/102*2),2)</f>
        <v/>
      </c>
      <c r="M442" s="5" t="n">
        <v>46214.5</v>
      </c>
      <c r="N442" t="inlineStr">
        <is>
          <t>TravelLine OTK</t>
        </is>
      </c>
      <c r="O442" s="2" t="inlineStr">
        <is>
          <t>СТАНДАРТНЫЙ ДВУХМЕСТНЫЙ НОМЕР (МАНСАРДА)</t>
        </is>
      </c>
      <c r="P442" s="6" t="n"/>
      <c r="R442" t="inlineStr"/>
      <c r="S442" t="inlineStr">
        <is>
          <t>Тариф с завтраком</t>
        </is>
      </c>
      <c r="T442" t="n">
        <v>0</v>
      </c>
      <c r="U442" t="n">
        <v>8415</v>
      </c>
    </row>
    <row r="443">
      <c r="A443" t="inlineStr">
        <is>
          <t>20260704-8186-447564209</t>
        </is>
      </c>
      <c r="B443" t="n">
        <v>1</v>
      </c>
      <c r="C443" s="2" t="inlineStr">
        <is>
          <t>ЕКАТЕРИНА ПРОВОЗИНА, ФЁДОР ПРОВОЗИН</t>
        </is>
      </c>
      <c r="D443" s="3" t="n">
        <v>21100</v>
      </c>
      <c r="E443" s="4" t="n">
        <v>18</v>
      </c>
      <c r="F443" t="inlineStr">
        <is>
          <t>Яндекс.Путешествия [Чайковский]</t>
        </is>
      </c>
      <c r="G443" s="3">
        <f>ROUND(D443/(100-E443)*100,2)</f>
        <v/>
      </c>
      <c r="H443" s="5" t="n">
        <v>46207.58333333334</v>
      </c>
      <c r="I443" t="n">
        <v>2</v>
      </c>
      <c r="J443" s="3">
        <f>G443/I443</f>
        <v/>
      </c>
      <c r="K443">
        <f>IF(J443&gt;=5100,"ставка","мин.ставка")</f>
        <v/>
      </c>
      <c r="L443" s="3">
        <f>ROUND(IF(K443="мин.ставка",I443*100,G443/102*2),2)</f>
        <v/>
      </c>
      <c r="M443" s="5" t="n">
        <v>46209.5</v>
      </c>
      <c r="N443" t="inlineStr">
        <is>
          <t>TravelLine YAX</t>
        </is>
      </c>
      <c r="O443" s="2" t="inlineStr">
        <is>
          <t>ПОЛУЛЮКС</t>
        </is>
      </c>
      <c r="P443" s="6" t="n"/>
      <c r="R443" t="inlineStr"/>
      <c r="S443" t="inlineStr">
        <is>
          <t>Основной тариф без завтрака</t>
        </is>
      </c>
      <c r="T443" t="n">
        <v>0</v>
      </c>
      <c r="U443" t="n">
        <v>21100</v>
      </c>
    </row>
    <row r="444">
      <c r="A444" t="inlineStr">
        <is>
          <t>20260902-8186-463011978</t>
        </is>
      </c>
      <c r="B444" t="n">
        <v>1</v>
      </c>
      <c r="C444" s="2" t="inlineStr">
        <is>
          <t>Екатерина Сабайда</t>
        </is>
      </c>
      <c r="D444" s="3" t="n">
        <v>9960</v>
      </c>
      <c r="E444" s="4" t="n">
        <v>18</v>
      </c>
      <c r="F444" t="inlineStr">
        <is>
          <t>Яндекс.Путешествия [Чайковский]</t>
        </is>
      </c>
      <c r="G444" s="3">
        <f>ROUND(D444/(100-E444)*100,2)</f>
        <v/>
      </c>
      <c r="H444" s="5" t="n">
        <v>46267.58333333334</v>
      </c>
      <c r="I444" t="n">
        <v>1</v>
      </c>
      <c r="J444" s="3">
        <f>G444/I444</f>
        <v/>
      </c>
      <c r="K444">
        <f>IF(J444&gt;=5100,"ставка","мин.ставка")</f>
        <v/>
      </c>
      <c r="L444" s="3">
        <f>ROUND(IF(K444="мин.ставка",I444*100,G444/102*2),2)</f>
        <v/>
      </c>
      <c r="M444" s="5" t="n">
        <v>46268.5</v>
      </c>
      <c r="N444" t="inlineStr">
        <is>
          <t>TravelLine YAX</t>
        </is>
      </c>
      <c r="O444" s="2" t="inlineStr">
        <is>
          <t>СЕМЕЙНЫЙ НОМЕР КАТЕГОРИИ "СТАНДАРТ" ВТОРОЙ КОРПУС</t>
        </is>
      </c>
      <c r="P444" s="6" t="n"/>
      <c r="R444" t="inlineStr"/>
      <c r="S444" t="inlineStr">
        <is>
          <t>Тариф с завтраком</t>
        </is>
      </c>
      <c r="T444" t="n">
        <v>0</v>
      </c>
      <c r="U444" t="n">
        <v>9960</v>
      </c>
    </row>
    <row r="445">
      <c r="A445" t="inlineStr">
        <is>
          <t>20260929-8186-468407727</t>
        </is>
      </c>
      <c r="B445" t="n">
        <v>1</v>
      </c>
      <c r="C445" s="2" t="inlineStr">
        <is>
          <t>Екатерина Сабайда</t>
        </is>
      </c>
      <c r="D445" s="3" t="n">
        <v>9080</v>
      </c>
      <c r="E445" s="4" t="n">
        <v>18</v>
      </c>
      <c r="F445" t="inlineStr">
        <is>
          <t>Яндекс.Путешествия [Чайковский]</t>
        </is>
      </c>
      <c r="G445" s="3">
        <f>ROUND(D445/(100-E445)*100,2)</f>
        <v/>
      </c>
      <c r="H445" s="5" t="n">
        <v>46294.58333333334</v>
      </c>
      <c r="I445" t="n">
        <v>1</v>
      </c>
      <c r="J445" s="3">
        <f>G445/I445</f>
        <v/>
      </c>
      <c r="K445">
        <f>IF(J445&gt;=5100,"ставка","мин.ставка")</f>
        <v/>
      </c>
      <c r="L445" s="3">
        <f>ROUND(IF(K445="мин.ставка",I445*100,G445/102*2),2)</f>
        <v/>
      </c>
      <c r="M445" s="5" t="n">
        <v>46295.5</v>
      </c>
      <c r="N445" t="inlineStr">
        <is>
          <t>TravelLine YAX</t>
        </is>
      </c>
      <c r="O445" s="2" t="inlineStr">
        <is>
          <t>СТАНДАРТНЫЙ ДВУХМЕСТНЫЙ НОМЕР</t>
        </is>
      </c>
      <c r="P445" s="6" t="n"/>
      <c r="R445" t="inlineStr"/>
      <c r="S445" t="inlineStr">
        <is>
          <t>Тариф с завтраком</t>
        </is>
      </c>
      <c r="T445" t="n">
        <v>0</v>
      </c>
      <c r="U445" t="n">
        <v>9080</v>
      </c>
    </row>
    <row r="446">
      <c r="A446" t="inlineStr">
        <is>
          <t>20260922-8186-466965314</t>
        </is>
      </c>
      <c r="B446" t="n">
        <v>1</v>
      </c>
      <c r="C446" s="2" t="inlineStr">
        <is>
          <t>Екатерина Склярова</t>
        </is>
      </c>
      <c r="D446" s="3" t="n">
        <v>53550</v>
      </c>
      <c r="E446" s="4" t="n">
        <v>18</v>
      </c>
      <c r="F446" t="inlineStr">
        <is>
          <t>Яндекс.Путешествия [Чайковский]</t>
        </is>
      </c>
      <c r="G446" s="3">
        <f>ROUND(D446/(100-E446)*100,2)</f>
        <v/>
      </c>
      <c r="H446" s="5" t="n">
        <v>46287.58333333334</v>
      </c>
      <c r="I446" t="n">
        <v>6</v>
      </c>
      <c r="J446" s="3">
        <f>G446/I446</f>
        <v/>
      </c>
      <c r="K446">
        <f>IF(J446&gt;=5100,"ставка","мин.ставка")</f>
        <v/>
      </c>
      <c r="L446" s="3">
        <f>ROUND(IF(K446="мин.ставка",I446*100,G446/102*2),2)</f>
        <v/>
      </c>
      <c r="M446" s="5" t="n">
        <v>46293.5</v>
      </c>
      <c r="N446" t="inlineStr">
        <is>
          <t>TravelLine YAX</t>
        </is>
      </c>
      <c r="O446" s="2" t="inlineStr">
        <is>
          <t>УЛУЧШЕННЫЙ ДВУХМЕСТНЫЙ НОМЕР</t>
        </is>
      </c>
      <c r="P446" s="6" t="n"/>
      <c r="R446" t="inlineStr"/>
      <c r="S446" t="inlineStr">
        <is>
          <t>Основной тариф без завтрака</t>
        </is>
      </c>
      <c r="T446" t="n">
        <v>0</v>
      </c>
      <c r="U446" t="n">
        <v>53550</v>
      </c>
    </row>
    <row r="447">
      <c r="A447" t="inlineStr">
        <is>
          <t>20260930-8186-467222109</t>
        </is>
      </c>
      <c r="B447" t="n">
        <v>1</v>
      </c>
      <c r="C447" s="2" t="inlineStr">
        <is>
          <t>ЕКАТЕРИНА СОКОЛОВА, АНДРЕЙ СОКОЛОВ</t>
        </is>
      </c>
      <c r="D447" s="3" t="n">
        <v>17052</v>
      </c>
      <c r="E447" s="4" t="n">
        <v>16</v>
      </c>
      <c r="F447" t="inlineStr">
        <is>
          <t>ООО "БРОНИРОВАНИЕ ГОСТИНИЦ" (OSTROVOK) [Чайковский]</t>
        </is>
      </c>
      <c r="G447" s="3">
        <f>ROUND(D447/(100-E447)*100,2)</f>
        <v/>
      </c>
      <c r="H447" s="5" t="n">
        <v>46295.58333333334</v>
      </c>
      <c r="I447" t="n">
        <v>2</v>
      </c>
      <c r="J447" s="3">
        <f>G447/I447</f>
        <v/>
      </c>
      <c r="K447">
        <f>IF(J447&gt;=5100,"ставка","мин.ставка")</f>
        <v/>
      </c>
      <c r="L447" s="3">
        <f>ROUND(IF(K447="мин.ставка",I447*100,G447/102*2),2)</f>
        <v/>
      </c>
      <c r="M447" s="5" t="n">
        <v>46297.5</v>
      </c>
      <c r="N447" t="inlineStr">
        <is>
          <t>TravelLine OTK</t>
        </is>
      </c>
      <c r="O447" s="2" t="inlineStr">
        <is>
          <t>СТАНДАРТНЫЙ ДВУХМЕСТНЫЙ НОМЕР</t>
        </is>
      </c>
      <c r="P447" s="6" t="n"/>
      <c r="R447" t="inlineStr"/>
      <c r="S447" t="inlineStr">
        <is>
          <t>Основной тариф без завтрака</t>
        </is>
      </c>
      <c r="T447" t="n">
        <v>0</v>
      </c>
      <c r="U447" t="n">
        <v>17052</v>
      </c>
    </row>
    <row r="448">
      <c r="A448" t="inlineStr">
        <is>
          <t>20260729-8186-449842450</t>
        </is>
      </c>
      <c r="B448" t="n">
        <v>1</v>
      </c>
      <c r="C448" s="2" t="inlineStr">
        <is>
          <t>ЕКАТЕРИНА ТИМОФЕЕВА, ДАРЬЯ ТИМОФЕЕВА</t>
        </is>
      </c>
      <c r="D448" s="3" t="n">
        <v>53400</v>
      </c>
      <c r="E448" s="4" t="n">
        <v>0</v>
      </c>
      <c r="F448" t="inlineStr">
        <is>
          <t>Прямые бронирования (стойка) [Чайковский]</t>
        </is>
      </c>
      <c r="G448" s="3">
        <f>ROUND(D448/(100-E448)*100,2)</f>
        <v/>
      </c>
      <c r="H448" s="5" t="n">
        <v>46232.58333333334</v>
      </c>
      <c r="I448" t="n">
        <v>5</v>
      </c>
      <c r="J448" s="3">
        <f>G448/I448</f>
        <v/>
      </c>
      <c r="K448">
        <f>IF(J448&gt;=5100,"ставка","мин.ставка")</f>
        <v/>
      </c>
      <c r="L448" s="3">
        <f>ROUND(IF(K448="мин.ставка",I448*100,G448/102*2),2)</f>
        <v/>
      </c>
      <c r="M448" s="5" t="n">
        <v>46237.5</v>
      </c>
      <c r="N448" t="inlineStr">
        <is>
          <t>TravelLine ресепшн</t>
        </is>
      </c>
      <c r="O448" s="2" t="inlineStr">
        <is>
          <t>СТАНДАРТНЫЙ ДВУХМЕСТНЫЙ НОМЕР</t>
        </is>
      </c>
      <c r="P448" s="6" t="n"/>
      <c r="R448" t="inlineStr"/>
      <c r="S448" t="inlineStr">
        <is>
          <t>Тариф с завтраком</t>
        </is>
      </c>
      <c r="T448" t="n">
        <v>0</v>
      </c>
      <c r="U448" t="n">
        <v>53400</v>
      </c>
    </row>
    <row r="449">
      <c r="A449" t="inlineStr">
        <is>
          <t>20260918-8186-466279182</t>
        </is>
      </c>
      <c r="B449" t="n">
        <v>1</v>
      </c>
      <c r="C449" s="2" t="inlineStr">
        <is>
          <t>ЕЛЕНА АНДРЕЕВА</t>
        </is>
      </c>
      <c r="D449" s="3" t="n">
        <v>7700</v>
      </c>
      <c r="E449" s="4" t="n">
        <v>0</v>
      </c>
      <c r="F449" t="inlineStr">
        <is>
          <t>Прямые бронирования (стойка) [Чайковский]</t>
        </is>
      </c>
      <c r="G449" s="3">
        <f>ROUND(D449/(100-E449)*100,2)</f>
        <v/>
      </c>
      <c r="H449" s="5" t="n">
        <v>46283.58333333334</v>
      </c>
      <c r="I449" t="n">
        <v>1</v>
      </c>
      <c r="J449" s="3">
        <f>G449/I449</f>
        <v/>
      </c>
      <c r="K449">
        <f>IF(J449&gt;=5100,"ставка","мин.ставка")</f>
        <v/>
      </c>
      <c r="L449" s="3">
        <f>ROUND(IF(K449="мин.ставка",I449*100,G449/102*2),2)</f>
        <v/>
      </c>
      <c r="M449" s="5" t="n">
        <v>46284.5</v>
      </c>
      <c r="N449" t="inlineStr">
        <is>
          <t>TravelLine ресепшн</t>
        </is>
      </c>
      <c r="O449" s="2" t="inlineStr">
        <is>
          <t>СТАНДАРТНЫЙ ОДНОМЕСТНЫЙ НОМЕР</t>
        </is>
      </c>
      <c r="P449" s="6" t="n"/>
      <c r="R449" t="inlineStr"/>
      <c r="S449" t="inlineStr">
        <is>
          <t>Тариф с завтраком</t>
        </is>
      </c>
      <c r="T449" t="n">
        <v>0</v>
      </c>
      <c r="U449" t="n">
        <v>7700</v>
      </c>
    </row>
    <row r="450">
      <c r="A450" t="inlineStr">
        <is>
          <t>20260710-8186-443713905</t>
        </is>
      </c>
      <c r="B450" t="n">
        <v>1</v>
      </c>
      <c r="C450" s="2" t="inlineStr">
        <is>
          <t>Елена Веретенина</t>
        </is>
      </c>
      <c r="D450" s="3" t="n">
        <v>38261.3</v>
      </c>
      <c r="E450" s="4" t="n">
        <v>4</v>
      </c>
      <c r="F450" t="inlineStr">
        <is>
          <t>TravelLine Booking Engine [Чайковский]</t>
        </is>
      </c>
      <c r="G450" s="3">
        <f>ROUND(D450/(100-E450)*100,2)</f>
        <v/>
      </c>
      <c r="H450" s="5" t="n">
        <v>46213.58333333334</v>
      </c>
      <c r="I450" t="n">
        <v>5</v>
      </c>
      <c r="J450" s="3">
        <f>G450/I450</f>
        <v/>
      </c>
      <c r="K450">
        <f>IF(J450&gt;=5100,"ставка","мин.ставка")</f>
        <v/>
      </c>
      <c r="L450" s="3">
        <f>ROUND(IF(K450="мин.ставка",I450*100,G450/102*2),2)</f>
        <v/>
      </c>
      <c r="M450" s="5" t="n">
        <v>46218.5</v>
      </c>
      <c r="N450" t="inlineStr">
        <is>
          <t>TravelLine сайт</t>
        </is>
      </c>
      <c r="O450" s="2" t="inlineStr">
        <is>
          <t>СТАНДАРТНЫЙ ОДНОМЕСТНЫЙ НОМЕР</t>
        </is>
      </c>
      <c r="P450" s="6" t="n"/>
      <c r="R450" t="inlineStr"/>
      <c r="S450" t="inlineStr">
        <is>
          <t>Тариф с завтраком</t>
        </is>
      </c>
      <c r="T450" t="n">
        <v>0</v>
      </c>
      <c r="U450" t="n">
        <v>38261.3</v>
      </c>
    </row>
    <row r="451">
      <c r="A451" t="inlineStr">
        <is>
          <t>20260819-8186-409104448</t>
        </is>
      </c>
      <c r="B451" t="n">
        <v>1</v>
      </c>
      <c r="C451" s="2" t="inlineStr">
        <is>
          <t>Елена Гончарова, Варвара Гонсарова</t>
        </is>
      </c>
      <c r="D451" s="3" t="n">
        <v>24354</v>
      </c>
      <c r="E451" s="4" t="n">
        <v>18</v>
      </c>
      <c r="F451" t="inlineStr">
        <is>
          <t>Яндекс.Путешествия [Чайковский]</t>
        </is>
      </c>
      <c r="G451" s="3">
        <f>ROUND(D451/(100-E451)*100,2)</f>
        <v/>
      </c>
      <c r="H451" s="5" t="n">
        <v>46253.58333333334</v>
      </c>
      <c r="I451" t="n">
        <v>3</v>
      </c>
      <c r="J451" s="3">
        <f>G451/I451</f>
        <v/>
      </c>
      <c r="K451">
        <f>IF(J451&gt;=5100,"ставка","мин.ставка")</f>
        <v/>
      </c>
      <c r="L451" s="3">
        <f>ROUND(IF(K451="мин.ставка",I451*100,G451/102*2),2)</f>
        <v/>
      </c>
      <c r="M451" s="5" t="n">
        <v>46256.58333333334</v>
      </c>
      <c r="N451" t="inlineStr">
        <is>
          <t>TravelLine YAX</t>
        </is>
      </c>
      <c r="O451" s="2" t="inlineStr">
        <is>
          <t>СТАНДАРТНЫЙ ДВУХМЕСТНЫЙ НОМЕР (МАНСАРДА)</t>
        </is>
      </c>
      <c r="P451" s="6" t="n"/>
      <c r="R451" t="inlineStr"/>
      <c r="S451" t="inlineStr">
        <is>
          <t>Тариф с завтраком</t>
        </is>
      </c>
      <c r="T451" t="n">
        <v>0</v>
      </c>
      <c r="U451" t="n">
        <v>32472</v>
      </c>
    </row>
    <row r="452">
      <c r="A452" t="inlineStr">
        <is>
          <t>20260819-8186-409104448</t>
        </is>
      </c>
      <c r="B452" t="n">
        <v>1</v>
      </c>
      <c r="C452" s="2" t="inlineStr">
        <is>
          <t>Елена Гончарова, Варвара Гонсарова</t>
        </is>
      </c>
      <c r="D452" s="3" t="n">
        <v>8118</v>
      </c>
      <c r="E452" s="4" t="n">
        <v>18</v>
      </c>
      <c r="F452" t="inlineStr">
        <is>
          <t>Яндекс.Путешествия [Чайковский]</t>
        </is>
      </c>
      <c r="G452" s="3">
        <f>ROUND(D452/(100-E452)*100,2)</f>
        <v/>
      </c>
      <c r="H452" s="5" t="n">
        <v>46256.58333333334</v>
      </c>
      <c r="I452" t="n">
        <v>1</v>
      </c>
      <c r="J452" s="3">
        <f>G452/I452</f>
        <v/>
      </c>
      <c r="K452">
        <f>IF(J452&gt;=5100,"ставка","мин.ставка")</f>
        <v/>
      </c>
      <c r="L452" s="3">
        <f>ROUND(IF(K452="мин.ставка",I452*100,G452/102*2),2)</f>
        <v/>
      </c>
      <c r="M452" s="5" t="n">
        <v>46257.5</v>
      </c>
      <c r="N452" t="inlineStr">
        <is>
          <t>TravelLine YAX</t>
        </is>
      </c>
      <c r="O452" s="2" t="inlineStr">
        <is>
          <t>СТАНДАРТНЫЙ ДВУХМЕСТНЫЙ НОМЕР (МАНСАРДА)</t>
        </is>
      </c>
      <c r="P452" s="6" t="n"/>
      <c r="R452" t="inlineStr"/>
      <c r="S452" t="inlineStr">
        <is>
          <t>Тариф с завтраком</t>
        </is>
      </c>
      <c r="T452" t="n">
        <v>0</v>
      </c>
      <c r="U452" t="n">
        <v>32472</v>
      </c>
    </row>
    <row r="453">
      <c r="A453" t="inlineStr">
        <is>
          <t>20260711-8186-428820979</t>
        </is>
      </c>
      <c r="B453" t="n">
        <v>1</v>
      </c>
      <c r="C453" s="2" t="inlineStr">
        <is>
          <t>Елена Губарева, Любовь Балинова</t>
        </is>
      </c>
      <c r="D453" s="3" t="n">
        <v>10680</v>
      </c>
      <c r="E453" s="4" t="n">
        <v>18</v>
      </c>
      <c r="F453" t="inlineStr">
        <is>
          <t>Яндекс.Путешествия [Чайковский]</t>
        </is>
      </c>
      <c r="G453" s="3">
        <f>ROUND(D453/(100-E453)*100,2)</f>
        <v/>
      </c>
      <c r="H453" s="5" t="n">
        <v>46214.58333333334</v>
      </c>
      <c r="I453" t="n">
        <v>1</v>
      </c>
      <c r="J453" s="3">
        <f>G453/I453</f>
        <v/>
      </c>
      <c r="K453">
        <f>IF(J453&gt;=5100,"ставка","мин.ставка")</f>
        <v/>
      </c>
      <c r="L453" s="3">
        <f>ROUND(IF(K453="мин.ставка",I453*100,G453/102*2),2)</f>
        <v/>
      </c>
      <c r="M453" s="5" t="n">
        <v>46215.5</v>
      </c>
      <c r="N453" t="inlineStr">
        <is>
          <t>TravelLine YAX</t>
        </is>
      </c>
      <c r="O453" s="2" t="inlineStr">
        <is>
          <t>СТАНДАРТНЫЙ ДВУХМЕСТНЫЙ НОМЕР</t>
        </is>
      </c>
      <c r="P453" s="6" t="n"/>
      <c r="R453" t="inlineStr"/>
      <c r="S453" t="inlineStr">
        <is>
          <t>Тариф с завтраком</t>
        </is>
      </c>
      <c r="T453" t="n">
        <v>0</v>
      </c>
      <c r="U453" t="n">
        <v>10680</v>
      </c>
    </row>
    <row r="454">
      <c r="A454" t="inlineStr">
        <is>
          <t>20260912-8186-460335116</t>
        </is>
      </c>
      <c r="B454" t="n">
        <v>1</v>
      </c>
      <c r="C454" s="2" t="inlineStr">
        <is>
          <t>Елена Денисова, Марина Сергиенко</t>
        </is>
      </c>
      <c r="D454" s="3" t="n">
        <v>10680</v>
      </c>
      <c r="E454" s="4" t="n">
        <v>18</v>
      </c>
      <c r="F454" t="inlineStr">
        <is>
          <t>Яндекс.Путешествия [Чайковский]</t>
        </is>
      </c>
      <c r="G454" s="3">
        <f>ROUND(D454/(100-E454)*100,2)</f>
        <v/>
      </c>
      <c r="H454" s="5" t="n">
        <v>46277.58333333334</v>
      </c>
      <c r="I454" t="n">
        <v>1</v>
      </c>
      <c r="J454" s="3">
        <f>G454/I454</f>
        <v/>
      </c>
      <c r="K454">
        <f>IF(J454&gt;=5100,"ставка","мин.ставка")</f>
        <v/>
      </c>
      <c r="L454" s="3">
        <f>ROUND(IF(K454="мин.ставка",I454*100,G454/102*2),2)</f>
        <v/>
      </c>
      <c r="M454" s="5" t="n">
        <v>46278.5</v>
      </c>
      <c r="N454" t="inlineStr">
        <is>
          <t>TravelLine YAX</t>
        </is>
      </c>
      <c r="O454" s="2" t="inlineStr">
        <is>
          <t>УЛУЧШЕННЫЙ ДВУХМЕСТНЫЙ НОМЕР</t>
        </is>
      </c>
      <c r="P454" s="6" t="n"/>
      <c r="R454" t="inlineStr"/>
      <c r="S454" t="inlineStr">
        <is>
          <t>Тариф с завтраком</t>
        </is>
      </c>
      <c r="T454" t="n">
        <v>2050</v>
      </c>
      <c r="U454" t="n">
        <v>12730</v>
      </c>
    </row>
    <row r="455">
      <c r="A455" t="inlineStr">
        <is>
          <t>20260830-8186-461554904</t>
        </is>
      </c>
      <c r="B455" t="n">
        <v>1</v>
      </c>
      <c r="C455" s="2" t="inlineStr">
        <is>
          <t>Елена Додонова</t>
        </is>
      </c>
      <c r="D455" s="3" t="n">
        <v>12640</v>
      </c>
      <c r="E455" s="4" t="n">
        <v>20</v>
      </c>
      <c r="F455" t="inlineStr">
        <is>
          <t>ООО "КОМПАНИЯ БРОНЕВИК" [Чайковский]</t>
        </is>
      </c>
      <c r="G455" s="3">
        <f>ROUND(D455/(100-E455)*100,2)</f>
        <v/>
      </c>
      <c r="H455" s="5" t="n">
        <v>46264.58333333334</v>
      </c>
      <c r="I455" t="n">
        <v>2</v>
      </c>
      <c r="J455" s="3">
        <f>G455/I455</f>
        <v/>
      </c>
      <c r="K455">
        <f>IF(J455&gt;=5100,"ставка","мин.ставка")</f>
        <v/>
      </c>
      <c r="L455" s="3">
        <f>ROUND(IF(K455="мин.ставка",I455*100,G455/102*2),2)</f>
        <v/>
      </c>
      <c r="M455" s="5" t="n">
        <v>46266.5</v>
      </c>
      <c r="N455" t="inlineStr">
        <is>
          <t>TravelLine BR2</t>
        </is>
      </c>
      <c r="O455" s="2" t="inlineStr">
        <is>
          <t>СТАНДАРТНЫЙ ДВУХМЕСТНЫЙ НОМЕР</t>
        </is>
      </c>
      <c r="P455" s="6" t="n"/>
      <c r="R455" t="inlineStr"/>
      <c r="S455" t="inlineStr">
        <is>
          <t>Тариф с завтраком</t>
        </is>
      </c>
      <c r="T455" t="n">
        <v>0</v>
      </c>
      <c r="U455" t="n">
        <v>12640</v>
      </c>
    </row>
    <row r="456">
      <c r="A456" t="inlineStr">
        <is>
          <t>20260806-8186-450640950</t>
        </is>
      </c>
      <c r="B456" t="n">
        <v>1</v>
      </c>
      <c r="C456" s="2" t="inlineStr">
        <is>
          <t>ЕЛЕНА ЖУЧКОВА</t>
        </is>
      </c>
      <c r="D456" s="3" t="n">
        <v>28942.5</v>
      </c>
      <c r="E456" s="4" t="n">
        <v>15</v>
      </c>
      <c r="F456" t="inlineStr">
        <is>
          <t>ООО «12Т» (ранее ONE TWO TRIP) [Чайковский]</t>
        </is>
      </c>
      <c r="G456" s="3">
        <f>ROUND(D456/(100-E456)*100,2)</f>
        <v/>
      </c>
      <c r="H456" s="5" t="n">
        <v>46240.58333333334</v>
      </c>
      <c r="I456" t="n">
        <v>3</v>
      </c>
      <c r="J456" s="3">
        <f>G456/I456</f>
        <v/>
      </c>
      <c r="K456">
        <f>IF(J456&gt;=5100,"ставка","мин.ставка")</f>
        <v/>
      </c>
      <c r="L456" s="3">
        <f>ROUND(IF(K456="мин.ставка",I456*100,G456/102*2),2)</f>
        <v/>
      </c>
      <c r="M456" s="5" t="n">
        <v>46243.5</v>
      </c>
      <c r="N456" t="inlineStr">
        <is>
          <t>TravelLine OTT</t>
        </is>
      </c>
      <c r="O456" s="2" t="inlineStr">
        <is>
          <t>СТАНДАРТНЫЙ ДВУХМЕСТНЫЙ НОМЕР</t>
        </is>
      </c>
      <c r="P456" s="6" t="n"/>
      <c r="R456" t="inlineStr"/>
      <c r="S456" t="inlineStr">
        <is>
          <t>Тариф с завтраком</t>
        </is>
      </c>
      <c r="T456" t="n">
        <v>0</v>
      </c>
      <c r="U456" t="n">
        <v>86827.5</v>
      </c>
    </row>
    <row r="457">
      <c r="A457" t="inlineStr">
        <is>
          <t>20260916-8186-460139143</t>
        </is>
      </c>
      <c r="B457" t="n">
        <v>1</v>
      </c>
      <c r="C457" s="2" t="inlineStr">
        <is>
          <t>ЕЛЕНА ЗАДНЕПРОВСКАЯ</t>
        </is>
      </c>
      <c r="D457" s="3" t="n">
        <v>9080</v>
      </c>
      <c r="E457" s="4" t="n">
        <v>20</v>
      </c>
      <c r="F457" t="inlineStr">
        <is>
          <t>ООО "ХБ-ПРО" [Чайковский]</t>
        </is>
      </c>
      <c r="G457" s="3">
        <f>ROUND(D457/(100-E457)*100,2)</f>
        <v/>
      </c>
      <c r="H457" s="5" t="n">
        <v>46281.58333333334</v>
      </c>
      <c r="I457" t="n">
        <v>1</v>
      </c>
      <c r="J457" s="3">
        <f>G457/I457</f>
        <v/>
      </c>
      <c r="K457">
        <f>IF(J457&gt;=5100,"ставка","мин.ставка")</f>
        <v/>
      </c>
      <c r="L457" s="3">
        <f>ROUND(IF(K457="мин.ставка",I457*100,G457/102*2),2)</f>
        <v/>
      </c>
      <c r="M457" s="5" t="n">
        <v>46282.5</v>
      </c>
      <c r="N457" t="inlineStr">
        <is>
          <t>TravelLine UTS</t>
        </is>
      </c>
      <c r="O457" s="2" t="inlineStr">
        <is>
          <t>СТАНДАРТНЫЙ ДВУХМЕСТНЫЙ НОМЕР</t>
        </is>
      </c>
      <c r="P457" s="6" t="n"/>
      <c r="R457" t="inlineStr"/>
      <c r="S457" t="inlineStr">
        <is>
          <t>Тариф с завтраком</t>
        </is>
      </c>
      <c r="T457" t="n">
        <v>0</v>
      </c>
      <c r="U457" t="n">
        <v>9080</v>
      </c>
    </row>
    <row r="458">
      <c r="A458" t="inlineStr">
        <is>
          <t>20260908-8186-461882753</t>
        </is>
      </c>
      <c r="B458" t="n">
        <v>1</v>
      </c>
      <c r="C458" s="2" t="inlineStr">
        <is>
          <t>Елена Иготти, АНТОН БОРИСЕНКО</t>
        </is>
      </c>
      <c r="D458" s="3" t="n">
        <v>57782.5</v>
      </c>
      <c r="E458" s="4" t="n">
        <v>4</v>
      </c>
      <c r="F458" t="inlineStr">
        <is>
          <t>TravelLine Booking Engine [Чайковский]</t>
        </is>
      </c>
      <c r="G458" s="3">
        <f>ROUND(D458/(100-E458)*100,2)</f>
        <v/>
      </c>
      <c r="H458" s="5" t="n">
        <v>46273.83333333334</v>
      </c>
      <c r="I458" t="n">
        <v>4</v>
      </c>
      <c r="J458" s="3">
        <f>G458/I458</f>
        <v/>
      </c>
      <c r="K458">
        <f>IF(J458&gt;=5100,"ставка","мин.ставка")</f>
        <v/>
      </c>
      <c r="L458" s="3">
        <f>ROUND(IF(K458="мин.ставка",I458*100,G458/102*2),2)</f>
        <v/>
      </c>
      <c r="M458" s="5" t="n">
        <v>46277.5</v>
      </c>
      <c r="N458" t="inlineStr">
        <is>
          <t>TravelLine сайт</t>
        </is>
      </c>
      <c r="O458" s="2" t="inlineStr">
        <is>
          <t>ЛЮКС ВТОРОЙ КОРПУС</t>
        </is>
      </c>
      <c r="P458" s="6" t="n"/>
      <c r="R458" t="inlineStr"/>
      <c r="S458" t="inlineStr">
        <is>
          <t>Основной тариф без завтрака</t>
        </is>
      </c>
      <c r="T458" t="n">
        <v>0</v>
      </c>
      <c r="U458" t="n">
        <v>57782.5</v>
      </c>
    </row>
    <row r="459">
      <c r="A459" t="inlineStr">
        <is>
          <t>20260717-8186-428675584</t>
        </is>
      </c>
      <c r="B459" t="n">
        <v>1</v>
      </c>
      <c r="C459" s="2" t="inlineStr">
        <is>
          <t>Елена Казаченко, Вера Казаченко</t>
        </is>
      </c>
      <c r="D459" s="3" t="n">
        <v>36960</v>
      </c>
      <c r="E459" s="4" t="n">
        <v>18</v>
      </c>
      <c r="F459" t="inlineStr">
        <is>
          <t>Яндекс.Путешествия [Чайковский]</t>
        </is>
      </c>
      <c r="G459" s="3">
        <f>ROUND(D459/(100-E459)*100,2)</f>
        <v/>
      </c>
      <c r="H459" s="5" t="n">
        <v>46220.58333333334</v>
      </c>
      <c r="I459" t="n">
        <v>3</v>
      </c>
      <c r="J459" s="3">
        <f>G459/I459</f>
        <v/>
      </c>
      <c r="K459">
        <f>IF(J459&gt;=5100,"ставка","мин.ставка")</f>
        <v/>
      </c>
      <c r="L459" s="3">
        <f>ROUND(IF(K459="мин.ставка",I459*100,G459/102*2),2)</f>
        <v/>
      </c>
      <c r="M459" s="5" t="n">
        <v>46223.5</v>
      </c>
      <c r="N459" t="inlineStr">
        <is>
          <t>TravelLine YAX</t>
        </is>
      </c>
      <c r="O459" s="2" t="inlineStr">
        <is>
          <t>УЛУЧШЕННЫЙ ДВУХМЕСТНЫЙ НОМЕР</t>
        </is>
      </c>
      <c r="P459" s="6" t="n"/>
      <c r="R459" t="inlineStr"/>
      <c r="S459" t="inlineStr">
        <is>
          <t>Тариф с завтраком</t>
        </is>
      </c>
      <c r="T459" t="n">
        <v>0</v>
      </c>
      <c r="U459" t="n">
        <v>36960</v>
      </c>
    </row>
    <row r="460">
      <c r="A460" t="inlineStr">
        <is>
          <t>20260802-8186-452038545</t>
        </is>
      </c>
      <c r="B460" t="n">
        <v>1</v>
      </c>
      <c r="C460" s="2" t="inlineStr">
        <is>
          <t>Елена Комова, МАРИЯ ДЬЯЧЕНКО</t>
        </is>
      </c>
      <c r="D460" s="3" t="n">
        <v>39600</v>
      </c>
      <c r="E460" s="4" t="n">
        <v>0</v>
      </c>
      <c r="F460" t="inlineStr">
        <is>
          <t>Прямые бронирования (стойка) [Чайковский]</t>
        </is>
      </c>
      <c r="G460" s="3">
        <f>ROUND(D460/(100-E460)*100,2)</f>
        <v/>
      </c>
      <c r="H460" s="5" t="n">
        <v>46236.58333333334</v>
      </c>
      <c r="I460" t="n">
        <v>3</v>
      </c>
      <c r="J460" s="3">
        <f>G460/I460</f>
        <v/>
      </c>
      <c r="K460">
        <f>IF(J460&gt;=5100,"ставка","мин.ставка")</f>
        <v/>
      </c>
      <c r="L460" s="3">
        <f>ROUND(IF(K460="мин.ставка",I460*100,G460/102*2),2)</f>
        <v/>
      </c>
      <c r="M460" s="5" t="n">
        <v>46239.5</v>
      </c>
      <c r="N460" t="inlineStr">
        <is>
          <t>TravelLine ресепшн</t>
        </is>
      </c>
      <c r="O460" s="2" t="inlineStr">
        <is>
          <t>ПОЛУЛЮКС</t>
        </is>
      </c>
      <c r="P460" s="6" t="n"/>
      <c r="R460" t="inlineStr"/>
      <c r="S460" t="inlineStr">
        <is>
          <t>Тариф с завтраком</t>
        </is>
      </c>
      <c r="T460" t="n">
        <v>0</v>
      </c>
      <c r="U460" t="n">
        <v>39600</v>
      </c>
    </row>
    <row r="461">
      <c r="A461" t="inlineStr">
        <is>
          <t>20260922-8186-464443892</t>
        </is>
      </c>
      <c r="B461" t="n">
        <v>1</v>
      </c>
      <c r="C461" s="2" t="inlineStr">
        <is>
          <t>ЕЛЕНА КОРНИЕНКО</t>
        </is>
      </c>
      <c r="D461" s="3" t="n">
        <v>38590</v>
      </c>
      <c r="E461" s="4" t="n">
        <v>15</v>
      </c>
      <c r="F461" t="inlineStr">
        <is>
          <t>ООО «12Т» (ранее ONE TWO TRIP) [Чайковский]</t>
        </is>
      </c>
      <c r="G461" s="3">
        <f>ROUND(D461/(100-E461)*100,2)</f>
        <v/>
      </c>
      <c r="H461" s="5" t="n">
        <v>46287.58333333334</v>
      </c>
      <c r="I461" t="n">
        <v>4</v>
      </c>
      <c r="J461" s="3">
        <f>G461/I461</f>
        <v/>
      </c>
      <c r="K461">
        <f>IF(J461&gt;=5100,"ставка","мин.ставка")</f>
        <v/>
      </c>
      <c r="L461" s="3">
        <f>ROUND(IF(K461="мин.ставка",I461*100,G461/102*2),2)</f>
        <v/>
      </c>
      <c r="M461" s="5" t="n">
        <v>46291.5</v>
      </c>
      <c r="N461" t="inlineStr">
        <is>
          <t>TravelLine OTT</t>
        </is>
      </c>
      <c r="O461" s="2" t="inlineStr">
        <is>
          <t>СТАНДАРТНЫЙ ДВУХМЕСТНЫЙ НОМЕР</t>
        </is>
      </c>
      <c r="P461" s="6" t="n"/>
      <c r="R461" t="inlineStr"/>
      <c r="S461" t="inlineStr">
        <is>
          <t>Тариф с завтраком</t>
        </is>
      </c>
      <c r="T461" t="n">
        <v>0</v>
      </c>
      <c r="U461" t="n">
        <v>38590</v>
      </c>
    </row>
    <row r="462">
      <c r="A462" t="inlineStr">
        <is>
          <t>20260922-8186-444240000</t>
        </is>
      </c>
      <c r="B462" t="n">
        <v>1</v>
      </c>
      <c r="C462" s="2" t="inlineStr">
        <is>
          <t>ЕЛЕНА КОСТРЫКИНА, Альбина Лоншакова</t>
        </is>
      </c>
      <c r="D462" s="3" t="n">
        <v>19493.1</v>
      </c>
      <c r="E462" s="4" t="n">
        <v>4</v>
      </c>
      <c r="F462" t="inlineStr">
        <is>
          <t>TravelLine Booking Engine [Чайковский]</t>
        </is>
      </c>
      <c r="G462" s="3">
        <f>ROUND(D462/(100-E462)*100,2)</f>
        <v/>
      </c>
      <c r="H462" s="5" t="n">
        <v>46287.72916666666</v>
      </c>
      <c r="I462" t="n">
        <v>2</v>
      </c>
      <c r="J462" s="3">
        <f>G462/I462</f>
        <v/>
      </c>
      <c r="K462">
        <f>IF(J462&gt;=5100,"ставка","мин.ставка")</f>
        <v/>
      </c>
      <c r="L462" s="3">
        <f>ROUND(IF(K462="мин.ставка",I462*100,G462/102*2),2)</f>
        <v/>
      </c>
      <c r="M462" s="5" t="n">
        <v>46289.5</v>
      </c>
      <c r="N462" t="inlineStr">
        <is>
          <t>TravelLine сайт</t>
        </is>
      </c>
      <c r="O462" s="2" t="inlineStr">
        <is>
          <t>СТАНДАРТНЫЙ ДВУХМЕСТНЫЙ НОМЕР (МАНСАРДА)</t>
        </is>
      </c>
      <c r="P462" s="6" t="n"/>
      <c r="R462" t="inlineStr"/>
      <c r="S462" t="inlineStr">
        <is>
          <t>Тариф с завтраком</t>
        </is>
      </c>
      <c r="T462" t="n">
        <v>0</v>
      </c>
      <c r="U462" t="n">
        <v>19493.1</v>
      </c>
    </row>
    <row r="463">
      <c r="A463" t="inlineStr">
        <is>
          <t>20260913-8186-463968378</t>
        </is>
      </c>
      <c r="B463" t="n">
        <v>1</v>
      </c>
      <c r="C463" s="2" t="inlineStr">
        <is>
          <t>Елена Котова, Сергей Котов</t>
        </is>
      </c>
      <c r="D463" s="3" t="n">
        <v>14025</v>
      </c>
      <c r="E463" s="4" t="n">
        <v>15</v>
      </c>
      <c r="F463" t="inlineStr">
        <is>
          <t>ООО Тинькофф Путешествия [Чайковский]</t>
        </is>
      </c>
      <c r="G463" s="3">
        <f>ROUND(D463/(100-E463)*100,2)</f>
        <v/>
      </c>
      <c r="H463" s="5" t="n">
        <v>46278.66666666666</v>
      </c>
      <c r="I463" t="n">
        <v>1</v>
      </c>
      <c r="J463" s="3">
        <f>G463/I463</f>
        <v/>
      </c>
      <c r="K463">
        <f>IF(J463&gt;=5100,"ставка","мин.ставка")</f>
        <v/>
      </c>
      <c r="L463" s="3">
        <f>ROUND(IF(K463="мин.ставка",I463*100,G463/102*2),2)</f>
        <v/>
      </c>
      <c r="M463" s="5" t="n">
        <v>46279.5</v>
      </c>
      <c r="N463" t="inlineStr">
        <is>
          <t>TravelLine TNK</t>
        </is>
      </c>
      <c r="O463" s="2" t="inlineStr">
        <is>
          <t>ПОЛУЛЮКС</t>
        </is>
      </c>
      <c r="P463" s="6" t="n"/>
      <c r="R463" t="inlineStr"/>
      <c r="S463" t="inlineStr">
        <is>
          <t>Тариф с завтраком</t>
        </is>
      </c>
      <c r="T463" t="n">
        <v>0</v>
      </c>
      <c r="U463" t="n">
        <v>14025</v>
      </c>
    </row>
    <row r="464">
      <c r="A464" t="inlineStr">
        <is>
          <t>20260922-8186-466727212</t>
        </is>
      </c>
      <c r="B464" t="n">
        <v>1</v>
      </c>
      <c r="C464" s="2" t="inlineStr">
        <is>
          <t>ЕЛЕНА КРОТОВА</t>
        </is>
      </c>
      <c r="D464" s="3" t="n">
        <v>19068</v>
      </c>
      <c r="E464" s="4" t="n">
        <v>16</v>
      </c>
      <c r="F464" t="inlineStr">
        <is>
          <t>ООО "БРОНИРОВАНИЕ ГОСТИНИЦ" (OSTROVOK) [Чайковский]</t>
        </is>
      </c>
      <c r="G464" s="3">
        <f>ROUND(D464/(100-E464)*100,2)</f>
        <v/>
      </c>
      <c r="H464" s="5" t="n">
        <v>46287.58333333334</v>
      </c>
      <c r="I464" t="n">
        <v>2</v>
      </c>
      <c r="J464" s="3">
        <f>G464/I464</f>
        <v/>
      </c>
      <c r="K464">
        <f>IF(J464&gt;=5100,"ставка","мин.ставка")</f>
        <v/>
      </c>
      <c r="L464" s="3">
        <f>ROUND(IF(K464="мин.ставка",I464*100,G464/102*2),2)</f>
        <v/>
      </c>
      <c r="M464" s="5" t="n">
        <v>46289.5</v>
      </c>
      <c r="N464" t="inlineStr">
        <is>
          <t>TravelLine OTK</t>
        </is>
      </c>
      <c r="O464" s="2" t="inlineStr">
        <is>
          <t>СТАНДАРТНЫЙ ДВУХМЕСТНЫЙ НОМЕР</t>
        </is>
      </c>
      <c r="P464" s="6" t="n"/>
      <c r="R464" t="inlineStr"/>
      <c r="S464" t="inlineStr">
        <is>
          <t>Тариф с завтраком</t>
        </is>
      </c>
      <c r="T464" t="n">
        <v>0</v>
      </c>
      <c r="U464" t="n">
        <v>19068</v>
      </c>
    </row>
    <row r="465">
      <c r="A465" t="inlineStr">
        <is>
          <t>20260926-8186-466754555</t>
        </is>
      </c>
      <c r="B465" t="n">
        <v>1</v>
      </c>
      <c r="C465" s="2" t="inlineStr">
        <is>
          <t>Елена Маевских</t>
        </is>
      </c>
      <c r="D465" s="3" t="n">
        <v>30684.5</v>
      </c>
      <c r="E465" s="4" t="n">
        <v>4</v>
      </c>
      <c r="F465" t="inlineStr">
        <is>
          <t>TravelLine Booking Engine [Чайковский]</t>
        </is>
      </c>
      <c r="G465" s="3">
        <f>ROUND(D465/(100-E465)*100,2)</f>
        <v/>
      </c>
      <c r="H465" s="5" t="n">
        <v>46291.58333333334</v>
      </c>
      <c r="I465" t="n">
        <v>4</v>
      </c>
      <c r="J465" s="3">
        <f>G465/I465</f>
        <v/>
      </c>
      <c r="K465">
        <f>IF(J465&gt;=5100,"ставка","мин.ставка")</f>
        <v/>
      </c>
      <c r="L465" s="3">
        <f>ROUND(IF(K465="мин.ставка",I465*100,G465/102*2),2)</f>
        <v/>
      </c>
      <c r="M465" s="5" t="n">
        <v>46295.5</v>
      </c>
      <c r="N465" t="inlineStr">
        <is>
          <t>TravelLine сайт</t>
        </is>
      </c>
      <c r="O465" s="2" t="inlineStr">
        <is>
          <t>СТАНДАРТНЫЙ ОДНОМЕСТНЫЙ НОМЕР</t>
        </is>
      </c>
      <c r="P465" s="6" t="n"/>
      <c r="R465" t="inlineStr"/>
      <c r="S465" t="inlineStr">
        <is>
          <t>Тариф с завтраком</t>
        </is>
      </c>
      <c r="T465" t="n">
        <v>0</v>
      </c>
      <c r="U465" t="n">
        <v>30684.5</v>
      </c>
    </row>
    <row r="466">
      <c r="A466" t="inlineStr">
        <is>
          <t>20260803-8186-414251130</t>
        </is>
      </c>
      <c r="B466" t="n">
        <v>1</v>
      </c>
      <c r="C466" s="2" t="inlineStr">
        <is>
          <t>Елена Мастрюкова</t>
        </is>
      </c>
      <c r="D466" s="3" t="n">
        <v>13090</v>
      </c>
      <c r="E466" s="4" t="n">
        <v>15</v>
      </c>
      <c r="F466" t="inlineStr">
        <is>
          <t>ООО Тинькофф Путешествия [Чайковский]</t>
        </is>
      </c>
      <c r="G466" s="3">
        <f>ROUND(D466/(100-E466)*100,2)</f>
        <v/>
      </c>
      <c r="H466" s="5" t="n">
        <v>46237.58333333334</v>
      </c>
      <c r="I466" t="n">
        <v>2</v>
      </c>
      <c r="J466" s="3">
        <f>G466/I466</f>
        <v/>
      </c>
      <c r="K466">
        <f>IF(J466&gt;=5100,"ставка","мин.ставка")</f>
        <v/>
      </c>
      <c r="L466" s="3">
        <f>ROUND(IF(K466="мин.ставка",I466*100,G466/102*2),2)</f>
        <v/>
      </c>
      <c r="M466" s="5" t="n">
        <v>46239.5</v>
      </c>
      <c r="N466" t="inlineStr">
        <is>
          <t>TravelLine TNK</t>
        </is>
      </c>
      <c r="O466" s="2" t="inlineStr">
        <is>
          <t>СТАНДАРТНЫЙ ОДНОМЕСТНЫЙ НОМЕР</t>
        </is>
      </c>
      <c r="P466" s="6" t="n"/>
      <c r="R466" t="inlineStr"/>
      <c r="S466" t="inlineStr">
        <is>
          <t>Тариф с завтраком</t>
        </is>
      </c>
      <c r="T466" t="n">
        <v>0</v>
      </c>
      <c r="U466" t="n">
        <v>13090</v>
      </c>
    </row>
    <row r="467">
      <c r="A467" t="inlineStr">
        <is>
          <t>20260901-8186-432644424</t>
        </is>
      </c>
      <c r="B467" t="n">
        <v>1</v>
      </c>
      <c r="C467" s="2" t="inlineStr">
        <is>
          <t>ЕЛЕНА МАХАЛЬСКАЯ, СВЕТЛАНА САВИНА</t>
        </is>
      </c>
      <c r="D467" s="3" t="n">
        <v>25245</v>
      </c>
      <c r="E467" s="4" t="n">
        <v>0</v>
      </c>
      <c r="F467" t="inlineStr">
        <is>
          <t>ООО "АЛЕАН ОТДЫХ" [Чайковский]</t>
        </is>
      </c>
      <c r="G467" s="3">
        <f>ROUND(D467/(100-E467)*100,2)</f>
        <v/>
      </c>
      <c r="H467" s="5" t="n">
        <v>46266.58333333334</v>
      </c>
      <c r="I467" t="n">
        <v>3</v>
      </c>
      <c r="J467" s="3">
        <f>G467/I467</f>
        <v/>
      </c>
      <c r="K467">
        <f>IF(J467&gt;=5100,"ставка","мин.ставка")</f>
        <v/>
      </c>
      <c r="L467" s="3">
        <f>ROUND(IF(K467="мин.ставка",I467*100,G467/102*2),2)</f>
        <v/>
      </c>
      <c r="M467" s="5" t="n">
        <v>46269.5</v>
      </c>
      <c r="N467" t="inlineStr">
        <is>
          <t>TravelLine ALN</t>
        </is>
      </c>
      <c r="O467" s="2" t="inlineStr">
        <is>
          <t>СТАНДАРТНЫЙ ДВУХМЕСТНЫЙ НОМЕР</t>
        </is>
      </c>
      <c r="P467" s="6" t="n"/>
      <c r="R467" t="inlineStr"/>
      <c r="S467" t="inlineStr">
        <is>
          <t>Тариф с завтраком</t>
        </is>
      </c>
      <c r="T467" t="n">
        <v>0</v>
      </c>
      <c r="U467" t="n">
        <v>25245</v>
      </c>
    </row>
    <row r="468">
      <c r="A468" t="inlineStr">
        <is>
          <t>20260804-8186-455712496</t>
        </is>
      </c>
      <c r="B468" t="n">
        <v>1</v>
      </c>
      <c r="C468" s="2" t="inlineStr">
        <is>
          <t>Елена Милеева</t>
        </is>
      </c>
      <c r="D468" s="3" t="n">
        <v>32964</v>
      </c>
      <c r="E468" s="4" t="n">
        <v>18</v>
      </c>
      <c r="F468" t="inlineStr">
        <is>
          <t>ООО "Эй энд Эй" [Чайковский]</t>
        </is>
      </c>
      <c r="G468" s="3">
        <f>ROUND(D468/(100-E468)*100,2)</f>
        <v/>
      </c>
      <c r="H468" s="5" t="n">
        <v>46238.58333333334</v>
      </c>
      <c r="I468" t="n">
        <v>3</v>
      </c>
      <c r="J468" s="3">
        <f>G468/I468</f>
        <v/>
      </c>
      <c r="K468">
        <f>IF(J468&gt;=5100,"ставка","мин.ставка")</f>
        <v/>
      </c>
      <c r="L468" s="3">
        <f>ROUND(IF(K468="мин.ставка",I468*100,G468/102*2),2)</f>
        <v/>
      </c>
      <c r="M468" s="5" t="n">
        <v>46241.5</v>
      </c>
      <c r="N468" t="inlineStr">
        <is>
          <t>TravelLine ANA</t>
        </is>
      </c>
      <c r="O468" s="2" t="inlineStr">
        <is>
          <t>УЛУЧШЕННЫЙ ДВУХМЕСТНЫЙ НОМЕР</t>
        </is>
      </c>
      <c r="P468" s="6" t="n"/>
      <c r="R468" t="inlineStr"/>
      <c r="S468" t="inlineStr">
        <is>
          <t>Тариф с завтраком</t>
        </is>
      </c>
      <c r="T468" t="n">
        <v>0</v>
      </c>
      <c r="U468" t="n">
        <v>32964</v>
      </c>
    </row>
    <row r="469">
      <c r="A469" t="inlineStr">
        <is>
          <t>20260809-8186-434031511</t>
        </is>
      </c>
      <c r="B469" t="n">
        <v>1</v>
      </c>
      <c r="C469" s="2" t="inlineStr">
        <is>
          <t>Елена Митина, ЕКАТЕРИНА МИТИНА</t>
        </is>
      </c>
      <c r="D469" s="3" t="n">
        <v>41085</v>
      </c>
      <c r="E469" s="4" t="n">
        <v>20</v>
      </c>
      <c r="F469" t="inlineStr">
        <is>
          <t>ООО «Дубль Гис» (OTELLO) [Чайковский]</t>
        </is>
      </c>
      <c r="G469" s="3">
        <f>ROUND(D469/(100-E469)*100,2)</f>
        <v/>
      </c>
      <c r="H469" s="5" t="n">
        <v>46243.58333333334</v>
      </c>
      <c r="I469" t="n">
        <v>5</v>
      </c>
      <c r="J469" s="3">
        <f>G469/I469</f>
        <v/>
      </c>
      <c r="K469">
        <f>IF(J469&gt;=5100,"ставка","мин.ставка")</f>
        <v/>
      </c>
      <c r="L469" s="3">
        <f>ROUND(IF(K469="мин.ставка",I469*100,G469/102*2),2)</f>
        <v/>
      </c>
      <c r="M469" s="5" t="n">
        <v>46248.5</v>
      </c>
      <c r="N469" t="inlineStr">
        <is>
          <t>TravelLine OL2</t>
        </is>
      </c>
      <c r="O469" s="2" t="inlineStr">
        <is>
          <t>СТАНДАРТНЫЙ ДВУХМЕСТНЫЙ НОМЕР (МАНСАРДА)</t>
        </is>
      </c>
      <c r="P469" s="6" t="n"/>
      <c r="R469" t="inlineStr"/>
      <c r="S469" t="inlineStr">
        <is>
          <t>Тариф с завтраком</t>
        </is>
      </c>
      <c r="T469" t="n">
        <v>0</v>
      </c>
      <c r="U469" t="n">
        <v>41085</v>
      </c>
    </row>
    <row r="470">
      <c r="A470" t="inlineStr">
        <is>
          <t>20260713-8186-449269362</t>
        </is>
      </c>
      <c r="B470" t="n">
        <v>1</v>
      </c>
      <c r="C470" s="2" t="inlineStr">
        <is>
          <t>Елена Мишина</t>
        </is>
      </c>
      <c r="D470" s="3" t="n">
        <v>6557</v>
      </c>
      <c r="E470" s="4" t="n">
        <v>17</v>
      </c>
      <c r="F470" t="inlineStr">
        <is>
          <t>ООО «Интернет Трэвел» (OZON) [Чайковский]</t>
        </is>
      </c>
      <c r="G470" s="3">
        <f>ROUND(D470/(100-E470)*100,2)</f>
        <v/>
      </c>
      <c r="H470" s="5" t="n">
        <v>46216.58333333334</v>
      </c>
      <c r="I470" t="n">
        <v>1</v>
      </c>
      <c r="J470" s="3">
        <f>G470/I470</f>
        <v/>
      </c>
      <c r="K470">
        <f>IF(J470&gt;=5100,"ставка","мин.ставка")</f>
        <v/>
      </c>
      <c r="L470" s="3">
        <f>ROUND(IF(K470="мин.ставка",I470*100,G470/102*2),2)</f>
        <v/>
      </c>
      <c r="M470" s="5" t="n">
        <v>46217.5</v>
      </c>
      <c r="N470" t="inlineStr">
        <is>
          <t>TravelLine OZ2</t>
        </is>
      </c>
      <c r="O470" s="2" t="inlineStr">
        <is>
          <t>СТАНДАРТНЫЙ ДВУХМЕСТНЫЙ НОМЕР (МАНСАРДА)</t>
        </is>
      </c>
      <c r="P470" s="6" t="n"/>
      <c r="R470" t="inlineStr"/>
      <c r="S470" t="inlineStr">
        <is>
          <t>Тариф с завтраком</t>
        </is>
      </c>
      <c r="T470" t="n">
        <v>0</v>
      </c>
      <c r="U470" t="n">
        <v>6557</v>
      </c>
    </row>
    <row r="471">
      <c r="A471" t="inlineStr">
        <is>
          <t>20260706-8186-446718602</t>
        </is>
      </c>
      <c r="B471" t="n">
        <v>1</v>
      </c>
      <c r="C471" s="2" t="inlineStr">
        <is>
          <t>Елена Мороз</t>
        </is>
      </c>
      <c r="D471" s="3" t="n">
        <v>34050</v>
      </c>
      <c r="E471" s="4" t="n">
        <v>4</v>
      </c>
      <c r="F471" t="inlineStr">
        <is>
          <t>TravelLine Booking Engine [Чайковский]</t>
        </is>
      </c>
      <c r="G471" s="3">
        <f>ROUND(D471/(100-E471)*100,2)</f>
        <v/>
      </c>
      <c r="H471" s="5" t="n">
        <v>46209.58333333334</v>
      </c>
      <c r="I471" t="n">
        <v>3</v>
      </c>
      <c r="J471" s="3">
        <f>G471/I471</f>
        <v/>
      </c>
      <c r="K471">
        <f>IF(J471&gt;=5100,"ставка","мин.ставка")</f>
        <v/>
      </c>
      <c r="L471" s="3">
        <f>ROUND(IF(K471="мин.ставка",I471*100,G471/102*2),2)</f>
        <v/>
      </c>
      <c r="M471" s="5" t="n">
        <v>46212.5</v>
      </c>
      <c r="N471" t="inlineStr">
        <is>
          <t>TravelLine сайт</t>
        </is>
      </c>
      <c r="O471" s="2" t="inlineStr">
        <is>
          <t>СТАНДАРТНЫЙ ДВУХМЕСТНЫЙ НОМЕР</t>
        </is>
      </c>
      <c r="P471" s="6" t="n"/>
      <c r="R471" t="inlineStr"/>
      <c r="S471" t="inlineStr">
        <is>
          <t>Тариф с завтраком</t>
        </is>
      </c>
      <c r="T471" t="n">
        <v>0</v>
      </c>
      <c r="U471" t="n">
        <v>34050</v>
      </c>
    </row>
    <row r="472">
      <c r="A472" t="inlineStr">
        <is>
          <t>20260829-8186-460361195</t>
        </is>
      </c>
      <c r="B472" t="n">
        <v>1</v>
      </c>
      <c r="C472" s="2" t="inlineStr">
        <is>
          <t>ЕЛЕНА МУЛЛАНУРОВА</t>
        </is>
      </c>
      <c r="D472" s="3" t="n">
        <v>11256</v>
      </c>
      <c r="E472" s="4" t="n">
        <v>16</v>
      </c>
      <c r="F472" t="inlineStr">
        <is>
          <t>ООО "БРОНИРОВАНИЕ ГОСТИНИЦ" (OSTROVOK) [Чайковский]</t>
        </is>
      </c>
      <c r="G472" s="3">
        <f>ROUND(D472/(100-E472)*100,2)</f>
        <v/>
      </c>
      <c r="H472" s="5" t="n">
        <v>46263.58333333334</v>
      </c>
      <c r="I472" t="n">
        <v>1</v>
      </c>
      <c r="J472" s="3">
        <f>G472/I472</f>
        <v/>
      </c>
      <c r="K472">
        <f>IF(J472&gt;=5100,"ставка","мин.ставка")</f>
        <v/>
      </c>
      <c r="L472" s="3">
        <f>ROUND(IF(K472="мин.ставка",I472*100,G472/102*2),2)</f>
        <v/>
      </c>
      <c r="M472" s="5" t="n">
        <v>46264.66666666666</v>
      </c>
      <c r="N472" t="inlineStr">
        <is>
          <t>TravelLine OTK</t>
        </is>
      </c>
      <c r="O472" s="2" t="inlineStr">
        <is>
          <t>ПОЛУЛЮКС</t>
        </is>
      </c>
      <c r="P472" s="6" t="n"/>
      <c r="R472" t="inlineStr"/>
      <c r="S472" t="inlineStr">
        <is>
          <t>Тариф с завтраком</t>
        </is>
      </c>
      <c r="T472" t="n">
        <v>2240</v>
      </c>
      <c r="U472" t="n">
        <v>13496</v>
      </c>
    </row>
    <row r="473">
      <c r="A473" t="inlineStr">
        <is>
          <t>20260703-8186-445213205</t>
        </is>
      </c>
      <c r="B473" t="n">
        <v>1</v>
      </c>
      <c r="C473" s="2" t="inlineStr">
        <is>
          <t>Елена Мухаметшина</t>
        </is>
      </c>
      <c r="D473" s="3" t="n">
        <v>27240</v>
      </c>
      <c r="E473" s="4" t="n">
        <v>20</v>
      </c>
      <c r="F473" t="inlineStr">
        <is>
          <t>ООО "УК ГЦБ и Т" [Чайковский]</t>
        </is>
      </c>
      <c r="G473" s="3">
        <f>ROUND(D473/(100-E473)*100,2)</f>
        <v/>
      </c>
      <c r="H473" s="5" t="n">
        <v>46206.58333333334</v>
      </c>
      <c r="I473" t="n">
        <v>3</v>
      </c>
      <c r="J473" s="3">
        <f>G473/I473</f>
        <v/>
      </c>
      <c r="K473">
        <f>IF(J473&gt;=5100,"ставка","мин.ставка")</f>
        <v/>
      </c>
      <c r="L473" s="3">
        <f>ROUND(IF(K473="мин.ставка",I473*100,G473/102*2),2)</f>
        <v/>
      </c>
      <c r="M473" s="5" t="n">
        <v>46209.5</v>
      </c>
      <c r="N473" t="inlineStr">
        <is>
          <t>TravelLine CBC</t>
        </is>
      </c>
      <c r="O473" s="2" t="inlineStr">
        <is>
          <t>СТАНДАРТНЫЙ ДВУХМЕСТНЫЙ НОМЕР</t>
        </is>
      </c>
      <c r="P473" s="6" t="n"/>
      <c r="R473" t="inlineStr"/>
      <c r="S473" t="inlineStr">
        <is>
          <t>Тариф с завтраком</t>
        </is>
      </c>
      <c r="T473" t="n">
        <v>0</v>
      </c>
      <c r="U473" t="n">
        <v>27240</v>
      </c>
    </row>
    <row r="474">
      <c r="A474" t="inlineStr">
        <is>
          <t>20260730-8186-451555879</t>
        </is>
      </c>
      <c r="B474" t="n">
        <v>1</v>
      </c>
      <c r="C474" s="2" t="inlineStr">
        <is>
          <t>Елена Огородникова, Дарья Огородникова</t>
        </is>
      </c>
      <c r="D474" s="3" t="n">
        <v>26286.15</v>
      </c>
      <c r="E474" s="4" t="n">
        <v>4</v>
      </c>
      <c r="F474" t="inlineStr">
        <is>
          <t>TravelLine Booking Engine [Чайковский]</t>
        </is>
      </c>
      <c r="G474" s="3">
        <f>ROUND(D474/(100-E474)*100,2)</f>
        <v/>
      </c>
      <c r="H474" s="5" t="n">
        <v>46233.58333333334</v>
      </c>
      <c r="I474" t="n">
        <v>2</v>
      </c>
      <c r="J474" s="3">
        <f>G474/I474</f>
        <v/>
      </c>
      <c r="K474">
        <f>IF(J474&gt;=5100,"ставка","мин.ставка")</f>
        <v/>
      </c>
      <c r="L474" s="3">
        <f>ROUND(IF(K474="мин.ставка",I474*100,G474/102*2),2)</f>
        <v/>
      </c>
      <c r="M474" s="5" t="n">
        <v>46235.5</v>
      </c>
      <c r="N474" t="inlineStr">
        <is>
          <t>TravelLine сайт</t>
        </is>
      </c>
      <c r="O474" s="2" t="inlineStr">
        <is>
          <t>СТАНДАРТНЫЙ ДВУХМЕСТНЫЙ НОМЕР</t>
        </is>
      </c>
      <c r="P474" s="6" t="n"/>
      <c r="R474" t="inlineStr"/>
      <c r="S474" t="inlineStr">
        <is>
          <t>Тариф с завтраком</t>
        </is>
      </c>
      <c r="T474" t="n">
        <v>0</v>
      </c>
      <c r="U474" t="n">
        <v>26286.15</v>
      </c>
    </row>
    <row r="475">
      <c r="A475" t="inlineStr">
        <is>
          <t>20260806-8186-454695826</t>
        </is>
      </c>
      <c r="B475" t="n">
        <v>1</v>
      </c>
      <c r="C475" s="2" t="inlineStr">
        <is>
          <t>ЕЛЕНА ПЕРМЯКОВА</t>
        </is>
      </c>
      <c r="D475" s="3" t="n">
        <v>6004</v>
      </c>
      <c r="E475" s="4" t="n">
        <v>18</v>
      </c>
      <c r="F475" t="inlineStr">
        <is>
          <t>Яндекс.Путешествия [Чайковский]</t>
        </is>
      </c>
      <c r="G475" s="3">
        <f>ROUND(D475/(100-E475)*100,2)</f>
        <v/>
      </c>
      <c r="H475" s="5" t="n">
        <v>46240.58333333334</v>
      </c>
      <c r="I475" t="n">
        <v>1</v>
      </c>
      <c r="J475" s="3">
        <f>G475/I475</f>
        <v/>
      </c>
      <c r="K475">
        <f>IF(J475&gt;=5100,"ставка","мин.ставка")</f>
        <v/>
      </c>
      <c r="L475" s="3">
        <f>ROUND(IF(K475="мин.ставка",I475*100,G475/102*2),2)</f>
        <v/>
      </c>
      <c r="M475" s="5" t="n">
        <v>46241.5</v>
      </c>
      <c r="N475" t="inlineStr">
        <is>
          <t>TravelLine YAX</t>
        </is>
      </c>
      <c r="O475" s="2" t="inlineStr">
        <is>
          <t>СТАНДАРТНЫЙ ДВУХМЕСТНЫЙ НОМЕР (МАНСАРДА)</t>
        </is>
      </c>
      <c r="P475" s="6" t="n"/>
      <c r="R475" t="inlineStr"/>
      <c r="S475" t="inlineStr">
        <is>
          <t>Тариф с завтраком</t>
        </is>
      </c>
      <c r="T475" t="n">
        <v>0</v>
      </c>
      <c r="U475" t="n">
        <v>6004</v>
      </c>
    </row>
    <row r="476">
      <c r="A476" t="inlineStr">
        <is>
          <t>20260727-8186-445278925</t>
        </is>
      </c>
      <c r="B476" t="n">
        <v>1</v>
      </c>
      <c r="C476" s="2" t="inlineStr">
        <is>
          <t>Елена Петрова, Антон Прокофьев</t>
        </is>
      </c>
      <c r="D476" s="3" t="n">
        <v>106800</v>
      </c>
      <c r="E476" s="4" t="n">
        <v>20</v>
      </c>
      <c r="F476" t="inlineStr">
        <is>
          <t>ООО "КОМПАНИЯ БРОНЕВИК" [Чайковский]</t>
        </is>
      </c>
      <c r="G476" s="3">
        <f>ROUND(D476/(100-E476)*100,2)</f>
        <v/>
      </c>
      <c r="H476" s="5" t="n">
        <v>46230.58333333334</v>
      </c>
      <c r="I476" t="n">
        <v>10</v>
      </c>
      <c r="J476" s="3">
        <f>G476/I476</f>
        <v/>
      </c>
      <c r="K476">
        <f>IF(J476&gt;=5100,"ставка","мин.ставка")</f>
        <v/>
      </c>
      <c r="L476" s="3">
        <f>ROUND(IF(K476="мин.ставка",I476*100,G476/102*2),2)</f>
        <v/>
      </c>
      <c r="M476" s="5" t="n">
        <v>46240.5</v>
      </c>
      <c r="N476" t="inlineStr">
        <is>
          <t>TravelLine BR2</t>
        </is>
      </c>
      <c r="O476" s="2" t="inlineStr">
        <is>
          <t>СТАНДАРТНЫЙ ДВУХМЕСТНЫЙ НОМЕР</t>
        </is>
      </c>
      <c r="P476" s="6" t="n"/>
      <c r="R476" t="inlineStr"/>
      <c r="S476" t="inlineStr">
        <is>
          <t>Тариф с завтраком</t>
        </is>
      </c>
      <c r="T476" t="n">
        <v>0</v>
      </c>
      <c r="U476" t="n">
        <v>106800</v>
      </c>
    </row>
    <row r="477">
      <c r="A477" t="inlineStr">
        <is>
          <t>20260817-8186-455605495</t>
        </is>
      </c>
      <c r="B477" t="n">
        <v>1</v>
      </c>
      <c r="C477" s="2" t="inlineStr">
        <is>
          <t>ЕЛЕНА РОДИОНОВА, ПОЛИНА ПОТАПОВА</t>
        </is>
      </c>
      <c r="D477" s="3" t="n">
        <v>30260</v>
      </c>
      <c r="E477" s="4" t="n">
        <v>15</v>
      </c>
      <c r="F477" t="inlineStr">
        <is>
          <t>ООО "Библио-Глобус Туроператор" [Чайковский]</t>
        </is>
      </c>
      <c r="G477" s="3">
        <f>ROUND(D477/(100-E477)*100,2)</f>
        <v/>
      </c>
      <c r="H477" s="5" t="n">
        <v>46251.58333333334</v>
      </c>
      <c r="I477" t="n">
        <v>2</v>
      </c>
      <c r="J477" s="3">
        <f>G477/I477</f>
        <v/>
      </c>
      <c r="K477">
        <f>IF(J477&gt;=5100,"ставка","мин.ставка")</f>
        <v/>
      </c>
      <c r="L477" s="3">
        <f>ROUND(IF(K477="мин.ставка",I477*100,G477/102*2),2)</f>
        <v/>
      </c>
      <c r="M477" s="5" t="n">
        <v>46253.5</v>
      </c>
      <c r="N477" t="inlineStr">
        <is>
          <t>TravelLine BGL</t>
        </is>
      </c>
      <c r="O477" s="2" t="inlineStr">
        <is>
          <t>ЛЮКС ВТОРОЙ КОРПУС</t>
        </is>
      </c>
      <c r="P477" s="6" t="n"/>
      <c r="R477" t="inlineStr"/>
      <c r="S477" t="inlineStr">
        <is>
          <t>Тариф с завтраком</t>
        </is>
      </c>
      <c r="T477" t="n">
        <v>0</v>
      </c>
      <c r="U477" t="n">
        <v>30260</v>
      </c>
    </row>
    <row r="478">
      <c r="A478" t="inlineStr">
        <is>
          <t>20260824-8186-427406859</t>
        </is>
      </c>
      <c r="B478" t="n">
        <v>1</v>
      </c>
      <c r="C478" s="2" t="inlineStr">
        <is>
          <t>Елена Селина, Жанна Киташина</t>
        </is>
      </c>
      <c r="D478" s="3" t="n">
        <v>6261.15</v>
      </c>
      <c r="E478" s="4" t="n">
        <v>4</v>
      </c>
      <c r="F478" t="inlineStr">
        <is>
          <t>TravelLine Booking Engine [Чайковский]</t>
        </is>
      </c>
      <c r="G478" s="3">
        <f>ROUND(D478/(100-E478)*100,2)</f>
        <v/>
      </c>
      <c r="H478" s="5" t="n">
        <v>46258.58333333334</v>
      </c>
      <c r="I478" t="n">
        <v>1</v>
      </c>
      <c r="J478" s="3">
        <f>G478/I478</f>
        <v/>
      </c>
      <c r="K478">
        <f>IF(J478&gt;=5100,"ставка","мин.ставка")</f>
        <v/>
      </c>
      <c r="L478" s="3">
        <f>ROUND(IF(K478="мин.ставка",I478*100,G478/102*2),2)</f>
        <v/>
      </c>
      <c r="M478" s="5" t="n">
        <v>46259.5</v>
      </c>
      <c r="N478" t="inlineStr">
        <is>
          <t>TravelLine сайт</t>
        </is>
      </c>
      <c r="O478" s="2" t="inlineStr">
        <is>
          <t>СТАНДАРТНЫЙ ДВУХМЕСТНЫЙ НОМЕР</t>
        </is>
      </c>
      <c r="P478" s="6" t="n"/>
      <c r="R478" t="inlineStr"/>
      <c r="S478" t="inlineStr">
        <is>
          <t>Тариф с завтраком</t>
        </is>
      </c>
      <c r="T478" t="n">
        <v>6675</v>
      </c>
      <c r="U478" t="n">
        <v>72597.3</v>
      </c>
    </row>
    <row r="479">
      <c r="A479" t="inlineStr">
        <is>
          <t>20260917-8186-466532217</t>
        </is>
      </c>
      <c r="B479" t="n">
        <v>1</v>
      </c>
      <c r="C479" s="2" t="inlineStr">
        <is>
          <t>Елена Соколова, Иван Соколов</t>
        </is>
      </c>
      <c r="D479" s="3" t="n">
        <v>11214</v>
      </c>
      <c r="E479" s="4" t="n">
        <v>16</v>
      </c>
      <c r="F479" t="inlineStr">
        <is>
          <t>ООО "БРОНИРОВАНИЕ ГОСТИНИЦ" (OSTROVOK) [Чайковский]</t>
        </is>
      </c>
      <c r="G479" s="3">
        <f>ROUND(D479/(100-E479)*100,2)</f>
        <v/>
      </c>
      <c r="H479" s="5" t="n">
        <v>46282.58333333334</v>
      </c>
      <c r="I479" t="n">
        <v>1</v>
      </c>
      <c r="J479" s="3">
        <f>G479/I479</f>
        <v/>
      </c>
      <c r="K479">
        <f>IF(J479&gt;=5100,"ставка","мин.ставка")</f>
        <v/>
      </c>
      <c r="L479" s="3">
        <f>ROUND(IF(K479="мин.ставка",I479*100,G479/102*2),2)</f>
        <v/>
      </c>
      <c r="M479" s="5" t="n">
        <v>46283.5</v>
      </c>
      <c r="N479" t="inlineStr">
        <is>
          <t>TravelLine OTK</t>
        </is>
      </c>
      <c r="O479" s="2" t="inlineStr">
        <is>
          <t>СТАНДАРТНЫЙ ДВУХМЕСТНЫЙ НОМЕР</t>
        </is>
      </c>
      <c r="P479" s="6" t="n"/>
      <c r="R479" t="inlineStr"/>
      <c r="S479" t="inlineStr">
        <is>
          <t>Тариф с завтраком</t>
        </is>
      </c>
      <c r="T479" t="n">
        <v>0</v>
      </c>
      <c r="U479" t="n">
        <v>11214</v>
      </c>
    </row>
    <row r="480">
      <c r="A480" t="inlineStr">
        <is>
          <t>20260715-8186-449585741</t>
        </is>
      </c>
      <c r="B480" t="n">
        <v>1</v>
      </c>
      <c r="C480" s="2" t="inlineStr">
        <is>
          <t>Елена Сорокина</t>
        </is>
      </c>
      <c r="D480" s="3" t="n">
        <v>22861.3</v>
      </c>
      <c r="E480" s="4" t="n">
        <v>4</v>
      </c>
      <c r="F480" t="inlineStr">
        <is>
          <t>TravelLine Booking Engine [Чайковский]</t>
        </is>
      </c>
      <c r="G480" s="3">
        <f>ROUND(D480/(100-E480)*100,2)</f>
        <v/>
      </c>
      <c r="H480" s="5" t="n">
        <v>46218.58333333334</v>
      </c>
      <c r="I480" t="n">
        <v>3</v>
      </c>
      <c r="J480" s="3">
        <f>G480/I480</f>
        <v/>
      </c>
      <c r="K480">
        <f>IF(J480&gt;=5100,"ставка","мин.ставка")</f>
        <v/>
      </c>
      <c r="L480" s="3">
        <f>ROUND(IF(K480="мин.ставка",I480*100,G480/102*2),2)</f>
        <v/>
      </c>
      <c r="M480" s="5" t="n">
        <v>46221.5</v>
      </c>
      <c r="N480" t="inlineStr">
        <is>
          <t>TravelLine сайт</t>
        </is>
      </c>
      <c r="O480" s="2" t="inlineStr">
        <is>
          <t>СТАНДАРТНЫЙ ОДНОМЕСТНЫЙ НОМЕР</t>
        </is>
      </c>
      <c r="P480" s="6" t="n"/>
      <c r="R480" t="inlineStr"/>
      <c r="S480" t="inlineStr">
        <is>
          <t>Тариф с завтраком</t>
        </is>
      </c>
      <c r="T480" t="n">
        <v>0</v>
      </c>
      <c r="U480" t="n">
        <v>22861.3</v>
      </c>
    </row>
    <row r="481">
      <c r="A481" t="inlineStr">
        <is>
          <t>20260923-8186-410840730</t>
        </is>
      </c>
      <c r="B481" t="n">
        <v>1</v>
      </c>
      <c r="C481" s="2" t="inlineStr">
        <is>
          <t>Елена Харисова, ДМИТРИЙ АЛЕКСЕЕВ</t>
        </is>
      </c>
      <c r="D481" s="3" t="n">
        <v>29452.5</v>
      </c>
      <c r="E481" s="4" t="n">
        <v>4</v>
      </c>
      <c r="F481" t="inlineStr">
        <is>
          <t>TravelLine Booking Engine [Чайковский]</t>
        </is>
      </c>
      <c r="G481" s="3">
        <f>ROUND(D481/(100-E481)*100,2)</f>
        <v/>
      </c>
      <c r="H481" s="5" t="n">
        <v>46288.58333333334</v>
      </c>
      <c r="I481" t="n">
        <v>3</v>
      </c>
      <c r="J481" s="3">
        <f>G481/I481</f>
        <v/>
      </c>
      <c r="K481">
        <f>IF(J481&gt;=5100,"ставка","мин.ставка")</f>
        <v/>
      </c>
      <c r="L481" s="3">
        <f>ROUND(IF(K481="мин.ставка",I481*100,G481/102*2),2)</f>
        <v/>
      </c>
      <c r="M481" s="5" t="n">
        <v>46291.5</v>
      </c>
      <c r="N481" t="inlineStr">
        <is>
          <t>TravelLine сайт</t>
        </is>
      </c>
      <c r="O481" s="2" t="inlineStr">
        <is>
          <t>СТАНДАРТНЫЙ ДВУХМЕСТНЫЙ НОМЕР (МАНСАРДА)</t>
        </is>
      </c>
      <c r="P481" s="6" t="n"/>
      <c r="R481" t="inlineStr"/>
      <c r="S481" t="inlineStr">
        <is>
          <t>Тариф с завтраком</t>
        </is>
      </c>
      <c r="T481" t="n">
        <v>0</v>
      </c>
      <c r="U481" t="n">
        <v>29452.5</v>
      </c>
    </row>
    <row r="482">
      <c r="A482" t="inlineStr">
        <is>
          <t>20260925-8186-434543735</t>
        </is>
      </c>
      <c r="B482" t="n">
        <v>1</v>
      </c>
      <c r="C482" s="2" t="inlineStr">
        <is>
          <t>ЕЛЕНА ХРАПУНОВА, АНАСТАСИЯ ДИЕСПЕРОВА</t>
        </is>
      </c>
      <c r="D482" s="3" t="n">
        <v>16830</v>
      </c>
      <c r="E482" s="4" t="n">
        <v>15</v>
      </c>
      <c r="F482" t="inlineStr">
        <is>
          <t>ООО "АКАДЕМ-ОНЛАЙН" [Чайковский]</t>
        </is>
      </c>
      <c r="G482" s="3">
        <f>ROUND(D482/(100-E482)*100,2)</f>
        <v/>
      </c>
      <c r="H482" s="5" t="n">
        <v>46290.58333333334</v>
      </c>
      <c r="I482" t="n">
        <v>2</v>
      </c>
      <c r="J482" s="3">
        <f>G482/I482</f>
        <v/>
      </c>
      <c r="K482">
        <f>IF(J482&gt;=5100,"ставка","мин.ставка")</f>
        <v/>
      </c>
      <c r="L482" s="3">
        <f>ROUND(IF(K482="мин.ставка",I482*100,G482/102*2),2)</f>
        <v/>
      </c>
      <c r="M482" s="5" t="n">
        <v>46292.5</v>
      </c>
      <c r="N482" t="inlineStr">
        <is>
          <t>TravelLine ACS</t>
        </is>
      </c>
      <c r="O482" s="2" t="inlineStr">
        <is>
          <t>СТАНДАРТНЫЙ ДВУХМЕСТНЫЙ НОМЕР (МАНСАРДА)</t>
        </is>
      </c>
      <c r="P482" s="6" t="n"/>
      <c r="R482" t="inlineStr"/>
      <c r="S482" t="inlineStr">
        <is>
          <t>Тариф с завтраком</t>
        </is>
      </c>
      <c r="T482" t="n">
        <v>0</v>
      </c>
      <c r="U482" t="n">
        <v>16830</v>
      </c>
    </row>
    <row r="483">
      <c r="A483" t="inlineStr">
        <is>
          <t>20260818-8186-438764363</t>
        </is>
      </c>
      <c r="B483" t="n">
        <v>1</v>
      </c>
      <c r="C483" s="2" t="inlineStr">
        <is>
          <t>Елена Шершикова</t>
        </is>
      </c>
      <c r="D483" s="3" t="n">
        <v>31481.5</v>
      </c>
      <c r="E483" s="4" t="n">
        <v>4</v>
      </c>
      <c r="F483" t="inlineStr">
        <is>
          <t>TravelLine Booking Engine [Чайковский]</t>
        </is>
      </c>
      <c r="G483" s="3">
        <f>ROUND(D483/(100-E483)*100,2)</f>
        <v/>
      </c>
      <c r="H483" s="5" t="n">
        <v>46252.58333333334</v>
      </c>
      <c r="I483" t="n">
        <v>4</v>
      </c>
      <c r="J483" s="3">
        <f>G483/I483</f>
        <v/>
      </c>
      <c r="K483">
        <f>IF(J483&gt;=5100,"ставка","мин.ставка")</f>
        <v/>
      </c>
      <c r="L483" s="3">
        <f>ROUND(IF(K483="мин.ставка",I483*100,G483/102*2),2)</f>
        <v/>
      </c>
      <c r="M483" s="5" t="n">
        <v>46256.5</v>
      </c>
      <c r="N483" t="inlineStr">
        <is>
          <t>TravelLine сайт</t>
        </is>
      </c>
      <c r="O483" s="2" t="inlineStr">
        <is>
          <t>СТАНДАРТНЫЙ ДВУХМЕСТНЫЙ НОМЕР (МАНСАРДА)</t>
        </is>
      </c>
      <c r="P483" s="6" t="n"/>
      <c r="R483" t="inlineStr"/>
      <c r="S483" t="inlineStr">
        <is>
          <t>Тариф с завтраком</t>
        </is>
      </c>
      <c r="T483" t="n">
        <v>0</v>
      </c>
      <c r="U483" t="n">
        <v>31481.5</v>
      </c>
    </row>
    <row r="484">
      <c r="A484" t="inlineStr">
        <is>
          <t>20260817-8186-445978911</t>
        </is>
      </c>
      <c r="B484" t="n">
        <v>1</v>
      </c>
      <c r="C484" s="2" t="inlineStr">
        <is>
          <t>ЕЛИЗАВЕТА ГОРБАЧ, АННА МАЛЬНЕВА</t>
        </is>
      </c>
      <c r="D484" s="3" t="n">
        <v>53400</v>
      </c>
      <c r="E484" s="4" t="n">
        <v>18</v>
      </c>
      <c r="F484" t="inlineStr">
        <is>
          <t>Яндекс.Путешествия [Чайковский]</t>
        </is>
      </c>
      <c r="G484" s="3">
        <f>ROUND(D484/(100-E484)*100,2)</f>
        <v/>
      </c>
      <c r="H484" s="5" t="n">
        <v>46251.58333333334</v>
      </c>
      <c r="I484" t="n">
        <v>5</v>
      </c>
      <c r="J484" s="3">
        <f>G484/I484</f>
        <v/>
      </c>
      <c r="K484">
        <f>IF(J484&gt;=5100,"ставка","мин.ставка")</f>
        <v/>
      </c>
      <c r="L484" s="3">
        <f>ROUND(IF(K484="мин.ставка",I484*100,G484/102*2),2)</f>
        <v/>
      </c>
      <c r="M484" s="5" t="n">
        <v>46256.5</v>
      </c>
      <c r="N484" t="inlineStr">
        <is>
          <t>TravelLine YAX</t>
        </is>
      </c>
      <c r="O484" s="2" t="inlineStr">
        <is>
          <t>СТАНДАРТНЫЙ ДВУХМЕСТНЫЙ НОМЕР</t>
        </is>
      </c>
      <c r="P484" s="6" t="n"/>
      <c r="R484" t="inlineStr"/>
      <c r="S484" t="inlineStr">
        <is>
          <t>Тариф с завтраком</t>
        </is>
      </c>
      <c r="T484" t="n">
        <v>0</v>
      </c>
      <c r="U484" t="n">
        <v>53400</v>
      </c>
    </row>
    <row r="485">
      <c r="A485" t="inlineStr">
        <is>
          <t>20260910-8186-439466148</t>
        </is>
      </c>
      <c r="B485" t="n">
        <v>1</v>
      </c>
      <c r="C485" s="2" t="inlineStr">
        <is>
          <t>Елизавета Сыщикова, АЛЕКСАНДР ВОЗНЮК</t>
        </is>
      </c>
      <c r="D485" s="3" t="n">
        <v>29700</v>
      </c>
      <c r="E485" s="4" t="n">
        <v>0</v>
      </c>
      <c r="F485" t="inlineStr">
        <is>
          <t>Прямые бронирования (стойка) [Чайковский]</t>
        </is>
      </c>
      <c r="G485" s="3">
        <f>ROUND(D485/(100-E485)*100,2)</f>
        <v/>
      </c>
      <c r="H485" s="5" t="n">
        <v>46275.58333333334</v>
      </c>
      <c r="I485" t="n">
        <v>2</v>
      </c>
      <c r="J485" s="3">
        <f>G485/I485</f>
        <v/>
      </c>
      <c r="K485">
        <f>IF(J485&gt;=5100,"ставка","мин.ставка")</f>
        <v/>
      </c>
      <c r="L485" s="3">
        <f>ROUND(IF(K485="мин.ставка",I485*100,G485/102*2),2)</f>
        <v/>
      </c>
      <c r="M485" s="5" t="n">
        <v>46277.5</v>
      </c>
      <c r="N485" t="inlineStr">
        <is>
          <t>TravelLine ресепшн</t>
        </is>
      </c>
      <c r="O485" s="2" t="inlineStr">
        <is>
          <t>ПОЛУЛЮКС</t>
        </is>
      </c>
      <c r="P485" s="6" t="n"/>
      <c r="R485" t="inlineStr"/>
      <c r="S485" t="inlineStr">
        <is>
          <t>Тариф с завтраком</t>
        </is>
      </c>
      <c r="T485" t="n">
        <v>0</v>
      </c>
      <c r="U485" t="n">
        <v>29700</v>
      </c>
    </row>
    <row r="486">
      <c r="A486" t="inlineStr">
        <is>
          <t>20260913-8186-455450563</t>
        </is>
      </c>
      <c r="B486" t="n">
        <v>1</v>
      </c>
      <c r="C486" s="2" t="inlineStr">
        <is>
          <t>Жанна Денисова</t>
        </is>
      </c>
      <c r="D486" s="3" t="n">
        <v>56750</v>
      </c>
      <c r="E486" s="4" t="n">
        <v>0</v>
      </c>
      <c r="F486" t="inlineStr">
        <is>
          <t>Прямые бронирования (стойка) [Чайковский]</t>
        </is>
      </c>
      <c r="G486" s="3">
        <f>ROUND(D486/(100-E486)*100,2)</f>
        <v/>
      </c>
      <c r="H486" s="5" t="n">
        <v>46278.58333333334</v>
      </c>
      <c r="I486" t="n">
        <v>5</v>
      </c>
      <c r="J486" s="3">
        <f>G486/I486</f>
        <v/>
      </c>
      <c r="K486">
        <f>IF(J486&gt;=5100,"ставка","мин.ставка")</f>
        <v/>
      </c>
      <c r="L486" s="3">
        <f>ROUND(IF(K486="мин.ставка",I486*100,G486/102*2),2)</f>
        <v/>
      </c>
      <c r="M486" s="5" t="n">
        <v>46283.75</v>
      </c>
      <c r="N486" t="inlineStr">
        <is>
          <t>TravelLine ресепшн</t>
        </is>
      </c>
      <c r="O486" s="2" t="inlineStr">
        <is>
          <t>СТАНДАРТНЫЙ ДВУХМЕСТНЫЙ НОМЕР</t>
        </is>
      </c>
      <c r="P486" s="6" t="n"/>
      <c r="R486" t="inlineStr"/>
      <c r="S486" t="inlineStr">
        <is>
          <t>Тариф с завтраком</t>
        </is>
      </c>
      <c r="T486" t="n">
        <v>5675</v>
      </c>
      <c r="U486" t="n">
        <v>62425</v>
      </c>
    </row>
    <row r="487">
      <c r="A487" t="inlineStr">
        <is>
          <t>20260921-8186-458585384</t>
        </is>
      </c>
      <c r="B487" t="n">
        <v>1</v>
      </c>
      <c r="C487" s="2" t="inlineStr">
        <is>
          <t>Жанна Садовникова</t>
        </is>
      </c>
      <c r="D487" s="3" t="n">
        <v>6557</v>
      </c>
      <c r="E487" s="4" t="n">
        <v>0</v>
      </c>
      <c r="F487" t="inlineStr">
        <is>
          <t>Прямые бронирования (стойка) [Чайковский]</t>
        </is>
      </c>
      <c r="G487" s="3">
        <f>ROUND(D487/(100-E487)*100,2)</f>
        <v/>
      </c>
      <c r="H487" s="5" t="n">
        <v>46286.58333333334</v>
      </c>
      <c r="I487" t="n">
        <v>1</v>
      </c>
      <c r="J487" s="3">
        <f>G487/I487</f>
        <v/>
      </c>
      <c r="K487">
        <f>IF(J487&gt;=5100,"ставка","мин.ставка")</f>
        <v/>
      </c>
      <c r="L487" s="3">
        <f>ROUND(IF(K487="мин.ставка",I487*100,G487/102*2),2)</f>
        <v/>
      </c>
      <c r="M487" s="5" t="n">
        <v>46287.5</v>
      </c>
      <c r="N487" t="inlineStr">
        <is>
          <t>TravelLine CMB</t>
        </is>
      </c>
      <c r="O487" s="2" t="inlineStr">
        <is>
          <t>СТАНДАРТНЫЙ ДВУХМЕСТНЫЙ НОМЕР (МАНСАРДА)</t>
        </is>
      </c>
      <c r="P487" s="6" t="n"/>
      <c r="R487" t="inlineStr"/>
      <c r="S487" t="inlineStr">
        <is>
          <t>Тариф с завтраком</t>
        </is>
      </c>
      <c r="T487" t="n">
        <v>0</v>
      </c>
      <c r="U487" t="n">
        <v>6557</v>
      </c>
    </row>
    <row r="488">
      <c r="A488" t="inlineStr">
        <is>
          <t>20260727-8186-414990787</t>
        </is>
      </c>
      <c r="B488" t="n">
        <v>1</v>
      </c>
      <c r="C488" s="2" t="inlineStr">
        <is>
          <t>Зеки Мамутов, Светлана Мамутова</t>
        </is>
      </c>
      <c r="D488" s="3" t="n">
        <v>10680</v>
      </c>
      <c r="E488" s="4" t="n">
        <v>18</v>
      </c>
      <c r="F488" t="inlineStr">
        <is>
          <t>Яндекс.Путешествия [Чайковский]</t>
        </is>
      </c>
      <c r="G488" s="3">
        <f>ROUND(D488/(100-E488)*100,2)</f>
        <v/>
      </c>
      <c r="H488" s="5" t="n">
        <v>46230.58333333334</v>
      </c>
      <c r="I488" t="n">
        <v>1</v>
      </c>
      <c r="J488" s="3">
        <f>G488/I488</f>
        <v/>
      </c>
      <c r="K488">
        <f>IF(J488&gt;=5100,"ставка","мин.ставка")</f>
        <v/>
      </c>
      <c r="L488" s="3">
        <f>ROUND(IF(K488="мин.ставка",I488*100,G488/102*2),2)</f>
        <v/>
      </c>
      <c r="M488" s="5" t="n">
        <v>46231.5</v>
      </c>
      <c r="N488" t="inlineStr">
        <is>
          <t>TravelLine YAX</t>
        </is>
      </c>
      <c r="O488" s="2" t="inlineStr">
        <is>
          <t>СТАНДАРТНЫЙ ДВУХМЕСТНЫЙ НОМЕР</t>
        </is>
      </c>
      <c r="P488" s="6" t="n"/>
      <c r="R488" t="inlineStr"/>
      <c r="S488" t="inlineStr">
        <is>
          <t>Тариф с завтраком</t>
        </is>
      </c>
      <c r="T488" t="n">
        <v>0</v>
      </c>
      <c r="U488" t="n">
        <v>10680</v>
      </c>
    </row>
    <row r="489">
      <c r="A489" t="inlineStr">
        <is>
          <t>20260730-8186-450690442</t>
        </is>
      </c>
      <c r="B489" t="n">
        <v>1</v>
      </c>
      <c r="C489" s="2" t="inlineStr">
        <is>
          <t>Зиля Мазитова, Лейсан Садретдинова</t>
        </is>
      </c>
      <c r="D489" s="3" t="n">
        <v>45390</v>
      </c>
      <c r="E489" s="4" t="n">
        <v>0</v>
      </c>
      <c r="F489" t="inlineStr">
        <is>
          <t>ООО «ХОМЛИН ЛЭНД» (ПЕГАС) [Чайковский]</t>
        </is>
      </c>
      <c r="G489" s="3">
        <f>ROUND(D489/(100-E489)*100,2)</f>
        <v/>
      </c>
      <c r="H489" s="5" t="n">
        <v>46233.58333333334</v>
      </c>
      <c r="I489" t="n">
        <v>4</v>
      </c>
      <c r="J489" s="3">
        <f>G489/I489</f>
        <v/>
      </c>
      <c r="K489">
        <f>IF(J489&gt;=5100,"ставка","мин.ставка")</f>
        <v/>
      </c>
      <c r="L489" s="3">
        <f>ROUND(IF(K489="мин.ставка",I489*100,G489/102*2),2)</f>
        <v/>
      </c>
      <c r="M489" s="5" t="n">
        <v>46237.5</v>
      </c>
      <c r="N489" t="inlineStr">
        <is>
          <t>TravelLine PGS</t>
        </is>
      </c>
      <c r="O489" s="2" t="inlineStr">
        <is>
          <t>СТАНДАРТНЫЙ ДВУХМЕСТНЫЙ НОМЕР</t>
        </is>
      </c>
      <c r="P489" s="6" t="n"/>
      <c r="R489" t="inlineStr"/>
      <c r="S489" t="inlineStr">
        <is>
          <t>Тариф с завтраком</t>
        </is>
      </c>
      <c r="T489" t="n">
        <v>0</v>
      </c>
      <c r="U489" t="n">
        <v>45390</v>
      </c>
    </row>
    <row r="490">
      <c r="A490" t="inlineStr">
        <is>
          <t>20260828-8186-461344488</t>
        </is>
      </c>
      <c r="B490" t="n">
        <v>1</v>
      </c>
      <c r="C490" s="2" t="inlineStr">
        <is>
          <t>ЗОЯ КОВНАЦКАЯ, Илья Романов</t>
        </is>
      </c>
      <c r="D490" s="3" t="n">
        <v>26286.15</v>
      </c>
      <c r="E490" s="4" t="n">
        <v>4</v>
      </c>
      <c r="F490" t="inlineStr">
        <is>
          <t>TravelLine Booking Engine [Чайковский]</t>
        </is>
      </c>
      <c r="G490" s="3">
        <f>ROUND(D490/(100-E490)*100,2)</f>
        <v/>
      </c>
      <c r="H490" s="5" t="n">
        <v>46262.58333333334</v>
      </c>
      <c r="I490" t="n">
        <v>2</v>
      </c>
      <c r="J490" s="3">
        <f>G490/I490</f>
        <v/>
      </c>
      <c r="K490">
        <f>IF(J490&gt;=5100,"ставка","мин.ставка")</f>
        <v/>
      </c>
      <c r="L490" s="3">
        <f>ROUND(IF(K490="мин.ставка",I490*100,G490/102*2),2)</f>
        <v/>
      </c>
      <c r="M490" s="5" t="n">
        <v>46264.5</v>
      </c>
      <c r="N490" t="inlineStr">
        <is>
          <t>TravelLine сайт</t>
        </is>
      </c>
      <c r="O490" s="2" t="inlineStr">
        <is>
          <t>СТАНДАРТНЫЙ ДВУХМЕСТНЫЙ НОМЕР</t>
        </is>
      </c>
      <c r="P490" s="6" t="n"/>
      <c r="R490" t="inlineStr"/>
      <c r="S490" t="inlineStr">
        <is>
          <t>Тариф с завтраком</t>
        </is>
      </c>
      <c r="T490" t="n">
        <v>0</v>
      </c>
      <c r="U490" t="n">
        <v>26286.15</v>
      </c>
    </row>
    <row r="491">
      <c r="A491" t="inlineStr">
        <is>
          <t>20260913-8186-465006249</t>
        </is>
      </c>
      <c r="B491" t="n">
        <v>1</v>
      </c>
      <c r="C491" s="2" t="inlineStr">
        <is>
          <t>Зураб Кикалишвили, Ирина Черенкова</t>
        </is>
      </c>
      <c r="D491" s="3" t="n">
        <v>63910</v>
      </c>
      <c r="E491" s="4" t="n">
        <v>17</v>
      </c>
      <c r="F491" t="inlineStr">
        <is>
          <t>ООО «Интернет Трэвел» (OZON) [Чайковский]</t>
        </is>
      </c>
      <c r="G491" s="3">
        <f>ROUND(D491/(100-E491)*100,2)</f>
        <v/>
      </c>
      <c r="H491" s="5" t="n">
        <v>46278.58333333334</v>
      </c>
      <c r="I491" t="n">
        <v>5</v>
      </c>
      <c r="J491" s="3">
        <f>G491/I491</f>
        <v/>
      </c>
      <c r="K491">
        <f>IF(J491&gt;=5100,"ставка","мин.ставка")</f>
        <v/>
      </c>
      <c r="L491" s="3">
        <f>ROUND(IF(K491="мин.ставка",I491*100,G491/102*2),2)</f>
        <v/>
      </c>
      <c r="M491" s="5" t="n">
        <v>46283.5</v>
      </c>
      <c r="N491" t="inlineStr">
        <is>
          <t>TravelLine OZ2</t>
        </is>
      </c>
      <c r="O491" s="2" t="inlineStr">
        <is>
          <t>УЛУЧШЕННЫЙ ДВУХМЕСТНЫЙ НОМЕР</t>
        </is>
      </c>
      <c r="P491" s="6" t="n"/>
      <c r="R491" t="inlineStr"/>
      <c r="S491" t="inlineStr">
        <is>
          <t>Тариф с завтраком</t>
        </is>
      </c>
      <c r="T491" t="n">
        <v>0</v>
      </c>
      <c r="U491" t="n">
        <v>63910</v>
      </c>
    </row>
    <row r="492">
      <c r="A492" t="inlineStr">
        <is>
          <t>20260903-8186-463379903</t>
        </is>
      </c>
      <c r="B492" t="n">
        <v>1</v>
      </c>
      <c r="C492" s="2" t="inlineStr">
        <is>
          <t>и Грунтович</t>
        </is>
      </c>
      <c r="D492" s="3" t="n">
        <v>12936</v>
      </c>
      <c r="E492" s="4" t="n">
        <v>0</v>
      </c>
      <c r="F492" t="inlineStr">
        <is>
          <t>Прямые бронирования (стойка) [Чайковский]</t>
        </is>
      </c>
      <c r="G492" s="3">
        <f>ROUND(D492/(100-E492)*100,2)</f>
        <v/>
      </c>
      <c r="H492" s="5" t="n">
        <v>46268.58333333334</v>
      </c>
      <c r="I492" t="n">
        <v>1</v>
      </c>
      <c r="J492" s="3">
        <f>G492/I492</f>
        <v/>
      </c>
      <c r="K492">
        <f>IF(J492&gt;=5100,"ставка","мин.ставка")</f>
        <v/>
      </c>
      <c r="L492" s="3">
        <f>ROUND(IF(K492="мин.ставка",I492*100,G492/102*2),2)</f>
        <v/>
      </c>
      <c r="M492" s="5" t="n">
        <v>46269.5</v>
      </c>
      <c r="N492" t="inlineStr">
        <is>
          <t>TravelLine ресепшн</t>
        </is>
      </c>
      <c r="O492" s="2" t="inlineStr">
        <is>
          <t>УЛУЧШЕННЫЙ ДВУХМЕСТНЫЙ НОМЕР</t>
        </is>
      </c>
      <c r="P492" s="6" t="n"/>
      <c r="R492" t="inlineStr"/>
      <c r="S492" t="inlineStr">
        <is>
          <t>Тариф с завтраком</t>
        </is>
      </c>
      <c r="T492" t="n">
        <v>0</v>
      </c>
      <c r="U492" t="n">
        <v>12936</v>
      </c>
    </row>
    <row r="493">
      <c r="A493" t="inlineStr">
        <is>
          <t>20260724-8186-452688342</t>
        </is>
      </c>
      <c r="B493" t="n">
        <v>1</v>
      </c>
      <c r="C493" s="2" t="inlineStr">
        <is>
          <t>и Картвелишвилли</t>
        </is>
      </c>
      <c r="D493" s="3" t="n">
        <v>13350</v>
      </c>
      <c r="E493" s="4" t="n">
        <v>0</v>
      </c>
      <c r="F493" t="inlineStr">
        <is>
          <t>Прямые бронирования (стойка) [Чайковский]</t>
        </is>
      </c>
      <c r="G493" s="3">
        <f>ROUND(D493/(100-E493)*100,2)</f>
        <v/>
      </c>
      <c r="H493" s="5" t="n">
        <v>46227.58333333334</v>
      </c>
      <c r="I493" t="n">
        <v>1</v>
      </c>
      <c r="J493" s="3">
        <f>G493/I493</f>
        <v/>
      </c>
      <c r="K493">
        <f>IF(J493&gt;=5100,"ставка","мин.ставка")</f>
        <v/>
      </c>
      <c r="L493" s="3">
        <f>ROUND(IF(K493="мин.ставка",I493*100,G493/102*2),2)</f>
        <v/>
      </c>
      <c r="M493" s="5" t="n">
        <v>46228.5</v>
      </c>
      <c r="N493" t="inlineStr">
        <is>
          <t>TravelLine ресепшн</t>
        </is>
      </c>
      <c r="O493" s="2" t="inlineStr">
        <is>
          <t>СТАНДАРТНЫЙ ДВУХМЕСТНЫЙ НОМЕР</t>
        </is>
      </c>
      <c r="P493" s="6" t="n"/>
      <c r="R493" t="inlineStr"/>
      <c r="S493" t="inlineStr">
        <is>
          <t>Тариф с завтраком</t>
        </is>
      </c>
      <c r="T493" t="n">
        <v>0</v>
      </c>
      <c r="U493" t="n">
        <v>13350</v>
      </c>
    </row>
    <row r="494">
      <c r="A494" t="inlineStr">
        <is>
          <t>20260825-8186-461132014</t>
        </is>
      </c>
      <c r="B494" t="n">
        <v>1</v>
      </c>
      <c r="C494" s="2" t="inlineStr">
        <is>
          <t>и Киташина</t>
        </is>
      </c>
      <c r="D494" s="3" t="n">
        <v>40050</v>
      </c>
      <c r="E494" s="4" t="n">
        <v>0</v>
      </c>
      <c r="F494" t="inlineStr">
        <is>
          <t>Прямые бронирования (стойка) [Чайковский]</t>
        </is>
      </c>
      <c r="G494" s="3">
        <f>ROUND(D494/(100-E494)*100,2)</f>
        <v/>
      </c>
      <c r="H494" s="5" t="n">
        <v>46259.58333333334</v>
      </c>
      <c r="I494" t="n">
        <v>3</v>
      </c>
      <c r="J494" s="3">
        <f>G494/I494</f>
        <v/>
      </c>
      <c r="K494">
        <f>IF(J494&gt;=5100,"ставка","мин.ставка")</f>
        <v/>
      </c>
      <c r="L494" s="3">
        <f>ROUND(IF(K494="мин.ставка",I494*100,G494/102*2),2)</f>
        <v/>
      </c>
      <c r="M494" s="5" t="n">
        <v>46262.5</v>
      </c>
      <c r="N494" t="inlineStr">
        <is>
          <t>TravelLine ресепшн</t>
        </is>
      </c>
      <c r="O494" s="2" t="inlineStr">
        <is>
          <t>СТАНДАРТНЫЙ ДВУХМЕСТНЫЙ НОМЕР</t>
        </is>
      </c>
      <c r="P494" s="6" t="n"/>
      <c r="R494" t="inlineStr"/>
      <c r="S494" t="inlineStr">
        <is>
          <t>Тариф с завтраком</t>
        </is>
      </c>
      <c r="T494" t="n">
        <v>0</v>
      </c>
      <c r="U494" t="n">
        <v>40050</v>
      </c>
    </row>
    <row r="495">
      <c r="A495" t="inlineStr">
        <is>
          <t>20260805-8186-455800466</t>
        </is>
      </c>
      <c r="B495" t="n">
        <v>1</v>
      </c>
      <c r="C495" s="2" t="inlineStr">
        <is>
          <t>и Кочин</t>
        </is>
      </c>
      <c r="D495" s="3" t="n">
        <v>15400</v>
      </c>
      <c r="E495" s="4" t="n">
        <v>0</v>
      </c>
      <c r="F495" t="inlineStr">
        <is>
          <t>Прямые бронирования (стойка) [Чайковский]</t>
        </is>
      </c>
      <c r="G495" s="3">
        <f>ROUND(D495/(100-E495)*100,2)</f>
        <v/>
      </c>
      <c r="H495" s="5" t="n">
        <v>46239.58333333334</v>
      </c>
      <c r="I495" t="n">
        <v>2</v>
      </c>
      <c r="J495" s="3">
        <f>G495/I495</f>
        <v/>
      </c>
      <c r="K495">
        <f>IF(J495&gt;=5100,"ставка","мин.ставка")</f>
        <v/>
      </c>
      <c r="L495" s="3">
        <f>ROUND(IF(K495="мин.ставка",I495*100,G495/102*2),2)</f>
        <v/>
      </c>
      <c r="M495" s="5" t="n">
        <v>46241.5</v>
      </c>
      <c r="N495" t="inlineStr">
        <is>
          <t>TravelLine ресепшн</t>
        </is>
      </c>
      <c r="O495" s="2" t="inlineStr">
        <is>
          <t>СТАНДАРТНЫЙ ОДНОМЕСТНЫЙ НОМЕР</t>
        </is>
      </c>
      <c r="P495" s="6" t="n"/>
      <c r="R495" t="inlineStr"/>
      <c r="S495" t="inlineStr">
        <is>
          <t>Тариф с завтраком</t>
        </is>
      </c>
      <c r="T495" t="n">
        <v>0</v>
      </c>
      <c r="U495" t="n">
        <v>15400</v>
      </c>
    </row>
    <row r="496">
      <c r="A496" t="inlineStr">
        <is>
          <t>20260817-8186-442297769</t>
        </is>
      </c>
      <c r="B496" t="n">
        <v>1</v>
      </c>
      <c r="C496" s="2" t="inlineStr">
        <is>
          <t>ИВАН АНДРЕЕВ</t>
        </is>
      </c>
      <c r="D496" s="3" t="n">
        <v>45229.75</v>
      </c>
      <c r="E496" s="4" t="n">
        <v>4</v>
      </c>
      <c r="F496" t="inlineStr">
        <is>
          <t>TravelLine Booking Engine [Чайковский]</t>
        </is>
      </c>
      <c r="G496" s="3">
        <f>ROUND(D496/(100-E496)*100,2)</f>
        <v/>
      </c>
      <c r="H496" s="5" t="n">
        <v>46251.58333333334</v>
      </c>
      <c r="I496" t="n">
        <v>4</v>
      </c>
      <c r="J496" s="3">
        <f>G496/I496</f>
        <v/>
      </c>
      <c r="K496">
        <f>IF(J496&gt;=5100,"ставка","мин.ставка")</f>
        <v/>
      </c>
      <c r="L496" s="3">
        <f>ROUND(IF(K496="мин.ставка",I496*100,G496/102*2),2)</f>
        <v/>
      </c>
      <c r="M496" s="5" t="n">
        <v>46255.5</v>
      </c>
      <c r="N496" t="inlineStr">
        <is>
          <t>TravelLine сайт</t>
        </is>
      </c>
      <c r="O496" s="2" t="inlineStr">
        <is>
          <t>СТАНДАРТНЫЙ ДВУХМЕСТНЫЙ НОМЕР</t>
        </is>
      </c>
      <c r="P496" s="6" t="n"/>
      <c r="R496" t="inlineStr"/>
      <c r="S496" t="inlineStr">
        <is>
          <t>Тариф с завтраком</t>
        </is>
      </c>
      <c r="T496" t="n">
        <v>0</v>
      </c>
      <c r="U496" t="n">
        <v>98628.75</v>
      </c>
    </row>
    <row r="497">
      <c r="A497" t="inlineStr">
        <is>
          <t>20260902-8186-459355198</t>
        </is>
      </c>
      <c r="B497" t="n">
        <v>1</v>
      </c>
      <c r="C497" s="2" t="inlineStr">
        <is>
          <t>ИВАН БУЛЬДЕНКОВ</t>
        </is>
      </c>
      <c r="D497" s="3" t="n">
        <v>5852</v>
      </c>
      <c r="E497" s="4" t="n">
        <v>18</v>
      </c>
      <c r="F497" t="inlineStr">
        <is>
          <t>Яндекс.Путешествия [Чайковский]</t>
        </is>
      </c>
      <c r="G497" s="3">
        <f>ROUND(D497/(100-E497)*100,2)</f>
        <v/>
      </c>
      <c r="H497" s="5" t="n">
        <v>46267.58333333334</v>
      </c>
      <c r="I497" t="n">
        <v>1</v>
      </c>
      <c r="J497" s="3">
        <f>G497/I497</f>
        <v/>
      </c>
      <c r="K497">
        <f>IF(J497&gt;=5100,"ставка","мин.ставка")</f>
        <v/>
      </c>
      <c r="L497" s="3">
        <f>ROUND(IF(K497="мин.ставка",I497*100,G497/102*2),2)</f>
        <v/>
      </c>
      <c r="M497" s="5" t="n">
        <v>46268.5</v>
      </c>
      <c r="N497" t="inlineStr">
        <is>
          <t>TravelLine YAX</t>
        </is>
      </c>
      <c r="O497" s="2" t="inlineStr">
        <is>
          <t>СТАНДАРТНЫЙ ОДНОМЕСТНЫЙ НОМЕР</t>
        </is>
      </c>
      <c r="P497" s="6" t="n"/>
      <c r="R497" t="inlineStr"/>
      <c r="S497" t="inlineStr">
        <is>
          <t>Тариф с завтраком</t>
        </is>
      </c>
      <c r="T497" t="n">
        <v>0</v>
      </c>
      <c r="U497" t="n">
        <v>5852</v>
      </c>
    </row>
    <row r="498">
      <c r="A498" t="inlineStr">
        <is>
          <t>20260805-8186-450472293</t>
        </is>
      </c>
      <c r="B498" t="n">
        <v>1</v>
      </c>
      <c r="C498" s="2" t="inlineStr">
        <is>
          <t>ИВАН БУЛЬДЕНКОВ</t>
        </is>
      </c>
      <c r="D498" s="3" t="n">
        <v>5852</v>
      </c>
      <c r="E498" s="4" t="n">
        <v>18</v>
      </c>
      <c r="F498" t="inlineStr">
        <is>
          <t>Яндекс.Путешествия [Чайковский]</t>
        </is>
      </c>
      <c r="G498" s="3">
        <f>ROUND(D498/(100-E498)*100,2)</f>
        <v/>
      </c>
      <c r="H498" s="5" t="n">
        <v>46239.58333333334</v>
      </c>
      <c r="I498" t="n">
        <v>1</v>
      </c>
      <c r="J498" s="3">
        <f>G498/I498</f>
        <v/>
      </c>
      <c r="K498">
        <f>IF(J498&gt;=5100,"ставка","мин.ставка")</f>
        <v/>
      </c>
      <c r="L498" s="3">
        <f>ROUND(IF(K498="мин.ставка",I498*100,G498/102*2),2)</f>
        <v/>
      </c>
      <c r="M498" s="5" t="n">
        <v>46240.5</v>
      </c>
      <c r="N498" t="inlineStr">
        <is>
          <t>TravelLine YAX</t>
        </is>
      </c>
      <c r="O498" s="2" t="inlineStr">
        <is>
          <t>СТАНДАРТНЫЙ ОДНОМЕСТНЫЙ НОМЕР</t>
        </is>
      </c>
      <c r="P498" s="6" t="n"/>
      <c r="R498" t="inlineStr"/>
      <c r="S498" t="inlineStr">
        <is>
          <t>Тариф с завтраком</t>
        </is>
      </c>
      <c r="T498" t="n">
        <v>0</v>
      </c>
      <c r="U498" t="n">
        <v>5852</v>
      </c>
    </row>
    <row r="499">
      <c r="A499" t="inlineStr">
        <is>
          <t>20260824-8186-451489646</t>
        </is>
      </c>
      <c r="B499" t="n">
        <v>1</v>
      </c>
      <c r="C499" s="2" t="inlineStr">
        <is>
          <t>Игорь Белоусов, Елена Белоусова</t>
        </is>
      </c>
      <c r="D499" s="3" t="n">
        <v>17248.2</v>
      </c>
      <c r="E499" s="4" t="n">
        <v>4</v>
      </c>
      <c r="F499" t="inlineStr">
        <is>
          <t>TravelLine Booking Engine [Чайковский]</t>
        </is>
      </c>
      <c r="G499" s="3">
        <f>ROUND(D499/(100-E499)*100,2)</f>
        <v/>
      </c>
      <c r="H499" s="5" t="n">
        <v>46258.58333333334</v>
      </c>
      <c r="I499" t="n">
        <v>1</v>
      </c>
      <c r="J499" s="3">
        <f>G499/I499</f>
        <v/>
      </c>
      <c r="K499">
        <f>IF(J499&gt;=5100,"ставка","мин.ставка")</f>
        <v/>
      </c>
      <c r="L499" s="3">
        <f>ROUND(IF(K499="мин.ставка",I499*100,G499/102*2),2)</f>
        <v/>
      </c>
      <c r="M499" s="5" t="n">
        <v>46259.5</v>
      </c>
      <c r="N499" t="inlineStr">
        <is>
          <t>TravelLine сайт</t>
        </is>
      </c>
      <c r="O499" s="2" t="inlineStr">
        <is>
          <t>ЛЮКС ВТОРОЙ КОРПУС</t>
        </is>
      </c>
      <c r="P499" s="6" t="n"/>
      <c r="R499" t="inlineStr"/>
      <c r="S499" t="inlineStr">
        <is>
          <t>Тариф с завтраком</t>
        </is>
      </c>
      <c r="T499" t="n">
        <v>0</v>
      </c>
      <c r="U499" t="n">
        <v>24903.3</v>
      </c>
    </row>
    <row r="500">
      <c r="A500" t="inlineStr">
        <is>
          <t>20260720-8186-440105980</t>
        </is>
      </c>
      <c r="B500" t="n">
        <v>1</v>
      </c>
      <c r="C500" s="2" t="inlineStr">
        <is>
          <t>ИГОРЬ БОЙЦОВ, ИРИНА БОЙЦОВА</t>
        </is>
      </c>
      <c r="D500" s="3" t="n">
        <v>52360</v>
      </c>
      <c r="E500" s="4" t="n">
        <v>15</v>
      </c>
      <c r="F500" t="inlineStr">
        <is>
          <t>ООО "БРОНИРОВАНИЕ ГОСТИНИЦ" (OSTROVOK) [Чайковский]</t>
        </is>
      </c>
      <c r="G500" s="3">
        <f>ROUND(D500/(100-E500)*100,2)</f>
        <v/>
      </c>
      <c r="H500" s="5" t="n">
        <v>46223.58333333334</v>
      </c>
      <c r="I500" t="n">
        <v>4</v>
      </c>
      <c r="J500" s="3">
        <f>G500/I500</f>
        <v/>
      </c>
      <c r="K500">
        <f>IF(J500&gt;=5100,"ставка","мин.ставка")</f>
        <v/>
      </c>
      <c r="L500" s="3">
        <f>ROUND(IF(K500="мин.ставка",I500*100,G500/102*2),2)</f>
        <v/>
      </c>
      <c r="M500" s="5" t="n">
        <v>46227.5</v>
      </c>
      <c r="N500" t="inlineStr">
        <is>
          <t>TravelLine OTK</t>
        </is>
      </c>
      <c r="O500" s="2" t="inlineStr">
        <is>
          <t>УЛУЧШЕННЫЙ ДВУХМЕСТНЫЙ НОМЕР</t>
        </is>
      </c>
      <c r="P500" s="6" t="n"/>
      <c r="R500" t="inlineStr"/>
      <c r="S500" t="inlineStr">
        <is>
          <t>Тариф с завтраком</t>
        </is>
      </c>
      <c r="T500" t="n">
        <v>0</v>
      </c>
      <c r="U500" t="n">
        <v>52360</v>
      </c>
    </row>
    <row r="501">
      <c r="A501" t="inlineStr">
        <is>
          <t>20260901-8186-462846499</t>
        </is>
      </c>
      <c r="B501" t="n">
        <v>1</v>
      </c>
      <c r="C501" s="2" t="inlineStr">
        <is>
          <t>игорь захаров</t>
        </is>
      </c>
      <c r="D501" s="3" t="n">
        <v>13350</v>
      </c>
      <c r="E501" s="4" t="n">
        <v>0</v>
      </c>
      <c r="F501" t="inlineStr">
        <is>
          <t>Прямые бронирования (стойка) [Чайковский]</t>
        </is>
      </c>
      <c r="G501" s="3">
        <f>ROUND(D501/(100-E501)*100,2)</f>
        <v/>
      </c>
      <c r="H501" s="5" t="n">
        <v>46266.58333333334</v>
      </c>
      <c r="I501" t="n">
        <v>1</v>
      </c>
      <c r="J501" s="3">
        <f>G501/I501</f>
        <v/>
      </c>
      <c r="K501">
        <f>IF(J501&gt;=5100,"ставка","мин.ставка")</f>
        <v/>
      </c>
      <c r="L501" s="3">
        <f>ROUND(IF(K501="мин.ставка",I501*100,G501/102*2),2)</f>
        <v/>
      </c>
      <c r="M501" s="5" t="n">
        <v>46267.5</v>
      </c>
      <c r="N501" t="inlineStr">
        <is>
          <t>TravelLine ресепшн</t>
        </is>
      </c>
      <c r="O501" s="2" t="inlineStr">
        <is>
          <t>СТАНДАРТНЫЙ ДВУХМЕСТНЫЙ НОМЕР</t>
        </is>
      </c>
      <c r="P501" s="6" t="n"/>
      <c r="R501" t="inlineStr"/>
      <c r="S501" t="inlineStr">
        <is>
          <t>Тариф с завтраком</t>
        </is>
      </c>
      <c r="T501" t="n">
        <v>0</v>
      </c>
      <c r="U501" t="n">
        <v>13350</v>
      </c>
    </row>
    <row r="502">
      <c r="A502" t="inlineStr">
        <is>
          <t>20260830-8186-462432150</t>
        </is>
      </c>
      <c r="B502" t="n">
        <v>1</v>
      </c>
      <c r="C502" s="2" t="inlineStr">
        <is>
          <t>Игорь Захаров, Анна Захарова</t>
        </is>
      </c>
      <c r="D502" s="3" t="n">
        <v>15840</v>
      </c>
      <c r="E502" s="4" t="n">
        <v>20</v>
      </c>
      <c r="F502" t="inlineStr">
        <is>
          <t>ООО "КОМПАНИЯ БРОНЕВИК" [Чайковский]</t>
        </is>
      </c>
      <c r="G502" s="3">
        <f>ROUND(D502/(100-E502)*100,2)</f>
        <v/>
      </c>
      <c r="H502" s="5" t="n">
        <v>46264.58333333334</v>
      </c>
      <c r="I502" t="n">
        <v>2</v>
      </c>
      <c r="J502" s="3">
        <f>G502/I502</f>
        <v/>
      </c>
      <c r="K502">
        <f>IF(J502&gt;=5100,"ставка","мин.ставка")</f>
        <v/>
      </c>
      <c r="L502" s="3">
        <f>ROUND(IF(K502="мин.ставка",I502*100,G502/102*2),2)</f>
        <v/>
      </c>
      <c r="M502" s="5" t="n">
        <v>46266.5</v>
      </c>
      <c r="N502" t="inlineStr">
        <is>
          <t>TravelLine BR2</t>
        </is>
      </c>
      <c r="O502" s="2" t="inlineStr">
        <is>
          <t>СТАНДАРТНЫЙ ДВУХМЕСТНЫЙ НОМЕР</t>
        </is>
      </c>
      <c r="P502" s="6" t="n"/>
      <c r="R502" t="inlineStr"/>
      <c r="S502" t="inlineStr">
        <is>
          <t>Тариф с завтраком</t>
        </is>
      </c>
      <c r="T502" t="n">
        <v>1260</v>
      </c>
      <c r="U502" t="n">
        <v>17100</v>
      </c>
    </row>
    <row r="503">
      <c r="A503" t="inlineStr">
        <is>
          <t>20260903-8186-461173385</t>
        </is>
      </c>
      <c r="B503" t="n">
        <v>1</v>
      </c>
      <c r="C503" s="2" t="inlineStr">
        <is>
          <t>Игорь Карташев</t>
        </is>
      </c>
      <c r="D503" s="3" t="n">
        <v>15284.5</v>
      </c>
      <c r="E503" s="4" t="n">
        <v>4</v>
      </c>
      <c r="F503" t="inlineStr">
        <is>
          <t>TravelLine Booking Engine [Чайковский]</t>
        </is>
      </c>
      <c r="G503" s="3">
        <f>ROUND(D503/(100-E503)*100,2)</f>
        <v/>
      </c>
      <c r="H503" s="5" t="n">
        <v>46268.58333333334</v>
      </c>
      <c r="I503" t="n">
        <v>2</v>
      </c>
      <c r="J503" s="3">
        <f>G503/I503</f>
        <v/>
      </c>
      <c r="K503">
        <f>IF(J503&gt;=5100,"ставка","мин.ставка")</f>
        <v/>
      </c>
      <c r="L503" s="3">
        <f>ROUND(IF(K503="мин.ставка",I503*100,G503/102*2),2)</f>
        <v/>
      </c>
      <c r="M503" s="5" t="n">
        <v>46270.5</v>
      </c>
      <c r="N503" t="inlineStr">
        <is>
          <t>TravelLine сайт</t>
        </is>
      </c>
      <c r="O503" s="2" t="inlineStr">
        <is>
          <t>СТАНДАРТНЫЙ ОДНОМЕСТНЫЙ НОМЕР</t>
        </is>
      </c>
      <c r="P503" s="6" t="n"/>
      <c r="R503" t="inlineStr"/>
      <c r="S503" t="inlineStr">
        <is>
          <t>Тариф с завтраком</t>
        </is>
      </c>
      <c r="T503" t="n">
        <v>0</v>
      </c>
      <c r="U503" t="n">
        <v>15284.5</v>
      </c>
    </row>
    <row r="504">
      <c r="A504" t="inlineStr">
        <is>
          <t>20260807-8186-456394511</t>
        </is>
      </c>
      <c r="B504" t="n">
        <v>1</v>
      </c>
      <c r="C504" s="2" t="inlineStr">
        <is>
          <t>Игорь Козлов</t>
        </is>
      </c>
      <c r="D504" s="3" t="n">
        <v>16020</v>
      </c>
      <c r="E504" s="4" t="n">
        <v>0</v>
      </c>
      <c r="F504" t="inlineStr">
        <is>
          <t>Прямые бронирования (стойка) [Чайковский]</t>
        </is>
      </c>
      <c r="G504" s="3">
        <f>ROUND(D504/(100-E504)*100,2)</f>
        <v/>
      </c>
      <c r="H504" s="5" t="n">
        <v>46241.58333333334</v>
      </c>
      <c r="I504" t="n">
        <v>1</v>
      </c>
      <c r="J504" s="3">
        <f>G504/I504</f>
        <v/>
      </c>
      <c r="K504">
        <f>IF(J504&gt;=5100,"ставка","мин.ставка")</f>
        <v/>
      </c>
      <c r="L504" s="3">
        <f>ROUND(IF(K504="мин.ставка",I504*100,G504/102*2),2)</f>
        <v/>
      </c>
      <c r="M504" s="5" t="n">
        <v>46242.5</v>
      </c>
      <c r="N504" t="inlineStr">
        <is>
          <t>TravelLine ресепшн</t>
        </is>
      </c>
      <c r="O504" s="2" t="inlineStr">
        <is>
          <t>ЛЮКС ВТОРОЙ КОРПУС</t>
        </is>
      </c>
      <c r="P504" s="6" t="n"/>
      <c r="R504" t="inlineStr"/>
      <c r="S504" t="inlineStr">
        <is>
          <t>Тариф с завтраком</t>
        </is>
      </c>
      <c r="T504" t="n">
        <v>0</v>
      </c>
      <c r="U504" t="n">
        <v>16020</v>
      </c>
    </row>
    <row r="505">
      <c r="A505" t="inlineStr">
        <is>
          <t>20260911-8186-464839871</t>
        </is>
      </c>
      <c r="B505" t="n">
        <v>1</v>
      </c>
      <c r="C505" s="2" t="inlineStr">
        <is>
          <t>Игорь Козлов</t>
        </is>
      </c>
      <c r="D505" s="3" t="n">
        <v>13350</v>
      </c>
      <c r="E505" s="4" t="n">
        <v>0</v>
      </c>
      <c r="F505" t="inlineStr">
        <is>
          <t>Прямые бронирования (стойка) [Чайковский]</t>
        </is>
      </c>
      <c r="G505" s="3">
        <f>ROUND(D505/(100-E505)*100,2)</f>
        <v/>
      </c>
      <c r="H505" s="5" t="n">
        <v>46276.58333333334</v>
      </c>
      <c r="I505" t="n">
        <v>1</v>
      </c>
      <c r="J505" s="3">
        <f>G505/I505</f>
        <v/>
      </c>
      <c r="K505">
        <f>IF(J505&gt;=5100,"ставка","мин.ставка")</f>
        <v/>
      </c>
      <c r="L505" s="3">
        <f>ROUND(IF(K505="мин.ставка",I505*100,G505/102*2),2)</f>
        <v/>
      </c>
      <c r="M505" s="5" t="n">
        <v>46277.5</v>
      </c>
      <c r="N505" t="inlineStr">
        <is>
          <t>TravelLine ресепшн</t>
        </is>
      </c>
      <c r="O505" s="2" t="inlineStr">
        <is>
          <t>СТАНДАРТНЫЙ ДВУХМЕСТНЫЙ НОМЕР</t>
        </is>
      </c>
      <c r="P505" s="6" t="n"/>
      <c r="R505" t="inlineStr"/>
      <c r="S505" t="inlineStr">
        <is>
          <t>Тариф с завтраком</t>
        </is>
      </c>
      <c r="T505" t="n">
        <v>0</v>
      </c>
      <c r="U505" t="n">
        <v>13350</v>
      </c>
    </row>
    <row r="506">
      <c r="A506" t="inlineStr">
        <is>
          <t>20260727-8186-451197084</t>
        </is>
      </c>
      <c r="B506" t="n">
        <v>1</v>
      </c>
      <c r="C506" s="2" t="inlineStr">
        <is>
          <t>Игорь Краснов</t>
        </is>
      </c>
      <c r="D506" s="3" t="n">
        <v>6320</v>
      </c>
      <c r="E506" s="4" t="n">
        <v>18</v>
      </c>
      <c r="F506" t="inlineStr">
        <is>
          <t>Яндекс.Путешествия [Чайковский]</t>
        </is>
      </c>
      <c r="G506" s="3">
        <f>ROUND(D506/(100-E506)*100,2)</f>
        <v/>
      </c>
      <c r="H506" s="5" t="n">
        <v>46230.58333333334</v>
      </c>
      <c r="I506" t="n">
        <v>1</v>
      </c>
      <c r="J506" s="3">
        <f>G506/I506</f>
        <v/>
      </c>
      <c r="K506">
        <f>IF(J506&gt;=5100,"ставка","мин.ставка")</f>
        <v/>
      </c>
      <c r="L506" s="3">
        <f>ROUND(IF(K506="мин.ставка",I506*100,G506/102*2),2)</f>
        <v/>
      </c>
      <c r="M506" s="5" t="n">
        <v>46231.5</v>
      </c>
      <c r="N506" t="inlineStr">
        <is>
          <t>TravelLine YAX</t>
        </is>
      </c>
      <c r="O506" s="2" t="inlineStr">
        <is>
          <t>СТАНДАРТНЫЙ ДВУХМЕСТНЫЙ НОМЕР (МАНСАРДА)</t>
        </is>
      </c>
      <c r="P506" s="6" t="n"/>
      <c r="R506" t="inlineStr"/>
      <c r="S506" t="inlineStr">
        <is>
          <t>Тариф с завтраком</t>
        </is>
      </c>
      <c r="T506" t="n">
        <v>0</v>
      </c>
      <c r="U506" t="n">
        <v>6320</v>
      </c>
    </row>
    <row r="507">
      <c r="A507" t="inlineStr">
        <is>
          <t>20260824-8186-459510208</t>
        </is>
      </c>
      <c r="B507" t="n">
        <v>1</v>
      </c>
      <c r="C507" s="2" t="inlineStr">
        <is>
          <t>Игорь Кудрявцев</t>
        </is>
      </c>
      <c r="D507" s="3" t="n">
        <v>20160</v>
      </c>
      <c r="E507" s="4" t="n">
        <v>17</v>
      </c>
      <c r="F507" t="inlineStr">
        <is>
          <t>ООО «Интернет Трэвел» (OZON) [Чайковский]</t>
        </is>
      </c>
      <c r="G507" s="3">
        <f>ROUND(D507/(100-E507)*100,2)</f>
        <v/>
      </c>
      <c r="H507" s="5" t="n">
        <v>46258.58333333334</v>
      </c>
      <c r="I507" t="n">
        <v>2</v>
      </c>
      <c r="J507" s="3">
        <f>G507/I507</f>
        <v/>
      </c>
      <c r="K507">
        <f>IF(J507&gt;=5100,"ставка","мин.ставка")</f>
        <v/>
      </c>
      <c r="L507" s="3">
        <f>ROUND(IF(K507="мин.ставка",I507*100,G507/102*2),2)</f>
        <v/>
      </c>
      <c r="M507" s="5" t="n">
        <v>46260.5</v>
      </c>
      <c r="N507" t="inlineStr">
        <is>
          <t>TravelLine OZ2</t>
        </is>
      </c>
      <c r="O507" s="2" t="inlineStr">
        <is>
          <t>СТАНДАРТНЫЙ ДВУХМЕСТНЫЙ НОМЕР</t>
        </is>
      </c>
      <c r="P507" s="6" t="n"/>
      <c r="R507" t="inlineStr"/>
      <c r="S507" t="inlineStr">
        <is>
          <t>Тариф с завтраком</t>
        </is>
      </c>
      <c r="T507" t="n">
        <v>0</v>
      </c>
      <c r="U507" t="n">
        <v>20160</v>
      </c>
    </row>
    <row r="508">
      <c r="A508" t="inlineStr">
        <is>
          <t>20260910-8186-455920278</t>
        </is>
      </c>
      <c r="B508" t="n">
        <v>1</v>
      </c>
      <c r="C508" s="2" t="inlineStr">
        <is>
          <t>ИГОРЬ МИРОШНИЧЕНКО, Татьяна Мирошниченко</t>
        </is>
      </c>
      <c r="D508" s="3" t="n">
        <v>11600</v>
      </c>
      <c r="E508" s="4" t="n">
        <v>20</v>
      </c>
      <c r="F508" t="inlineStr">
        <is>
          <t>ООО «Дубль Гис» (OTELLO) [Чайковский]</t>
        </is>
      </c>
      <c r="G508" s="3">
        <f>ROUND(D508/(100-E508)*100,2)</f>
        <v/>
      </c>
      <c r="H508" s="5" t="n">
        <v>46275.58333333334</v>
      </c>
      <c r="I508" t="n">
        <v>1</v>
      </c>
      <c r="J508" s="3">
        <f>G508/I508</f>
        <v/>
      </c>
      <c r="K508">
        <f>IF(J508&gt;=5100,"ставка","мин.ставка")</f>
        <v/>
      </c>
      <c r="L508" s="3">
        <f>ROUND(IF(K508="мин.ставка",I508*100,G508/102*2),2)</f>
        <v/>
      </c>
      <c r="M508" s="5" t="n">
        <v>46276.5</v>
      </c>
      <c r="N508" t="inlineStr">
        <is>
          <t>TravelLine OL2</t>
        </is>
      </c>
      <c r="O508" s="2" t="inlineStr">
        <is>
          <t>ЛЮКС ВТОРОЙ КОРПУС</t>
        </is>
      </c>
      <c r="P508" s="6" t="n"/>
      <c r="R508" t="inlineStr"/>
      <c r="S508" t="inlineStr">
        <is>
          <t>Основной тариф без завтрака</t>
        </is>
      </c>
      <c r="T508" t="n">
        <v>0</v>
      </c>
      <c r="U508" t="n">
        <v>11600</v>
      </c>
    </row>
    <row r="509">
      <c r="A509" t="inlineStr">
        <is>
          <t>20260828-8186-442571726</t>
        </is>
      </c>
      <c r="B509" t="n">
        <v>1</v>
      </c>
      <c r="C509" s="2" t="inlineStr">
        <is>
          <t>Игорь Мокан, Оксана Макеенко</t>
        </is>
      </c>
      <c r="D509" s="3" t="n">
        <v>15988.5</v>
      </c>
      <c r="E509" s="4" t="n">
        <v>4</v>
      </c>
      <c r="F509" t="inlineStr">
        <is>
          <t>TravelLine Booking Engine [Чайковский]</t>
        </is>
      </c>
      <c r="G509" s="3">
        <f>ROUND(D509/(100-E509)*100,2)</f>
        <v/>
      </c>
      <c r="H509" s="5" t="n">
        <v>46262.58333333334</v>
      </c>
      <c r="I509" t="n">
        <v>1</v>
      </c>
      <c r="J509" s="3">
        <f>G509/I509</f>
        <v/>
      </c>
      <c r="K509">
        <f>IF(J509&gt;=5100,"ставка","мин.ставка")</f>
        <v/>
      </c>
      <c r="L509" s="3">
        <f>ROUND(IF(K509="мин.ставка",I509*100,G509/102*2),2)</f>
        <v/>
      </c>
      <c r="M509" s="5" t="n">
        <v>46263.5</v>
      </c>
      <c r="N509" t="inlineStr">
        <is>
          <t>TravelLine сайт</t>
        </is>
      </c>
      <c r="O509" s="2" t="inlineStr">
        <is>
          <t>ПОЛУЛЮКС</t>
        </is>
      </c>
      <c r="P509" s="6" t="n"/>
      <c r="R509" t="inlineStr"/>
      <c r="S509" t="inlineStr">
        <is>
          <t>Тариф с завтраком</t>
        </is>
      </c>
      <c r="T509" t="n">
        <v>0</v>
      </c>
      <c r="U509" t="n">
        <v>15988.5</v>
      </c>
    </row>
    <row r="510">
      <c r="A510" t="inlineStr">
        <is>
          <t>20260914-8186-465529596</t>
        </is>
      </c>
      <c r="B510" t="n">
        <v>1</v>
      </c>
      <c r="C510" s="2" t="inlineStr">
        <is>
          <t>Игорь Новиков</t>
        </is>
      </c>
      <c r="D510" s="3" t="n">
        <v>26010</v>
      </c>
      <c r="E510" s="4" t="n">
        <v>0</v>
      </c>
      <c r="F510" t="inlineStr">
        <is>
          <t>Прямые бронирования (стойка) [Чайковский]</t>
        </is>
      </c>
      <c r="G510" s="3">
        <f>ROUND(D510/(100-E510)*100,2)</f>
        <v/>
      </c>
      <c r="H510" s="5" t="n">
        <v>46279.58333333334</v>
      </c>
      <c r="I510" t="n">
        <v>2</v>
      </c>
      <c r="J510" s="3">
        <f>G510/I510</f>
        <v/>
      </c>
      <c r="K510">
        <f>IF(J510&gt;=5100,"ставка","мин.ставка")</f>
        <v/>
      </c>
      <c r="L510" s="3">
        <f>ROUND(IF(K510="мин.ставка",I510*100,G510/102*2),2)</f>
        <v/>
      </c>
      <c r="M510" s="5" t="n">
        <v>46281.5</v>
      </c>
      <c r="N510" t="inlineStr">
        <is>
          <t>TravelLine ресепшн</t>
        </is>
      </c>
      <c r="O510" s="2" t="inlineStr">
        <is>
          <t>СЕМЕЙНЫЙ НОМЕР КАТЕГОРИИ "СТАНДАРТ" ВТОРОЙ КОРПУС</t>
        </is>
      </c>
      <c r="P510" s="6" t="n"/>
      <c r="R510" t="inlineStr"/>
      <c r="S510" t="inlineStr">
        <is>
          <t>Тариф с завтраком</t>
        </is>
      </c>
      <c r="T510" t="n">
        <v>0</v>
      </c>
      <c r="U510" t="n">
        <v>26010</v>
      </c>
    </row>
    <row r="511">
      <c r="A511" t="inlineStr">
        <is>
          <t>20260815-8186-441303646</t>
        </is>
      </c>
      <c r="B511" t="n">
        <v>1</v>
      </c>
      <c r="C511" s="2" t="inlineStr">
        <is>
          <t>Игорь Паршин, Анна Хрулева</t>
        </is>
      </c>
      <c r="D511" s="3" t="n">
        <v>16500</v>
      </c>
      <c r="E511" s="4" t="n">
        <v>0</v>
      </c>
      <c r="F511" t="inlineStr">
        <is>
          <t>Прямые бронирования (стойка) [Чайковский]</t>
        </is>
      </c>
      <c r="G511" s="3">
        <f>ROUND(D511/(100-E511)*100,2)</f>
        <v/>
      </c>
      <c r="H511" s="5" t="n">
        <v>46249.58333333334</v>
      </c>
      <c r="I511" t="n">
        <v>1</v>
      </c>
      <c r="J511" s="3">
        <f>G511/I511</f>
        <v/>
      </c>
      <c r="K511">
        <f>IF(J511&gt;=5100,"ставка","мин.ставка")</f>
        <v/>
      </c>
      <c r="L511" s="3">
        <f>ROUND(IF(K511="мин.ставка",I511*100,G511/102*2),2)</f>
        <v/>
      </c>
      <c r="M511" s="5" t="n">
        <v>46250.5</v>
      </c>
      <c r="N511" t="inlineStr">
        <is>
          <t>TravelLine ресепшн</t>
        </is>
      </c>
      <c r="O511" s="2" t="inlineStr">
        <is>
          <t>ПОЛУЛЮКС</t>
        </is>
      </c>
      <c r="P511" s="6" t="n"/>
      <c r="R511" t="inlineStr"/>
      <c r="S511" t="inlineStr">
        <is>
          <t>Тариф с завтраком</t>
        </is>
      </c>
      <c r="T511" t="n">
        <v>0</v>
      </c>
      <c r="U511" t="n">
        <v>16500</v>
      </c>
    </row>
    <row r="512">
      <c r="A512" t="inlineStr">
        <is>
          <t>20260906-8186-459333840</t>
        </is>
      </c>
      <c r="B512" t="n">
        <v>1</v>
      </c>
      <c r="C512" s="2" t="inlineStr">
        <is>
          <t>Игорь Погодин</t>
        </is>
      </c>
      <c r="D512" s="3" t="n">
        <v>6320</v>
      </c>
      <c r="E512" s="4" t="n">
        <v>20</v>
      </c>
      <c r="F512" t="inlineStr">
        <is>
          <t>ООО "КОМПАНИЯ БРОНЕВИК" [Чайковский]</t>
        </is>
      </c>
      <c r="G512" s="3">
        <f>ROUND(D512/(100-E512)*100,2)</f>
        <v/>
      </c>
      <c r="H512" s="5" t="n">
        <v>46271.375</v>
      </c>
      <c r="I512" t="n">
        <v>1</v>
      </c>
      <c r="J512" s="3">
        <f>G512/I512</f>
        <v/>
      </c>
      <c r="K512">
        <f>IF(J512&gt;=5100,"ставка","мин.ставка")</f>
        <v/>
      </c>
      <c r="L512" s="3">
        <f>ROUND(IF(K512="мин.ставка",I512*100,G512/102*2),2)</f>
        <v/>
      </c>
      <c r="M512" s="5" t="n">
        <v>46272.5</v>
      </c>
      <c r="N512" t="inlineStr">
        <is>
          <t>TravelLine BR2</t>
        </is>
      </c>
      <c r="O512" s="2" t="inlineStr">
        <is>
          <t>СТАНДАРТНЫЙ ДВУХМЕСТНЫЙ НОМЕР (МАНСАРДА)</t>
        </is>
      </c>
      <c r="P512" s="6" t="n"/>
      <c r="R512" t="inlineStr"/>
      <c r="S512" t="inlineStr">
        <is>
          <t>Тариф с завтраком</t>
        </is>
      </c>
      <c r="T512" t="n">
        <v>6320</v>
      </c>
      <c r="U512" t="n">
        <v>12640</v>
      </c>
    </row>
    <row r="513">
      <c r="A513" t="inlineStr">
        <is>
          <t>20260923-8186-467719195</t>
        </is>
      </c>
      <c r="B513" t="n">
        <v>1</v>
      </c>
      <c r="C513" s="2" t="inlineStr">
        <is>
          <t>Игорь Самохвалов</t>
        </is>
      </c>
      <c r="D513" s="3" t="n">
        <v>10458</v>
      </c>
      <c r="E513" s="4" t="n">
        <v>16</v>
      </c>
      <c r="F513" t="inlineStr">
        <is>
          <t>ООО "БРОНИРОВАНИЕ ГОСТИНИЦ" (OSTROVOK) [Чайковский]</t>
        </is>
      </c>
      <c r="G513" s="3">
        <f>ROUND(D513/(100-E513)*100,2)</f>
        <v/>
      </c>
      <c r="H513" s="5" t="n">
        <v>46288.58333333334</v>
      </c>
      <c r="I513" t="n">
        <v>1</v>
      </c>
      <c r="J513" s="3">
        <f>G513/I513</f>
        <v/>
      </c>
      <c r="K513">
        <f>IF(J513&gt;=5100,"ставка","мин.ставка")</f>
        <v/>
      </c>
      <c r="L513" s="3">
        <f>ROUND(IF(K513="мин.ставка",I513*100,G513/102*2),2)</f>
        <v/>
      </c>
      <c r="M513" s="5" t="n">
        <v>46289.5</v>
      </c>
      <c r="N513" t="inlineStr">
        <is>
          <t>TravelLine OTK</t>
        </is>
      </c>
      <c r="O513" s="2" t="inlineStr">
        <is>
          <t>СЕМЕЙНЫЙ НОМЕР КАТЕГОРИИ "СТАНДАРТ" ВТОРОЙ КОРПУС</t>
        </is>
      </c>
      <c r="P513" s="6" t="n"/>
      <c r="R513" t="inlineStr"/>
      <c r="S513" t="inlineStr">
        <is>
          <t>Тариф с завтраком</t>
        </is>
      </c>
      <c r="T513" t="n">
        <v>0</v>
      </c>
      <c r="U513" t="n">
        <v>10458</v>
      </c>
    </row>
    <row r="514">
      <c r="A514" t="inlineStr">
        <is>
          <t>20260929-8186-460774925</t>
        </is>
      </c>
      <c r="B514" t="n">
        <v>1</v>
      </c>
      <c r="C514" s="2" t="inlineStr">
        <is>
          <t>Игорь Сапожников, Екатерина Франц</t>
        </is>
      </c>
      <c r="D514" s="3" t="n">
        <v>9900</v>
      </c>
      <c r="E514" s="4" t="n">
        <v>15</v>
      </c>
      <c r="F514" t="inlineStr">
        <is>
          <t>ООО «12Т» (ранее ONE TWO TRIP) [Чайковский]</t>
        </is>
      </c>
      <c r="G514" s="3">
        <f>ROUND(D514/(100-E514)*100,2)</f>
        <v/>
      </c>
      <c r="H514" s="5" t="n">
        <v>46294.58333333334</v>
      </c>
      <c r="I514" t="n">
        <v>1</v>
      </c>
      <c r="J514" s="3">
        <f>G514/I514</f>
        <v/>
      </c>
      <c r="K514">
        <f>IF(J514&gt;=5100,"ставка","мин.ставка")</f>
        <v/>
      </c>
      <c r="L514" s="3">
        <f>ROUND(IF(K514="мин.ставка",I514*100,G514/102*2),2)</f>
        <v/>
      </c>
      <c r="M514" s="5" t="n">
        <v>46295.5</v>
      </c>
      <c r="N514" t="inlineStr">
        <is>
          <t>TravelLine OTT</t>
        </is>
      </c>
      <c r="O514" s="2" t="inlineStr">
        <is>
          <t>СТАНДАРТНЫЙ ДВУХМЕСТНЫЙ НОМЕР (МАНСАРДА)</t>
        </is>
      </c>
      <c r="P514" s="6" t="n"/>
      <c r="R514" t="inlineStr"/>
      <c r="S514" t="inlineStr">
        <is>
          <t>Тариф с завтраком</t>
        </is>
      </c>
      <c r="T514" t="n">
        <v>0</v>
      </c>
      <c r="U514" t="n">
        <v>9900</v>
      </c>
    </row>
    <row r="515">
      <c r="A515" t="inlineStr">
        <is>
          <t>20260707-8186-447992636</t>
        </is>
      </c>
      <c r="B515" t="n">
        <v>1</v>
      </c>
      <c r="C515" s="2" t="inlineStr">
        <is>
          <t>Игорь Сафиуллин</t>
        </is>
      </c>
      <c r="D515" s="3" t="n">
        <v>18160</v>
      </c>
      <c r="E515" s="4" t="n">
        <v>20</v>
      </c>
      <c r="F515" t="inlineStr">
        <is>
          <t>ООО "ХБ-ПРО" [Чайковский]</t>
        </is>
      </c>
      <c r="G515" s="3">
        <f>ROUND(D515/(100-E515)*100,2)</f>
        <v/>
      </c>
      <c r="H515" s="5" t="n">
        <v>46210.58333333334</v>
      </c>
      <c r="I515" t="n">
        <v>2</v>
      </c>
      <c r="J515" s="3">
        <f>G515/I515</f>
        <v/>
      </c>
      <c r="K515">
        <f>IF(J515&gt;=5100,"ставка","мин.ставка")</f>
        <v/>
      </c>
      <c r="L515" s="3">
        <f>ROUND(IF(K515="мин.ставка",I515*100,G515/102*2),2)</f>
        <v/>
      </c>
      <c r="M515" s="5" t="n">
        <v>46212.5</v>
      </c>
      <c r="N515" t="inlineStr">
        <is>
          <t>TravelLine UTS</t>
        </is>
      </c>
      <c r="O515" s="2" t="inlineStr">
        <is>
          <t>СТАНДАРТНЫЙ ДВУХМЕСТНЫЙ НОМЕР</t>
        </is>
      </c>
      <c r="P515" s="6" t="n"/>
      <c r="R515" t="inlineStr"/>
      <c r="S515" t="inlineStr">
        <is>
          <t>Тариф с завтраком</t>
        </is>
      </c>
      <c r="T515" t="n">
        <v>0</v>
      </c>
      <c r="U515" t="n">
        <v>18160</v>
      </c>
    </row>
    <row r="516">
      <c r="A516" t="inlineStr">
        <is>
          <t>20260713-8186-449857736</t>
        </is>
      </c>
      <c r="B516" t="n">
        <v>1</v>
      </c>
      <c r="C516" s="2" t="inlineStr">
        <is>
          <t>Игорь Смирнов</t>
        </is>
      </c>
      <c r="D516" s="3" t="n">
        <v>14775</v>
      </c>
      <c r="E516" s="4" t="n">
        <v>4</v>
      </c>
      <c r="F516" t="inlineStr">
        <is>
          <t>TravelLine Booking Engine [Чайковский]</t>
        </is>
      </c>
      <c r="G516" s="3">
        <f>ROUND(D516/(100-E516)*100,2)</f>
        <v/>
      </c>
      <c r="H516" s="5" t="n">
        <v>46216.58333333334</v>
      </c>
      <c r="I516" t="n">
        <v>1</v>
      </c>
      <c r="J516" s="3">
        <f>G516/I516</f>
        <v/>
      </c>
      <c r="K516">
        <f>IF(J516&gt;=5100,"ставка","мин.ставка")</f>
        <v/>
      </c>
      <c r="L516" s="3">
        <f>ROUND(IF(K516="мин.ставка",I516*100,G516/102*2),2)</f>
        <v/>
      </c>
      <c r="M516" s="5" t="n">
        <v>46217.5</v>
      </c>
      <c r="N516" t="inlineStr">
        <is>
          <t>TravelLine сайт</t>
        </is>
      </c>
      <c r="O516" s="2" t="inlineStr">
        <is>
          <t>ПОЛУЛЮКС</t>
        </is>
      </c>
      <c r="P516" s="6" t="n"/>
      <c r="R516" t="inlineStr"/>
      <c r="S516" t="inlineStr">
        <is>
          <t>Основной тариф без завтрака</t>
        </is>
      </c>
      <c r="T516" t="n">
        <v>0</v>
      </c>
      <c r="U516" t="n">
        <v>14775</v>
      </c>
    </row>
    <row r="517">
      <c r="A517" t="inlineStr">
        <is>
          <t>20260709-8186-448314556</t>
        </is>
      </c>
      <c r="B517" t="n">
        <v>1</v>
      </c>
      <c r="C517" s="2" t="inlineStr">
        <is>
          <t>ИГОРЬ ХОМУТОВСКИЙ, София Новосад</t>
        </is>
      </c>
      <c r="D517" s="3" t="n">
        <v>22991</v>
      </c>
      <c r="E517" s="4" t="n">
        <v>17</v>
      </c>
      <c r="F517" t="inlineStr">
        <is>
          <t>ООО «Дубль Гис» (OTELLO) [Чайковский]</t>
        </is>
      </c>
      <c r="G517" s="3">
        <f>ROUND(D517/(100-E517)*100,2)</f>
        <v/>
      </c>
      <c r="H517" s="5" t="n">
        <v>46212.58333333334</v>
      </c>
      <c r="I517" t="n">
        <v>2</v>
      </c>
      <c r="J517" s="3">
        <f>G517/I517</f>
        <v/>
      </c>
      <c r="K517">
        <f>IF(J517&gt;=5100,"ставка","мин.ставка")</f>
        <v/>
      </c>
      <c r="L517" s="3">
        <f>ROUND(IF(K517="мин.ставка",I517*100,G517/102*2),2)</f>
        <v/>
      </c>
      <c r="M517" s="5" t="n">
        <v>46214.5</v>
      </c>
      <c r="N517" t="inlineStr">
        <is>
          <t>TravelLine OL2</t>
        </is>
      </c>
      <c r="O517" s="2" t="inlineStr">
        <is>
          <t>ПОЛУЛЮКС</t>
        </is>
      </c>
      <c r="P517" s="6" t="n"/>
      <c r="R517" t="inlineStr"/>
      <c r="S517" t="inlineStr">
        <is>
          <t>Тариф с завтраком</t>
        </is>
      </c>
      <c r="T517" t="n">
        <v>0</v>
      </c>
      <c r="U517" t="n">
        <v>22991</v>
      </c>
    </row>
    <row r="518">
      <c r="A518" t="inlineStr">
        <is>
          <t>20260822-8186-425651545</t>
        </is>
      </c>
      <c r="B518" t="n">
        <v>1</v>
      </c>
      <c r="C518" s="2" t="inlineStr">
        <is>
          <t>Игорь Шведов, Виктория Максимова</t>
        </is>
      </c>
      <c r="D518" s="3" t="n">
        <v>60876</v>
      </c>
      <c r="E518" s="4" t="n">
        <v>18</v>
      </c>
      <c r="F518" t="inlineStr">
        <is>
          <t>Яндекс.Путешествия [Чайковский]</t>
        </is>
      </c>
      <c r="G518" s="3">
        <f>ROUND(D518/(100-E518)*100,2)</f>
        <v/>
      </c>
      <c r="H518" s="5" t="n">
        <v>46256.58333333334</v>
      </c>
      <c r="I518" t="n">
        <v>6</v>
      </c>
      <c r="J518" s="3">
        <f>G518/I518</f>
        <v/>
      </c>
      <c r="K518">
        <f>IF(J518&gt;=5100,"ставка","мин.ставка")</f>
        <v/>
      </c>
      <c r="L518" s="3">
        <f>ROUND(IF(K518="мин.ставка",I518*100,G518/102*2),2)</f>
        <v/>
      </c>
      <c r="M518" s="5" t="n">
        <v>46262.5</v>
      </c>
      <c r="N518" t="inlineStr">
        <is>
          <t>TravelLine YAX</t>
        </is>
      </c>
      <c r="O518" s="2" t="inlineStr">
        <is>
          <t>СТАНДАРТНЫЙ ДВУХМЕСТНЫЙ НОМЕР</t>
        </is>
      </c>
      <c r="P518" s="6" t="n"/>
      <c r="R518" t="inlineStr"/>
      <c r="S518" t="inlineStr">
        <is>
          <t>Тариф с завтраком</t>
        </is>
      </c>
      <c r="T518" t="n">
        <v>0</v>
      </c>
      <c r="U518" t="n">
        <v>182928</v>
      </c>
    </row>
    <row r="519">
      <c r="A519" t="inlineStr">
        <is>
          <t>20260924-8186-468104031</t>
        </is>
      </c>
      <c r="B519" t="n">
        <v>1</v>
      </c>
      <c r="C519" s="2" t="inlineStr">
        <is>
          <t>Игорь Широков, Дарья Гигина</t>
        </is>
      </c>
      <c r="D519" s="3" t="n">
        <v>16252.5</v>
      </c>
      <c r="E519" s="4" t="n">
        <v>4</v>
      </c>
      <c r="F519" t="inlineStr">
        <is>
          <t>TravelLine Booking Engine [Чайковский]</t>
        </is>
      </c>
      <c r="G519" s="3">
        <f>ROUND(D519/(100-E519)*100,2)</f>
        <v/>
      </c>
      <c r="H519" s="5" t="n">
        <v>46289.58333333334</v>
      </c>
      <c r="I519" t="n">
        <v>1</v>
      </c>
      <c r="J519" s="3">
        <f>G519/I519</f>
        <v/>
      </c>
      <c r="K519">
        <f>IF(J519&gt;=5100,"ставка","мин.ставка")</f>
        <v/>
      </c>
      <c r="L519" s="3">
        <f>ROUND(IF(K519="мин.ставка",I519*100,G519/102*2),2)</f>
        <v/>
      </c>
      <c r="M519" s="5" t="n">
        <v>46290.625</v>
      </c>
      <c r="N519" t="inlineStr">
        <is>
          <t>TravelLine сайт</t>
        </is>
      </c>
      <c r="O519" s="2" t="inlineStr">
        <is>
          <t>ПОЛУЛЮКС</t>
        </is>
      </c>
      <c r="P519" s="6" t="n"/>
      <c r="R519" t="inlineStr"/>
      <c r="S519" t="inlineStr">
        <is>
          <t>Тариф с завтраком</t>
        </is>
      </c>
      <c r="T519" t="n">
        <v>2064</v>
      </c>
      <c r="U519" t="n">
        <v>18316.5</v>
      </c>
    </row>
    <row r="520">
      <c r="A520" t="inlineStr">
        <is>
          <t>20260910-8186-452434191</t>
        </is>
      </c>
      <c r="B520" t="n">
        <v>1</v>
      </c>
      <c r="C520" s="2" t="inlineStr">
        <is>
          <t>Илона Замышляева</t>
        </is>
      </c>
      <c r="D520" s="3" t="n">
        <v>18960</v>
      </c>
      <c r="E520" s="4" t="n">
        <v>20</v>
      </c>
      <c r="F520" t="inlineStr">
        <is>
          <t>ООО "КОМПАНИЯ БРОНЕВИК" [Чайковский]</t>
        </is>
      </c>
      <c r="G520" s="3">
        <f>ROUND(D520/(100-E520)*100,2)</f>
        <v/>
      </c>
      <c r="H520" s="5" t="n">
        <v>46275.58333333334</v>
      </c>
      <c r="I520" t="n">
        <v>3</v>
      </c>
      <c r="J520" s="3">
        <f>G520/I520</f>
        <v/>
      </c>
      <c r="K520">
        <f>IF(J520&gt;=5100,"ставка","мин.ставка")</f>
        <v/>
      </c>
      <c r="L520" s="3">
        <f>ROUND(IF(K520="мин.ставка",I520*100,G520/102*2),2)</f>
        <v/>
      </c>
      <c r="M520" s="5" t="n">
        <v>46278.5</v>
      </c>
      <c r="N520" t="inlineStr">
        <is>
          <t>TravelLine BR2</t>
        </is>
      </c>
      <c r="O520" s="2" t="inlineStr">
        <is>
          <t>СТАНДАРТНЫЙ ДВУХМЕСТНЫЙ НОМЕР (МАНСАРДА)</t>
        </is>
      </c>
      <c r="P520" s="6" t="n"/>
      <c r="R520" t="inlineStr"/>
      <c r="S520" t="inlineStr">
        <is>
          <t>Тариф с завтраком</t>
        </is>
      </c>
      <c r="T520" t="n">
        <v>0</v>
      </c>
      <c r="U520" t="n">
        <v>18960</v>
      </c>
    </row>
    <row r="521">
      <c r="A521" t="inlineStr">
        <is>
          <t>20260729-8186-446839045</t>
        </is>
      </c>
      <c r="B521" t="n">
        <v>1</v>
      </c>
      <c r="C521" s="2" t="inlineStr">
        <is>
          <t>ИЛЬНУР ВАЛИУЛЛИН, АЛИНА ФЕСЮН</t>
        </is>
      </c>
      <c r="D521" s="3" t="n">
        <v>79432.5</v>
      </c>
      <c r="E521" s="4" t="n">
        <v>0</v>
      </c>
      <c r="F521" t="inlineStr">
        <is>
          <t>ООО «ХОМЛИН ЛЭНД» (ПЕГАС) [Чайковский]</t>
        </is>
      </c>
      <c r="G521" s="3">
        <f>ROUND(D521/(100-E521)*100,2)</f>
        <v/>
      </c>
      <c r="H521" s="5" t="n">
        <v>46232.58333333334</v>
      </c>
      <c r="I521" t="n">
        <v>7</v>
      </c>
      <c r="J521" s="3">
        <f>G521/I521</f>
        <v/>
      </c>
      <c r="K521">
        <f>IF(J521&gt;=5100,"ставка","мин.ставка")</f>
        <v/>
      </c>
      <c r="L521" s="3">
        <f>ROUND(IF(K521="мин.ставка",I521*100,G521/102*2),2)</f>
        <v/>
      </c>
      <c r="M521" s="5" t="n">
        <v>46239.5</v>
      </c>
      <c r="N521" t="inlineStr">
        <is>
          <t>TravelLine PGS</t>
        </is>
      </c>
      <c r="O521" s="2" t="inlineStr">
        <is>
          <t>СТАНДАРТНЫЙ ДВУХМЕСТНЫЙ НОМЕР</t>
        </is>
      </c>
      <c r="P521" s="6" t="n"/>
      <c r="R521" t="inlineStr"/>
      <c r="S521" t="inlineStr">
        <is>
          <t>Тариф с завтраком</t>
        </is>
      </c>
      <c r="T521" t="n">
        <v>0</v>
      </c>
      <c r="U521" t="n">
        <v>79432.5</v>
      </c>
    </row>
    <row r="522">
      <c r="A522" t="inlineStr">
        <is>
          <t>20260930-8186-468476975</t>
        </is>
      </c>
      <c r="B522" t="n">
        <v>1</v>
      </c>
      <c r="C522" s="2" t="inlineStr">
        <is>
          <t>Илья Бобовников</t>
        </is>
      </c>
      <c r="D522" s="3" t="n">
        <v>16601.25</v>
      </c>
      <c r="E522" s="4" t="n">
        <v>18</v>
      </c>
      <c r="F522" t="inlineStr">
        <is>
          <t>Яндекс.Путешествия [Чайковский]</t>
        </is>
      </c>
      <c r="G522" s="3">
        <f>ROUND(D522/(100-E522)*100,2)</f>
        <v/>
      </c>
      <c r="H522" s="5" t="n">
        <v>46295.58333333334</v>
      </c>
      <c r="I522" t="n">
        <v>3</v>
      </c>
      <c r="J522" s="3">
        <f>G522/I522</f>
        <v/>
      </c>
      <c r="K522">
        <f>IF(J522&gt;=5100,"ставка","мин.ставка")</f>
        <v/>
      </c>
      <c r="L522" s="3">
        <f>ROUND(IF(K522="мин.ставка",I522*100,G522/102*2),2)</f>
        <v/>
      </c>
      <c r="M522" s="5" t="n">
        <v>46298.5</v>
      </c>
      <c r="N522" t="inlineStr">
        <is>
          <t>TravelLine YAX</t>
        </is>
      </c>
      <c r="O522" s="2" t="inlineStr">
        <is>
          <t>СТАНДАРТНЫЙ ДВУХМЕСТНЫЙ НОМЕР (МАНСАРДА)</t>
        </is>
      </c>
      <c r="P522" s="6" t="n"/>
      <c r="R522" t="inlineStr"/>
      <c r="S522" t="inlineStr">
        <is>
          <t>Тариф с завтраком</t>
        </is>
      </c>
      <c r="T522" t="n">
        <v>0</v>
      </c>
      <c r="U522" t="n">
        <v>16601.25</v>
      </c>
    </row>
    <row r="523">
      <c r="A523" t="inlineStr">
        <is>
          <t>20260816-8186-459082892</t>
        </is>
      </c>
      <c r="B523" t="n">
        <v>1</v>
      </c>
      <c r="C523" s="2" t="inlineStr">
        <is>
          <t>Илья Веселов, Наталья Панюшкина</t>
        </is>
      </c>
      <c r="D523" s="3" t="n">
        <v>12936</v>
      </c>
      <c r="E523" s="4" t="n">
        <v>16</v>
      </c>
      <c r="F523" t="inlineStr">
        <is>
          <t>ООО "БРОНИРОВАНИЕ ГОСТИНИЦ" (OSTROVOK) [Чайковский]</t>
        </is>
      </c>
      <c r="G523" s="3">
        <f>ROUND(D523/(100-E523)*100,2)</f>
        <v/>
      </c>
      <c r="H523" s="5" t="n">
        <v>46250.58333333334</v>
      </c>
      <c r="I523" t="n">
        <v>1</v>
      </c>
      <c r="J523" s="3">
        <f>G523/I523</f>
        <v/>
      </c>
      <c r="K523">
        <f>IF(J523&gt;=5100,"ставка","мин.ставка")</f>
        <v/>
      </c>
      <c r="L523" s="3">
        <f>ROUND(IF(K523="мин.ставка",I523*100,G523/102*2),2)</f>
        <v/>
      </c>
      <c r="M523" s="5" t="n">
        <v>46251.5</v>
      </c>
      <c r="N523" t="inlineStr">
        <is>
          <t>TravelLine OTK</t>
        </is>
      </c>
      <c r="O523" s="2" t="inlineStr">
        <is>
          <t>УЛУЧШЕННЫЙ ДВУХМЕСТНЫЙ НОМЕР</t>
        </is>
      </c>
      <c r="P523" s="6" t="n"/>
      <c r="R523" t="inlineStr"/>
      <c r="S523" t="inlineStr">
        <is>
          <t>Тариф с завтраком</t>
        </is>
      </c>
      <c r="T523" t="n">
        <v>0</v>
      </c>
      <c r="U523" t="n">
        <v>12936</v>
      </c>
    </row>
    <row r="524">
      <c r="A524" t="inlineStr">
        <is>
          <t>20260903-8186-463301767</t>
        </is>
      </c>
      <c r="B524" t="n">
        <v>1</v>
      </c>
      <c r="C524" s="2" t="inlineStr">
        <is>
          <t>Илья Виленский</t>
        </is>
      </c>
      <c r="D524" s="3" t="n">
        <v>8512.5</v>
      </c>
      <c r="E524" s="4" t="n">
        <v>18</v>
      </c>
      <c r="F524" t="inlineStr">
        <is>
          <t>Яндекс.Путешествия [Чайковский]</t>
        </is>
      </c>
      <c r="G524" s="3">
        <f>ROUND(D524/(100-E524)*100,2)</f>
        <v/>
      </c>
      <c r="H524" s="5" t="n">
        <v>46268.58333333334</v>
      </c>
      <c r="I524" t="n">
        <v>1</v>
      </c>
      <c r="J524" s="3">
        <f>G524/I524</f>
        <v/>
      </c>
      <c r="K524">
        <f>IF(J524&gt;=5100,"ставка","мин.ставка")</f>
        <v/>
      </c>
      <c r="L524" s="3">
        <f>ROUND(IF(K524="мин.ставка",I524*100,G524/102*2),2)</f>
        <v/>
      </c>
      <c r="M524" s="5" t="n">
        <v>46269.5</v>
      </c>
      <c r="N524" t="inlineStr">
        <is>
          <t>TravelLine YAX</t>
        </is>
      </c>
      <c r="O524" s="2" t="inlineStr">
        <is>
          <t>СТАНДАРТНЫЙ ДВУХМЕСТНЫЙ НОМЕР</t>
        </is>
      </c>
      <c r="P524" s="6" t="n"/>
      <c r="R524" t="inlineStr"/>
      <c r="S524" t="inlineStr">
        <is>
          <t>Тариф с завтраком</t>
        </is>
      </c>
      <c r="T524" t="n">
        <v>0</v>
      </c>
      <c r="U524" t="n">
        <v>8512.5</v>
      </c>
    </row>
    <row r="525">
      <c r="A525" t="inlineStr">
        <is>
          <t>20260907-8186-459655458</t>
        </is>
      </c>
      <c r="B525" t="n">
        <v>1</v>
      </c>
      <c r="C525" s="2" t="inlineStr">
        <is>
          <t>Илья Воронич</t>
        </is>
      </c>
      <c r="D525" s="3" t="n">
        <v>30627</v>
      </c>
      <c r="E525" s="4" t="n">
        <v>18</v>
      </c>
      <c r="F525" t="inlineStr">
        <is>
          <t>ООО "Эй энд Эй" [Чайковский]</t>
        </is>
      </c>
      <c r="G525" s="3">
        <f>ROUND(D525/(100-E525)*100,2)</f>
        <v/>
      </c>
      <c r="H525" s="5" t="n">
        <v>46272.58333333334</v>
      </c>
      <c r="I525" t="n">
        <v>3</v>
      </c>
      <c r="J525" s="3">
        <f>G525/I525</f>
        <v/>
      </c>
      <c r="K525">
        <f>IF(J525&gt;=5100,"ставка","мин.ставка")</f>
        <v/>
      </c>
      <c r="L525" s="3">
        <f>ROUND(IF(K525="мин.ставка",I525*100,G525/102*2),2)</f>
        <v/>
      </c>
      <c r="M525" s="5" t="n">
        <v>46275.5</v>
      </c>
      <c r="N525" t="inlineStr">
        <is>
          <t>TravelLine ANA</t>
        </is>
      </c>
      <c r="O525" s="2" t="inlineStr">
        <is>
          <t>СЕМЕЙНЫЙ НОМЕР КАТЕГОРИИ "СТАНДАРТ" ВТОРОЙ КОРПУС</t>
        </is>
      </c>
      <c r="P525" s="6" t="n"/>
      <c r="R525" t="inlineStr"/>
      <c r="S525" t="inlineStr">
        <is>
          <t>Тариф с завтраком</t>
        </is>
      </c>
      <c r="T525" t="n">
        <v>0</v>
      </c>
      <c r="U525" t="n">
        <v>30627</v>
      </c>
    </row>
    <row r="526">
      <c r="A526" t="inlineStr">
        <is>
          <t>20260804-8186-454591056</t>
        </is>
      </c>
      <c r="B526" t="n">
        <v>1</v>
      </c>
      <c r="C526" s="2" t="inlineStr">
        <is>
          <t>Илья Мартьянов, Екатерина Жукова</t>
        </is>
      </c>
      <c r="D526" s="3" t="n">
        <v>32488.5</v>
      </c>
      <c r="E526" s="4" t="n">
        <v>4</v>
      </c>
      <c r="F526" t="inlineStr">
        <is>
          <t>TravelLine Booking Engine [Чайковский]</t>
        </is>
      </c>
      <c r="G526" s="3">
        <f>ROUND(D526/(100-E526)*100,2)</f>
        <v/>
      </c>
      <c r="H526" s="5" t="n">
        <v>46238.58333333334</v>
      </c>
      <c r="I526" t="n">
        <v>2</v>
      </c>
      <c r="J526" s="3">
        <f>G526/I526</f>
        <v/>
      </c>
      <c r="K526">
        <f>IF(J526&gt;=5100,"ставка","мин.ставка")</f>
        <v/>
      </c>
      <c r="L526" s="3">
        <f>ROUND(IF(K526="мин.ставка",I526*100,G526/102*2),2)</f>
        <v/>
      </c>
      <c r="M526" s="5" t="n">
        <v>46240.5</v>
      </c>
      <c r="N526" t="inlineStr">
        <is>
          <t>TravelLine сайт</t>
        </is>
      </c>
      <c r="O526" s="2" t="inlineStr">
        <is>
          <t>ПОЛУЛЮКС</t>
        </is>
      </c>
      <c r="P526" s="6" t="n"/>
      <c r="R526" t="inlineStr"/>
      <c r="S526" t="inlineStr">
        <is>
          <t>Тариф с завтраком</t>
        </is>
      </c>
      <c r="T526" t="n">
        <v>0</v>
      </c>
      <c r="U526" t="n">
        <v>32488.5</v>
      </c>
    </row>
    <row r="527">
      <c r="A527" t="inlineStr">
        <is>
          <t>20260917-8186-463151267</t>
        </is>
      </c>
      <c r="B527" t="n">
        <v>1</v>
      </c>
      <c r="C527" s="2" t="inlineStr">
        <is>
          <t>Илья Тихонович, Анастасия Юдикс</t>
        </is>
      </c>
      <c r="D527" s="3" t="n">
        <v>15840</v>
      </c>
      <c r="E527" s="4" t="n">
        <v>20</v>
      </c>
      <c r="F527" t="inlineStr">
        <is>
          <t>ООО "ХБ-ПРО" [Чайковский]</t>
        </is>
      </c>
      <c r="G527" s="3">
        <f>ROUND(D527/(100-E527)*100,2)</f>
        <v/>
      </c>
      <c r="H527" s="5" t="n">
        <v>46282.58333333334</v>
      </c>
      <c r="I527" t="n">
        <v>2</v>
      </c>
      <c r="J527" s="3">
        <f>G527/I527</f>
        <v/>
      </c>
      <c r="K527">
        <f>IF(J527&gt;=5100,"ставка","мин.ставка")</f>
        <v/>
      </c>
      <c r="L527" s="3">
        <f>ROUND(IF(K527="мин.ставка",I527*100,G527/102*2),2)</f>
        <v/>
      </c>
      <c r="M527" s="5" t="n">
        <v>46284.5</v>
      </c>
      <c r="N527" t="inlineStr">
        <is>
          <t>TravelLine UTS</t>
        </is>
      </c>
      <c r="O527" s="2" t="inlineStr">
        <is>
          <t>СТАНДАРТНЫЙ ДВУХМЕСТНЫЙ НОМЕР (МАНСАРДА)</t>
        </is>
      </c>
      <c r="P527" s="6" t="n"/>
      <c r="R527" t="inlineStr"/>
      <c r="S527" t="inlineStr">
        <is>
          <t>Тариф с завтраком</t>
        </is>
      </c>
      <c r="T527" t="n">
        <v>0</v>
      </c>
      <c r="U527" t="n">
        <v>15840</v>
      </c>
    </row>
    <row r="528">
      <c r="A528" t="inlineStr">
        <is>
          <t>20260926-8186-468708384</t>
        </is>
      </c>
      <c r="B528" t="n">
        <v>1</v>
      </c>
      <c r="C528" s="2" t="inlineStr">
        <is>
          <t>Инга Авалиани, Цотне Шалвашвили</t>
        </is>
      </c>
      <c r="D528" s="3" t="n">
        <v>14535</v>
      </c>
      <c r="E528" s="4" t="n">
        <v>4</v>
      </c>
      <c r="F528" t="inlineStr">
        <is>
          <t>TravelLine Booking Engine [Чайковский]</t>
        </is>
      </c>
      <c r="G528" s="3">
        <f>ROUND(D528/(100-E528)*100,2)</f>
        <v/>
      </c>
      <c r="H528" s="5" t="n">
        <v>46291.58333333334</v>
      </c>
      <c r="I528" t="n">
        <v>1</v>
      </c>
      <c r="J528" s="3">
        <f>G528/I528</f>
        <v/>
      </c>
      <c r="K528">
        <f>IF(J528&gt;=5100,"ставка","мин.ставка")</f>
        <v/>
      </c>
      <c r="L528" s="3">
        <f>ROUND(IF(K528="мин.ставка",I528*100,G528/102*2),2)</f>
        <v/>
      </c>
      <c r="M528" s="5" t="n">
        <v>46292.5</v>
      </c>
      <c r="N528" t="inlineStr">
        <is>
          <t>TravelLine сайт</t>
        </is>
      </c>
      <c r="O528" s="2" t="inlineStr">
        <is>
          <t>ПОЛУЛЮКС</t>
        </is>
      </c>
      <c r="P528" s="6" t="n"/>
      <c r="R528" t="inlineStr"/>
      <c r="S528" t="inlineStr">
        <is>
          <t>Основной тариф без завтрака</t>
        </is>
      </c>
      <c r="T528" t="n">
        <v>0</v>
      </c>
      <c r="U528" t="n">
        <v>14535</v>
      </c>
    </row>
    <row r="529">
      <c r="A529" t="inlineStr">
        <is>
          <t>20260702-8186-439080625</t>
        </is>
      </c>
      <c r="B529" t="n">
        <v>1</v>
      </c>
      <c r="C529" s="2" t="inlineStr">
        <is>
          <t>Инга Гогленкова, Алексей Гогленков</t>
        </is>
      </c>
      <c r="D529" s="3" t="n">
        <v>26499.75</v>
      </c>
      <c r="E529" s="4" t="n">
        <v>4</v>
      </c>
      <c r="F529" t="inlineStr">
        <is>
          <t>TravelLine Booking Engine [Чайковский]</t>
        </is>
      </c>
      <c r="G529" s="3">
        <f>ROUND(D529/(100-E529)*100,2)</f>
        <v/>
      </c>
      <c r="H529" s="5" t="n">
        <v>46205.58333333334</v>
      </c>
      <c r="I529" t="n">
        <v>2</v>
      </c>
      <c r="J529" s="3">
        <f>G529/I529</f>
        <v/>
      </c>
      <c r="K529">
        <f>IF(J529&gt;=5100,"ставка","мин.ставка")</f>
        <v/>
      </c>
      <c r="L529" s="3">
        <f>ROUND(IF(K529="мин.ставка",I529*100,G529/102*2),2)</f>
        <v/>
      </c>
      <c r="M529" s="5" t="n">
        <v>46207.5</v>
      </c>
      <c r="N529" t="inlineStr">
        <is>
          <t>TravelLine сайт</t>
        </is>
      </c>
      <c r="O529" s="2" t="inlineStr">
        <is>
          <t>СТАНДАРТНЫЙ ДВУХМЕСТНЫЙ НОМЕР</t>
        </is>
      </c>
      <c r="P529" s="6" t="n"/>
      <c r="R529" t="inlineStr"/>
      <c r="S529" t="inlineStr">
        <is>
          <t>Тариф с завтраком</t>
        </is>
      </c>
      <c r="T529" t="n">
        <v>0</v>
      </c>
      <c r="U529" t="n">
        <v>26499.75</v>
      </c>
    </row>
    <row r="530">
      <c r="A530" t="inlineStr">
        <is>
          <t>20260819-8186-455524980</t>
        </is>
      </c>
      <c r="B530" t="n">
        <v>1</v>
      </c>
      <c r="C530" s="2" t="inlineStr">
        <is>
          <t>ИННА АСТАШЕВА</t>
        </is>
      </c>
      <c r="D530" s="3" t="n">
        <v>19920</v>
      </c>
      <c r="E530" s="4" t="n">
        <v>20</v>
      </c>
      <c r="F530" t="inlineStr">
        <is>
          <t>ООО "ХБ-ПРО" [Чайковский]</t>
        </is>
      </c>
      <c r="G530" s="3">
        <f>ROUND(D530/(100-E530)*100,2)</f>
        <v/>
      </c>
      <c r="H530" s="5" t="n">
        <v>46253.58333333334</v>
      </c>
      <c r="I530" t="n">
        <v>2</v>
      </c>
      <c r="J530" s="3">
        <f>G530/I530</f>
        <v/>
      </c>
      <c r="K530">
        <f>IF(J530&gt;=5100,"ставка","мин.ставка")</f>
        <v/>
      </c>
      <c r="L530" s="3">
        <f>ROUND(IF(K530="мин.ставка",I530*100,G530/102*2),2)</f>
        <v/>
      </c>
      <c r="M530" s="5" t="n">
        <v>46255.5</v>
      </c>
      <c r="N530" t="inlineStr">
        <is>
          <t>TravelLine UTS</t>
        </is>
      </c>
      <c r="O530" s="2" t="inlineStr">
        <is>
          <t>СЕМЕЙНЫЙ НОМЕР КАТЕГОРИИ "СТАНДАРТ" ВТОРОЙ КОРПУС</t>
        </is>
      </c>
      <c r="P530" s="6" t="n"/>
      <c r="R530" t="inlineStr"/>
      <c r="S530" t="inlineStr">
        <is>
          <t>Тариф с завтраком</t>
        </is>
      </c>
      <c r="T530" t="n">
        <v>0</v>
      </c>
      <c r="U530" t="n">
        <v>19920</v>
      </c>
    </row>
    <row r="531">
      <c r="A531" t="inlineStr">
        <is>
          <t>20260807-8186-454198481</t>
        </is>
      </c>
      <c r="B531" t="n">
        <v>1</v>
      </c>
      <c r="C531" s="2" t="inlineStr">
        <is>
          <t>Инна Еремина, Матвей Еремин</t>
        </is>
      </c>
      <c r="D531" s="3" t="n">
        <v>26180</v>
      </c>
      <c r="E531" s="4" t="n">
        <v>0</v>
      </c>
      <c r="F531" t="inlineStr">
        <is>
          <t>ООО "АЛЕАН ОТДЫХ" [Чайковский]</t>
        </is>
      </c>
      <c r="G531" s="3">
        <f>ROUND(D531/(100-E531)*100,2)</f>
        <v/>
      </c>
      <c r="H531" s="5" t="n">
        <v>46241.58333333334</v>
      </c>
      <c r="I531" t="n">
        <v>2</v>
      </c>
      <c r="J531" s="3">
        <f>G531/I531</f>
        <v/>
      </c>
      <c r="K531">
        <f>IF(J531&gt;=5100,"ставка","мин.ставка")</f>
        <v/>
      </c>
      <c r="L531" s="3">
        <f>ROUND(IF(K531="мин.ставка",I531*100,G531/102*2),2)</f>
        <v/>
      </c>
      <c r="M531" s="5" t="n">
        <v>46243.5</v>
      </c>
      <c r="N531" t="inlineStr">
        <is>
          <t>TravelLine ALN</t>
        </is>
      </c>
      <c r="O531" s="2" t="inlineStr">
        <is>
          <t>УЛУЧШЕННЫЙ ДВУХМЕСТНЫЙ НОМЕР</t>
        </is>
      </c>
      <c r="P531" s="6" t="n"/>
      <c r="R531" t="inlineStr"/>
      <c r="S531" t="inlineStr">
        <is>
          <t>Тариф с завтраком</t>
        </is>
      </c>
      <c r="T531" t="n">
        <v>0</v>
      </c>
      <c r="U531" t="n">
        <v>26180</v>
      </c>
    </row>
    <row r="532">
      <c r="A532" t="inlineStr">
        <is>
          <t>20260710-8186-442927054</t>
        </is>
      </c>
      <c r="B532" t="n">
        <v>1</v>
      </c>
      <c r="C532" s="2" t="inlineStr">
        <is>
          <t>Инна Кондрахина</t>
        </is>
      </c>
      <c r="D532" s="3" t="n">
        <v>9647.5</v>
      </c>
      <c r="E532" s="4" t="n">
        <v>15</v>
      </c>
      <c r="F532" t="inlineStr">
        <is>
          <t>ООО "БРОНИРОВАНИЕ ГОСТИНИЦ" (OSTROVOK) [Чайковский]</t>
        </is>
      </c>
      <c r="G532" s="3">
        <f>ROUND(D532/(100-E532)*100,2)</f>
        <v/>
      </c>
      <c r="H532" s="5" t="n">
        <v>46213.58333333334</v>
      </c>
      <c r="I532" t="n">
        <v>1</v>
      </c>
      <c r="J532" s="3">
        <f>G532/I532</f>
        <v/>
      </c>
      <c r="K532">
        <f>IF(J532&gt;=5100,"ставка","мин.ставка")</f>
        <v/>
      </c>
      <c r="L532" s="3">
        <f>ROUND(IF(K532="мин.ставка",I532*100,G532/102*2),2)</f>
        <v/>
      </c>
      <c r="M532" s="5" t="n">
        <v>46214.5</v>
      </c>
      <c r="N532" t="inlineStr">
        <is>
          <t>TravelLine OTK</t>
        </is>
      </c>
      <c r="O532" s="2" t="inlineStr">
        <is>
          <t>СТАНДАРТНЫЙ ДВУХМЕСТНЫЙ НОМЕР</t>
        </is>
      </c>
      <c r="P532" s="6" t="n"/>
      <c r="R532" t="inlineStr"/>
      <c r="S532" t="inlineStr">
        <is>
          <t>Тариф с завтраком</t>
        </is>
      </c>
      <c r="T532" t="n">
        <v>0</v>
      </c>
      <c r="U532" t="n">
        <v>9647.5</v>
      </c>
    </row>
    <row r="533">
      <c r="A533" t="inlineStr">
        <is>
          <t>20260821-8186-460553289</t>
        </is>
      </c>
      <c r="B533" t="n">
        <v>1</v>
      </c>
      <c r="C533" s="2" t="inlineStr">
        <is>
          <t>ИННА КУЗНЕЦОВА</t>
        </is>
      </c>
      <c r="D533" s="3" t="n">
        <v>15800</v>
      </c>
      <c r="E533" s="4" t="n">
        <v>0</v>
      </c>
      <c r="F533" t="inlineStr">
        <is>
          <t>Прямые бронирования (стойка) [Чайковский]</t>
        </is>
      </c>
      <c r="G533" s="3">
        <f>ROUND(D533/(100-E533)*100,2)</f>
        <v/>
      </c>
      <c r="H533" s="5" t="n">
        <v>46255.58333333334</v>
      </c>
      <c r="I533" t="n">
        <v>1</v>
      </c>
      <c r="J533" s="3">
        <f>G533/I533</f>
        <v/>
      </c>
      <c r="K533">
        <f>IF(J533&gt;=5100,"ставка","мин.ставка")</f>
        <v/>
      </c>
      <c r="L533" s="3">
        <f>ROUND(IF(K533="мин.ставка",I533*100,G533/102*2),2)</f>
        <v/>
      </c>
      <c r="M533" s="5" t="n">
        <v>46256.5</v>
      </c>
      <c r="N533" t="inlineStr">
        <is>
          <t>TravelLine ресепшн</t>
        </is>
      </c>
      <c r="O533" s="2" t="inlineStr">
        <is>
          <t>ЛЮКС ВТОРОЙ КОРПУС</t>
        </is>
      </c>
      <c r="P533" s="6" t="n"/>
      <c r="R533" t="inlineStr"/>
      <c r="S533" t="inlineStr">
        <is>
          <t>Тариф с завтраком</t>
        </is>
      </c>
      <c r="T533" t="n">
        <v>0</v>
      </c>
      <c r="U533" t="n">
        <v>15800</v>
      </c>
    </row>
    <row r="534">
      <c r="A534" t="inlineStr">
        <is>
          <t>20260716-8186-450105684</t>
        </is>
      </c>
      <c r="B534" t="n">
        <v>1</v>
      </c>
      <c r="C534" s="2" t="inlineStr">
        <is>
          <t>ИННА ФИРСОВА</t>
        </is>
      </c>
      <c r="D534" s="3" t="n">
        <v>21976</v>
      </c>
      <c r="E534" s="4" t="n">
        <v>18</v>
      </c>
      <c r="F534" t="inlineStr">
        <is>
          <t>ООО "ТРИВИО СЕРВИС" [Чайковский]</t>
        </is>
      </c>
      <c r="G534" s="3">
        <f>ROUND(D534/(100-E534)*100,2)</f>
        <v/>
      </c>
      <c r="H534" s="5" t="n">
        <v>46219.58333333334</v>
      </c>
      <c r="I534" t="n">
        <v>2</v>
      </c>
      <c r="J534" s="3">
        <f>G534/I534</f>
        <v/>
      </c>
      <c r="K534">
        <f>IF(J534&gt;=5100,"ставка","мин.ставка")</f>
        <v/>
      </c>
      <c r="L534" s="3">
        <f>ROUND(IF(K534="мин.ставка",I534*100,G534/102*2),2)</f>
        <v/>
      </c>
      <c r="M534" s="5" t="n">
        <v>46221.5</v>
      </c>
      <c r="N534" t="inlineStr">
        <is>
          <t>TravelLine TIO</t>
        </is>
      </c>
      <c r="O534" s="2" t="inlineStr">
        <is>
          <t>УЛУЧШЕННЫЙ ДВУХМЕСТНЫЙ НОМЕР</t>
        </is>
      </c>
      <c r="P534" s="6" t="n"/>
      <c r="R534" t="inlineStr"/>
      <c r="S534" t="inlineStr">
        <is>
          <t>Тариф с завтраком</t>
        </is>
      </c>
      <c r="T534" t="n">
        <v>0</v>
      </c>
      <c r="U534" t="n">
        <v>21976</v>
      </c>
    </row>
    <row r="535">
      <c r="A535" t="inlineStr">
        <is>
          <t>20260818-8186-444575341</t>
        </is>
      </c>
      <c r="B535" t="n">
        <v>1</v>
      </c>
      <c r="C535" s="2" t="inlineStr">
        <is>
          <t>Иннокентий Грибанов</t>
        </is>
      </c>
      <c r="D535" s="3" t="n">
        <v>12320</v>
      </c>
      <c r="E535" s="4" t="n">
        <v>20</v>
      </c>
      <c r="F535" t="inlineStr">
        <is>
          <t>ООО "ХБ-ПРО" [Чайковский]</t>
        </is>
      </c>
      <c r="G535" s="3">
        <f>ROUND(D535/(100-E535)*100,2)</f>
        <v/>
      </c>
      <c r="H535" s="5" t="n">
        <v>46252.58333333334</v>
      </c>
      <c r="I535" t="n">
        <v>2</v>
      </c>
      <c r="J535" s="3">
        <f>G535/I535</f>
        <v/>
      </c>
      <c r="K535">
        <f>IF(J535&gt;=5100,"ставка","мин.ставка")</f>
        <v/>
      </c>
      <c r="L535" s="3">
        <f>ROUND(IF(K535="мин.ставка",I535*100,G535/102*2),2)</f>
        <v/>
      </c>
      <c r="M535" s="5" t="n">
        <v>46254.5</v>
      </c>
      <c r="N535" t="inlineStr">
        <is>
          <t>TravelLine UTS</t>
        </is>
      </c>
      <c r="O535" s="2" t="inlineStr">
        <is>
          <t>СТАНДАРТНЫЙ ОДНОМЕСТНЫЙ НОМЕР</t>
        </is>
      </c>
      <c r="P535" s="6" t="n"/>
      <c r="R535" t="inlineStr"/>
      <c r="S535" t="inlineStr">
        <is>
          <t>Тариф с завтраком</t>
        </is>
      </c>
      <c r="T535" t="n">
        <v>0</v>
      </c>
      <c r="U535" t="n">
        <v>12320</v>
      </c>
    </row>
    <row r="536">
      <c r="A536" t="inlineStr">
        <is>
          <t>20260928-8186-467484877</t>
        </is>
      </c>
      <c r="B536" t="n">
        <v>1</v>
      </c>
      <c r="C536" s="2" t="inlineStr">
        <is>
          <t>Ирина Балашова</t>
        </is>
      </c>
      <c r="D536" s="3" t="n">
        <v>6314</v>
      </c>
      <c r="E536" s="4" t="n">
        <v>18</v>
      </c>
      <c r="F536" t="inlineStr">
        <is>
          <t>ООО "Эй энд Эй" [Чайковский]</t>
        </is>
      </c>
      <c r="G536" s="3">
        <f>ROUND(D536/(100-E536)*100,2)</f>
        <v/>
      </c>
      <c r="H536" s="5" t="n">
        <v>46293.58333333334</v>
      </c>
      <c r="I536" t="n">
        <v>1</v>
      </c>
      <c r="J536" s="3">
        <f>G536/I536</f>
        <v/>
      </c>
      <c r="K536">
        <f>IF(J536&gt;=5100,"ставка","мин.ставка")</f>
        <v/>
      </c>
      <c r="L536" s="3">
        <f>ROUND(IF(K536="мин.ставка",I536*100,G536/102*2),2)</f>
        <v/>
      </c>
      <c r="M536" s="5" t="n">
        <v>46294.5</v>
      </c>
      <c r="N536" t="inlineStr">
        <is>
          <t>TravelLine ANA</t>
        </is>
      </c>
      <c r="O536" s="2" t="inlineStr">
        <is>
          <t>СТАНДАРТНЫЙ ОДНОМЕСТНЫЙ НОМЕР</t>
        </is>
      </c>
      <c r="P536" s="6" t="n"/>
      <c r="R536" t="inlineStr"/>
      <c r="S536" t="inlineStr">
        <is>
          <t>Тариф с завтраком</t>
        </is>
      </c>
      <c r="T536" t="n">
        <v>0</v>
      </c>
      <c r="U536" t="n">
        <v>6314</v>
      </c>
    </row>
    <row r="537">
      <c r="A537" t="inlineStr">
        <is>
          <t>20260913-8186-464847619</t>
        </is>
      </c>
      <c r="B537" t="n">
        <v>1</v>
      </c>
      <c r="C537" s="2" t="inlineStr">
        <is>
          <t>Ирина Карпова, Анна Чурилова</t>
        </is>
      </c>
      <c r="D537" s="3" t="n">
        <v>16434</v>
      </c>
      <c r="E537" s="4" t="n">
        <v>17</v>
      </c>
      <c r="F537" t="inlineStr">
        <is>
          <t>ООО «Интернет Трэвел» (OZON) [Чайковский]</t>
        </is>
      </c>
      <c r="G537" s="3">
        <f>ROUND(D537/(100-E537)*100,2)</f>
        <v/>
      </c>
      <c r="H537" s="5" t="n">
        <v>46278.58333333334</v>
      </c>
      <c r="I537" t="n">
        <v>2</v>
      </c>
      <c r="J537" s="3">
        <f>G537/I537</f>
        <v/>
      </c>
      <c r="K537">
        <f>IF(J537&gt;=5100,"ставка","мин.ставка")</f>
        <v/>
      </c>
      <c r="L537" s="3">
        <f>ROUND(IF(K537="мин.ставка",I537*100,G537/102*2),2)</f>
        <v/>
      </c>
      <c r="M537" s="5" t="n">
        <v>46280.5</v>
      </c>
      <c r="N537" t="inlineStr">
        <is>
          <t>TravelLine OZ2</t>
        </is>
      </c>
      <c r="O537" s="2" t="inlineStr">
        <is>
          <t>СТАНДАРТНЫЙ ДВУХМЕСТНЫЙ НОМЕР (МАНСАРДА)</t>
        </is>
      </c>
      <c r="P537" s="6" t="n"/>
      <c r="R537" t="inlineStr"/>
      <c r="S537" t="inlineStr">
        <is>
          <t>Тариф с завтраком</t>
        </is>
      </c>
      <c r="T537" t="n">
        <v>0</v>
      </c>
      <c r="U537" t="n">
        <v>16434</v>
      </c>
    </row>
    <row r="538">
      <c r="A538" t="inlineStr">
        <is>
          <t>20260810-8186-454830610</t>
        </is>
      </c>
      <c r="B538" t="n">
        <v>1</v>
      </c>
      <c r="C538" s="2" t="inlineStr">
        <is>
          <t>Ирина Катаргина, ТИМОФЕЙ КАТАРГИН</t>
        </is>
      </c>
      <c r="D538" s="3" t="n">
        <v>11347.5</v>
      </c>
      <c r="E538" s="4" t="n">
        <v>16</v>
      </c>
      <c r="F538" t="inlineStr">
        <is>
          <t>ООО "БРОНИРОВАНИЕ ГОСТИНИЦ" (OSTROVOK) [Чайковский]</t>
        </is>
      </c>
      <c r="G538" s="3">
        <f>ROUND(D538/(100-E538)*100,2)</f>
        <v/>
      </c>
      <c r="H538" s="5" t="n">
        <v>46244.58333333334</v>
      </c>
      <c r="I538" t="n">
        <v>1</v>
      </c>
      <c r="J538" s="3">
        <f>G538/I538</f>
        <v/>
      </c>
      <c r="K538">
        <f>IF(J538&gt;=5100,"ставка","мин.ставка")</f>
        <v/>
      </c>
      <c r="L538" s="3">
        <f>ROUND(IF(K538="мин.ставка",I538*100,G538/102*2),2)</f>
        <v/>
      </c>
      <c r="M538" s="5" t="n">
        <v>46245.5</v>
      </c>
      <c r="N538" t="inlineStr">
        <is>
          <t>TravelLine OTK</t>
        </is>
      </c>
      <c r="O538" s="2" t="inlineStr">
        <is>
          <t>СТАНДАРТНЫЙ ДВУХМЕСТНЫЙ НОМЕР</t>
        </is>
      </c>
      <c r="P538" s="6" t="n"/>
      <c r="R538" t="inlineStr"/>
      <c r="S538" t="inlineStr">
        <is>
          <t>Тариф с завтраком</t>
        </is>
      </c>
      <c r="T538" t="n">
        <v>0</v>
      </c>
      <c r="U538" t="n">
        <v>11347.5</v>
      </c>
    </row>
    <row r="539">
      <c r="A539" t="inlineStr">
        <is>
          <t>20260928-8186-463600860</t>
        </is>
      </c>
      <c r="B539" t="n">
        <v>1</v>
      </c>
      <c r="C539" s="2" t="inlineStr">
        <is>
          <t>ИРИНА КИМ</t>
        </is>
      </c>
      <c r="D539" s="3" t="n">
        <v>36918</v>
      </c>
      <c r="E539" s="4" t="n">
        <v>16</v>
      </c>
      <c r="F539" t="inlineStr">
        <is>
          <t>ООО "БРОНИРОВАНИЕ ГОСТИНИЦ" (OSTROVOK) [Чайковский]</t>
        </is>
      </c>
      <c r="G539" s="3">
        <f>ROUND(D539/(100-E539)*100,2)</f>
        <v/>
      </c>
      <c r="H539" s="5" t="n">
        <v>46293.58333333334</v>
      </c>
      <c r="I539" t="n">
        <v>4</v>
      </c>
      <c r="J539" s="3">
        <f>G539/I539</f>
        <v/>
      </c>
      <c r="K539">
        <f>IF(J539&gt;=5100,"ставка","мин.ставка")</f>
        <v/>
      </c>
      <c r="L539" s="3">
        <f>ROUND(IF(K539="мин.ставка",I539*100,G539/102*2),2)</f>
        <v/>
      </c>
      <c r="M539" s="5" t="n">
        <v>46297.5</v>
      </c>
      <c r="N539" t="inlineStr">
        <is>
          <t>TravelLine OTK</t>
        </is>
      </c>
      <c r="O539" s="2" t="inlineStr">
        <is>
          <t>СТАНДАРТНЫЙ ДВУХМЕСТНЫЙ НОМЕР</t>
        </is>
      </c>
      <c r="P539" s="6" t="n"/>
      <c r="R539" t="inlineStr"/>
      <c r="S539" t="inlineStr">
        <is>
          <t>Тариф с завтраком</t>
        </is>
      </c>
      <c r="T539" t="n">
        <v>0</v>
      </c>
      <c r="U539" t="n">
        <v>36918</v>
      </c>
    </row>
    <row r="540">
      <c r="A540" t="inlineStr">
        <is>
          <t>20260801-8186-455059774</t>
        </is>
      </c>
      <c r="B540" t="n">
        <v>1</v>
      </c>
      <c r="C540" s="2" t="inlineStr">
        <is>
          <t>ИРИНА КИСЕЛЬ</t>
        </is>
      </c>
      <c r="D540" s="3" t="n">
        <v>9534</v>
      </c>
      <c r="E540" s="4" t="n">
        <v>16</v>
      </c>
      <c r="F540" t="inlineStr">
        <is>
          <t>ООО "БРОНИРОВАНИЕ ГОСТИНИЦ" (OSTROVOK) [Чайковский]</t>
        </is>
      </c>
      <c r="G540" s="3">
        <f>ROUND(D540/(100-E540)*100,2)</f>
        <v/>
      </c>
      <c r="H540" s="5" t="n">
        <v>46235.58333333334</v>
      </c>
      <c r="I540" t="n">
        <v>1</v>
      </c>
      <c r="J540" s="3">
        <f>G540/I540</f>
        <v/>
      </c>
      <c r="K540">
        <f>IF(J540&gt;=5100,"ставка","мин.ставка")</f>
        <v/>
      </c>
      <c r="L540" s="3">
        <f>ROUND(IF(K540="мин.ставка",I540*100,G540/102*2),2)</f>
        <v/>
      </c>
      <c r="M540" s="5" t="n">
        <v>46236.5</v>
      </c>
      <c r="N540" t="inlineStr">
        <is>
          <t>TravelLine OTK</t>
        </is>
      </c>
      <c r="O540" s="2" t="inlineStr">
        <is>
          <t>СТАНДАРТНЫЙ ДВУХМЕСТНЫЙ НОМЕР</t>
        </is>
      </c>
      <c r="P540" s="6" t="n"/>
      <c r="R540" t="inlineStr"/>
      <c r="S540" t="inlineStr">
        <is>
          <t>Тариф с завтраком</t>
        </is>
      </c>
      <c r="T540" t="n">
        <v>0</v>
      </c>
      <c r="U540" t="n">
        <v>9534</v>
      </c>
    </row>
    <row r="541">
      <c r="A541" t="inlineStr">
        <is>
          <t>20260714-8186-449060920</t>
        </is>
      </c>
      <c r="B541" t="n">
        <v>1</v>
      </c>
      <c r="C541" s="2" t="inlineStr">
        <is>
          <t>Ирина Колобродова</t>
        </is>
      </c>
      <c r="D541" s="3" t="n">
        <v>6320</v>
      </c>
      <c r="E541" s="4" t="n">
        <v>20</v>
      </c>
      <c r="F541" t="inlineStr">
        <is>
          <t>ООО "КОМПАНИЯ БРОНЕВИК" [Чайковский]</t>
        </is>
      </c>
      <c r="G541" s="3">
        <f>ROUND(D541/(100-E541)*100,2)</f>
        <v/>
      </c>
      <c r="H541" s="5" t="n">
        <v>46217.58333333334</v>
      </c>
      <c r="I541" t="n">
        <v>1</v>
      </c>
      <c r="J541" s="3">
        <f>G541/I541</f>
        <v/>
      </c>
      <c r="K541">
        <f>IF(J541&gt;=5100,"ставка","мин.ставка")</f>
        <v/>
      </c>
      <c r="L541" s="3">
        <f>ROUND(IF(K541="мин.ставка",I541*100,G541/102*2),2)</f>
        <v/>
      </c>
      <c r="M541" s="5" t="n">
        <v>46218.5</v>
      </c>
      <c r="N541" t="inlineStr">
        <is>
          <t>TravelLine BR2</t>
        </is>
      </c>
      <c r="O541" s="2" t="inlineStr">
        <is>
          <t>СТАНДАРТНЫЙ ДВУХМЕСТНЫЙ НОМЕР (МАНСАРДА)</t>
        </is>
      </c>
      <c r="P541" s="6" t="n"/>
      <c r="R541" t="inlineStr"/>
      <c r="S541" t="inlineStr">
        <is>
          <t>Тариф с завтраком</t>
        </is>
      </c>
      <c r="T541" t="n">
        <v>0</v>
      </c>
      <c r="U541" t="n">
        <v>6320</v>
      </c>
    </row>
    <row r="542">
      <c r="A542" t="inlineStr">
        <is>
          <t>20260919-8186-467095647</t>
        </is>
      </c>
      <c r="B542" t="n">
        <v>1</v>
      </c>
      <c r="C542" s="2" t="inlineStr">
        <is>
          <t>Ирина Курандина, СЕРГЕЙ КУРАНДИН</t>
        </is>
      </c>
      <c r="D542" s="3" t="n">
        <v>13149.75</v>
      </c>
      <c r="E542" s="4" t="n">
        <v>4</v>
      </c>
      <c r="F542" t="inlineStr">
        <is>
          <t>TravelLine Booking Engine [Чайковский]</t>
        </is>
      </c>
      <c r="G542" s="3">
        <f>ROUND(D542/(100-E542)*100,2)</f>
        <v/>
      </c>
      <c r="H542" s="5" t="n">
        <v>46284.58333333334</v>
      </c>
      <c r="I542" t="n">
        <v>1</v>
      </c>
      <c r="J542" s="3">
        <f>G542/I542</f>
        <v/>
      </c>
      <c r="K542">
        <f>IF(J542&gt;=5100,"ставка","мин.ставка")</f>
        <v/>
      </c>
      <c r="L542" s="3">
        <f>ROUND(IF(K542="мин.ставка",I542*100,G542/102*2),2)</f>
        <v/>
      </c>
      <c r="M542" s="5" t="n">
        <v>46285.5</v>
      </c>
      <c r="N542" t="inlineStr">
        <is>
          <t>TravelLine сайт</t>
        </is>
      </c>
      <c r="O542" s="2" t="inlineStr">
        <is>
          <t>СТАНДАРТНЫЙ ДВУХМЕСТНЫЙ НОМЕР</t>
        </is>
      </c>
      <c r="P542" s="6" t="n"/>
      <c r="R542" t="inlineStr"/>
      <c r="S542" t="inlineStr">
        <is>
          <t>Тариф с завтраком</t>
        </is>
      </c>
      <c r="T542" t="n">
        <v>0</v>
      </c>
      <c r="U542" t="n">
        <v>13149.75</v>
      </c>
    </row>
    <row r="543">
      <c r="A543" t="inlineStr">
        <is>
          <t>20260921-8186-448932640</t>
        </is>
      </c>
      <c r="B543" t="n">
        <v>1</v>
      </c>
      <c r="C543" s="2" t="inlineStr">
        <is>
          <t>Ирина Лисицкая, Андрей Лисицкий</t>
        </is>
      </c>
      <c r="D543" s="3" t="n">
        <v>31680</v>
      </c>
      <c r="E543" s="4" t="n">
        <v>20</v>
      </c>
      <c r="F543" t="inlineStr">
        <is>
          <t>ООО "КОМПАНИЯ БРОНЕВИК" [Чайковский]</t>
        </is>
      </c>
      <c r="G543" s="3">
        <f>ROUND(D543/(100-E543)*100,2)</f>
        <v/>
      </c>
      <c r="H543" s="5" t="n">
        <v>46286.58333333334</v>
      </c>
      <c r="I543" t="n">
        <v>4</v>
      </c>
      <c r="J543" s="3">
        <f>G543/I543</f>
        <v/>
      </c>
      <c r="K543">
        <f>IF(J543&gt;=5100,"ставка","мин.ставка")</f>
        <v/>
      </c>
      <c r="L543" s="3">
        <f>ROUND(IF(K543="мин.ставка",I543*100,G543/102*2),2)</f>
        <v/>
      </c>
      <c r="M543" s="5" t="n">
        <v>46290.5</v>
      </c>
      <c r="N543" t="inlineStr">
        <is>
          <t>TravelLine BR2</t>
        </is>
      </c>
      <c r="O543" s="2" t="inlineStr">
        <is>
          <t>СТАНДАРТНЫЙ ДВУХМЕСТНЫЙ НОМЕР (МАНСАРДА)</t>
        </is>
      </c>
      <c r="P543" s="6" t="n"/>
      <c r="R543" t="inlineStr"/>
      <c r="S543" t="inlineStr">
        <is>
          <t>Тариф с завтраком</t>
        </is>
      </c>
      <c r="T543" t="n">
        <v>0</v>
      </c>
      <c r="U543" t="n">
        <v>31680</v>
      </c>
    </row>
    <row r="544">
      <c r="A544" t="inlineStr">
        <is>
          <t>20260905-8186-463074554</t>
        </is>
      </c>
      <c r="B544" t="n">
        <v>1</v>
      </c>
      <c r="C544" s="2" t="inlineStr">
        <is>
          <t>Ирина Мазий, Антон Иванчиков</t>
        </is>
      </c>
      <c r="D544" s="3" t="n">
        <v>53400</v>
      </c>
      <c r="E544" s="4" t="n">
        <v>20</v>
      </c>
      <c r="F544" t="inlineStr">
        <is>
          <t>ООО "КОМПАНИЯ БРОНЕВИК" [Чайковский]</t>
        </is>
      </c>
      <c r="G544" s="3">
        <f>ROUND(D544/(100-E544)*100,2)</f>
        <v/>
      </c>
      <c r="H544" s="5" t="n">
        <v>46270.58333333334</v>
      </c>
      <c r="I544" t="n">
        <v>5</v>
      </c>
      <c r="J544" s="3">
        <f>G544/I544</f>
        <v/>
      </c>
      <c r="K544">
        <f>IF(J544&gt;=5100,"ставка","мин.ставка")</f>
        <v/>
      </c>
      <c r="L544" s="3">
        <f>ROUND(IF(K544="мин.ставка",I544*100,G544/102*2),2)</f>
        <v/>
      </c>
      <c r="M544" s="5" t="n">
        <v>46275.5</v>
      </c>
      <c r="N544" t="inlineStr">
        <is>
          <t>TravelLine BR2</t>
        </is>
      </c>
      <c r="O544" s="2" t="inlineStr">
        <is>
          <t>СТАНДАРТНЫЙ ДВУХМЕСТНЫЙ НОМЕР</t>
        </is>
      </c>
      <c r="P544" s="6" t="n"/>
      <c r="R544" t="inlineStr"/>
      <c r="S544" t="inlineStr">
        <is>
          <t>Тариф с завтраком</t>
        </is>
      </c>
      <c r="T544" t="n">
        <v>0</v>
      </c>
      <c r="U544" t="n">
        <v>53400</v>
      </c>
    </row>
    <row r="545">
      <c r="A545" t="inlineStr">
        <is>
          <t>20260817-8186-447959681</t>
        </is>
      </c>
      <c r="B545" t="n">
        <v>1</v>
      </c>
      <c r="C545" s="2" t="inlineStr">
        <is>
          <t>ИРИНА МИЛОВА</t>
        </is>
      </c>
      <c r="D545" s="3" t="n">
        <v>8626</v>
      </c>
      <c r="E545" s="4" t="n">
        <v>18</v>
      </c>
      <c r="F545" t="inlineStr">
        <is>
          <t>Яндекс.Путешествия [Чайковский]</t>
        </is>
      </c>
      <c r="G545" s="3">
        <f>ROUND(D545/(100-E545)*100,2)</f>
        <v/>
      </c>
      <c r="H545" s="5" t="n">
        <v>46251.58333333334</v>
      </c>
      <c r="I545" t="n">
        <v>1</v>
      </c>
      <c r="J545" s="3">
        <f>G545/I545</f>
        <v/>
      </c>
      <c r="K545">
        <f>IF(J545&gt;=5100,"ставка","мин.ставка")</f>
        <v/>
      </c>
      <c r="L545" s="3">
        <f>ROUND(IF(K545="мин.ставка",I545*100,G545/102*2),2)</f>
        <v/>
      </c>
      <c r="M545" s="5" t="n">
        <v>46252.5</v>
      </c>
      <c r="N545" t="inlineStr">
        <is>
          <t>TravelLine YAX</t>
        </is>
      </c>
      <c r="O545" s="2" t="inlineStr">
        <is>
          <t>СТАНДАРТНЫЙ ДВУХМЕСТНЫЙ НОМЕР</t>
        </is>
      </c>
      <c r="P545" s="6" t="n"/>
      <c r="R545" t="inlineStr"/>
      <c r="S545" t="inlineStr">
        <is>
          <t>Тариф с завтраком</t>
        </is>
      </c>
      <c r="T545" t="n">
        <v>0</v>
      </c>
      <c r="U545" t="n">
        <v>8626</v>
      </c>
    </row>
    <row r="546">
      <c r="A546" t="inlineStr">
        <is>
          <t>20260816-8186-449235439</t>
        </is>
      </c>
      <c r="B546" t="n">
        <v>1</v>
      </c>
      <c r="C546" s="2" t="inlineStr">
        <is>
          <t>Ирина Николаева, Александр Николаев</t>
        </is>
      </c>
      <c r="D546" s="3" t="n">
        <v>8415</v>
      </c>
      <c r="E546" s="4" t="n">
        <v>15</v>
      </c>
      <c r="F546" t="inlineStr">
        <is>
          <t>ООО Тинькофф Путешествия [Чайковский]</t>
        </is>
      </c>
      <c r="G546" s="3">
        <f>ROUND(D546/(100-E546)*100,2)</f>
        <v/>
      </c>
      <c r="H546" s="5" t="n">
        <v>46250.58333333334</v>
      </c>
      <c r="I546" t="n">
        <v>1</v>
      </c>
      <c r="J546" s="3">
        <f>G546/I546</f>
        <v/>
      </c>
      <c r="K546">
        <f>IF(J546&gt;=5100,"ставка","мин.ставка")</f>
        <v/>
      </c>
      <c r="L546" s="3">
        <f>ROUND(IF(K546="мин.ставка",I546*100,G546/102*2),2)</f>
        <v/>
      </c>
      <c r="M546" s="5" t="n">
        <v>46251.5</v>
      </c>
      <c r="N546" t="inlineStr">
        <is>
          <t>TravelLine TNK</t>
        </is>
      </c>
      <c r="O546" s="2" t="inlineStr">
        <is>
          <t>СТАНДАРТНЫЙ ДВУХМЕСТНЫЙ НОМЕР (МАНСАРДА)</t>
        </is>
      </c>
      <c r="P546" s="6" t="n"/>
      <c r="R546" t="inlineStr"/>
      <c r="S546" t="inlineStr">
        <is>
          <t>Тариф с завтраком</t>
        </is>
      </c>
      <c r="T546" t="n">
        <v>0</v>
      </c>
      <c r="U546" t="n">
        <v>8415</v>
      </c>
    </row>
    <row r="547">
      <c r="A547" t="inlineStr">
        <is>
          <t>20260817-8186-455605492</t>
        </is>
      </c>
      <c r="B547" t="n">
        <v>1</v>
      </c>
      <c r="C547" s="2" t="inlineStr">
        <is>
          <t>ИРИНА ПОТАПОВА, ВИКТОРИЯ ПОТАПОВА</t>
        </is>
      </c>
      <c r="D547" s="3" t="n">
        <v>30260</v>
      </c>
      <c r="E547" s="4" t="n">
        <v>15</v>
      </c>
      <c r="F547" t="inlineStr">
        <is>
          <t>ООО "Библио-Глобус Туроператор" [Чайковский]</t>
        </is>
      </c>
      <c r="G547" s="3">
        <f>ROUND(D547/(100-E547)*100,2)</f>
        <v/>
      </c>
      <c r="H547" s="5" t="n">
        <v>46251.58333333334</v>
      </c>
      <c r="I547" t="n">
        <v>2</v>
      </c>
      <c r="J547" s="3">
        <f>G547/I547</f>
        <v/>
      </c>
      <c r="K547">
        <f>IF(J547&gt;=5100,"ставка","мин.ставка")</f>
        <v/>
      </c>
      <c r="L547" s="3">
        <f>ROUND(IF(K547="мин.ставка",I547*100,G547/102*2),2)</f>
        <v/>
      </c>
      <c r="M547" s="5" t="n">
        <v>46253.5</v>
      </c>
      <c r="N547" t="inlineStr">
        <is>
          <t>TravelLine BGL</t>
        </is>
      </c>
      <c r="O547" s="2" t="inlineStr">
        <is>
          <t>ЛЮКС ВТОРОЙ КОРПУС</t>
        </is>
      </c>
      <c r="P547" s="6" t="n"/>
      <c r="R547" t="inlineStr"/>
      <c r="S547" t="inlineStr">
        <is>
          <t>Тариф с завтраком</t>
        </is>
      </c>
      <c r="T547" t="n">
        <v>0</v>
      </c>
      <c r="U547" t="n">
        <v>30260</v>
      </c>
    </row>
    <row r="548">
      <c r="A548" t="inlineStr">
        <is>
          <t>20260804-8186-450062345</t>
        </is>
      </c>
      <c r="B548" t="n">
        <v>1</v>
      </c>
      <c r="C548" s="2" t="inlineStr">
        <is>
          <t>Ирина Скороходова</t>
        </is>
      </c>
      <c r="D548" s="3" t="n">
        <v>27240</v>
      </c>
      <c r="E548" s="4" t="n">
        <v>20</v>
      </c>
      <c r="F548" t="inlineStr">
        <is>
          <t>ООО "КОМПАНИЯ БРОНЕВИК" [Чайковский]</t>
        </is>
      </c>
      <c r="G548" s="3">
        <f>ROUND(D548/(100-E548)*100,2)</f>
        <v/>
      </c>
      <c r="H548" s="5" t="n">
        <v>46238.58333333334</v>
      </c>
      <c r="I548" t="n">
        <v>3</v>
      </c>
      <c r="J548" s="3">
        <f>G548/I548</f>
        <v/>
      </c>
      <c r="K548">
        <f>IF(J548&gt;=5100,"ставка","мин.ставка")</f>
        <v/>
      </c>
      <c r="L548" s="3">
        <f>ROUND(IF(K548="мин.ставка",I548*100,G548/102*2),2)</f>
        <v/>
      </c>
      <c r="M548" s="5" t="n">
        <v>46241.5</v>
      </c>
      <c r="N548" t="inlineStr">
        <is>
          <t>TravelLine BR2</t>
        </is>
      </c>
      <c r="O548" s="2" t="inlineStr">
        <is>
          <t>СЕМЕЙНЫЙ НОМЕР КАТЕГОРИИ "СТАНДАРТ" ВТОРОЙ КОРПУС</t>
        </is>
      </c>
      <c r="P548" s="6" t="n"/>
      <c r="R548" t="inlineStr"/>
      <c r="S548" t="inlineStr">
        <is>
          <t>Тариф с завтраком</t>
        </is>
      </c>
      <c r="T548" t="n">
        <v>860</v>
      </c>
      <c r="U548" t="n">
        <v>28100</v>
      </c>
    </row>
    <row r="549">
      <c r="A549" t="inlineStr">
        <is>
          <t>20260720-8186-410480708</t>
        </is>
      </c>
      <c r="B549" t="n">
        <v>1</v>
      </c>
      <c r="C549" s="2" t="inlineStr">
        <is>
          <t>Ирина Уткина, ВСЕНИЯ УТКИНА</t>
        </is>
      </c>
      <c r="D549" s="3" t="n">
        <v>39451.5</v>
      </c>
      <c r="E549" s="4" t="n">
        <v>4</v>
      </c>
      <c r="F549" t="inlineStr">
        <is>
          <t>TravelLine Booking Engine [Чайковский]</t>
        </is>
      </c>
      <c r="G549" s="3">
        <f>ROUND(D549/(100-E549)*100,2)</f>
        <v/>
      </c>
      <c r="H549" s="5" t="n">
        <v>46223.9375</v>
      </c>
      <c r="I549" t="n">
        <v>4</v>
      </c>
      <c r="J549" s="3">
        <f>G549/I549</f>
        <v/>
      </c>
      <c r="K549">
        <f>IF(J549&gt;=5100,"ставка","мин.ставка")</f>
        <v/>
      </c>
      <c r="L549" s="3">
        <f>ROUND(IF(K549="мин.ставка",I549*100,G549/102*2),2)</f>
        <v/>
      </c>
      <c r="M549" s="5" t="n">
        <v>46227.5</v>
      </c>
      <c r="N549" t="inlineStr">
        <is>
          <t>TravelLine сайт</t>
        </is>
      </c>
      <c r="O549" s="2" t="inlineStr">
        <is>
          <t>СТАНДАРТНЫЙ ДВУХМЕСТНЫЙ НОМЕР (МАНСАРДА)</t>
        </is>
      </c>
      <c r="P549" s="6" t="n"/>
      <c r="R549" t="inlineStr"/>
      <c r="S549" t="inlineStr">
        <is>
          <t>Тариф с завтраком</t>
        </is>
      </c>
      <c r="T549" t="n">
        <v>0</v>
      </c>
      <c r="U549" t="n">
        <v>39451.5</v>
      </c>
    </row>
    <row r="550">
      <c r="A550" t="inlineStr">
        <is>
          <t>20260915-8186-427846724</t>
        </is>
      </c>
      <c r="B550" t="n">
        <v>1</v>
      </c>
      <c r="C550" s="2" t="inlineStr">
        <is>
          <t>ИРИНА ШАФИЕВА</t>
        </is>
      </c>
      <c r="D550" s="3" t="n">
        <v>12640</v>
      </c>
      <c r="E550" s="4" t="n">
        <v>20</v>
      </c>
      <c r="F550" t="inlineStr">
        <is>
          <t>ООО "КОМПАНИЯ БРОНЕВИК" [Чайковский]</t>
        </is>
      </c>
      <c r="G550" s="3">
        <f>ROUND(D550/(100-E550)*100,2)</f>
        <v/>
      </c>
      <c r="H550" s="5" t="n">
        <v>46280.58333333334</v>
      </c>
      <c r="I550" t="n">
        <v>2</v>
      </c>
      <c r="J550" s="3">
        <f>G550/I550</f>
        <v/>
      </c>
      <c r="K550">
        <f>IF(J550&gt;=5100,"ставка","мин.ставка")</f>
        <v/>
      </c>
      <c r="L550" s="3">
        <f>ROUND(IF(K550="мин.ставка",I550*100,G550/102*2),2)</f>
        <v/>
      </c>
      <c r="M550" s="5" t="n">
        <v>46282.5</v>
      </c>
      <c r="N550" t="inlineStr">
        <is>
          <t>TravelLine BR2</t>
        </is>
      </c>
      <c r="O550" s="2" t="inlineStr">
        <is>
          <t>СТАНДАРТНЫЙ ДВУХМЕСТНЫЙ НОМЕР (МАНСАРДА)</t>
        </is>
      </c>
      <c r="P550" s="6" t="n"/>
      <c r="R550" t="inlineStr"/>
      <c r="S550" t="inlineStr">
        <is>
          <t>Тариф с завтраком</t>
        </is>
      </c>
      <c r="T550" t="n">
        <v>0</v>
      </c>
      <c r="U550" t="n">
        <v>12640</v>
      </c>
    </row>
    <row r="551">
      <c r="A551" t="inlineStr">
        <is>
          <t>20260727-8186-412100558</t>
        </is>
      </c>
      <c r="B551" t="n">
        <v>1</v>
      </c>
      <c r="C551" s="2" t="inlineStr">
        <is>
          <t>Ирина Шафиева, Мария Шафиева</t>
        </is>
      </c>
      <c r="D551" s="3" t="n">
        <v>18960</v>
      </c>
      <c r="E551" s="4" t="n">
        <v>20</v>
      </c>
      <c r="F551" t="inlineStr">
        <is>
          <t>ООО "КОМПАНИЯ БРОНЕВИК" [Чайковский]</t>
        </is>
      </c>
      <c r="G551" s="3">
        <f>ROUND(D551/(100-E551)*100,2)</f>
        <v/>
      </c>
      <c r="H551" s="5" t="n">
        <v>46230.58333333334</v>
      </c>
      <c r="I551" t="n">
        <v>3</v>
      </c>
      <c r="J551" s="3">
        <f>G551/I551</f>
        <v/>
      </c>
      <c r="K551">
        <f>IF(J551&gt;=5100,"ставка","мин.ставка")</f>
        <v/>
      </c>
      <c r="L551" s="3">
        <f>ROUND(IF(K551="мин.ставка",I551*100,G551/102*2),2)</f>
        <v/>
      </c>
      <c r="M551" s="5" t="n">
        <v>46233.5</v>
      </c>
      <c r="N551" t="inlineStr">
        <is>
          <t>TravelLine BR2</t>
        </is>
      </c>
      <c r="O551" s="2" t="inlineStr">
        <is>
          <t>СТАНДАРТНЫЙ ДВУХМЕСТНЫЙ НОМЕР (МАНСАРДА)</t>
        </is>
      </c>
      <c r="P551" s="6" t="n"/>
      <c r="R551" t="inlineStr"/>
      <c r="S551" t="inlineStr">
        <is>
          <t>Тариф с завтраком</t>
        </is>
      </c>
      <c r="T551" t="n">
        <v>6000</v>
      </c>
      <c r="U551" t="n">
        <v>24960</v>
      </c>
    </row>
    <row r="552">
      <c r="A552" t="inlineStr">
        <is>
          <t>20260708-8186-445371788</t>
        </is>
      </c>
      <c r="B552" t="n">
        <v>1</v>
      </c>
      <c r="C552" s="2" t="inlineStr">
        <is>
          <t>Искандер Рафиков</t>
        </is>
      </c>
      <c r="D552" s="3" t="n">
        <v>19295</v>
      </c>
      <c r="E552" s="4" t="n">
        <v>15</v>
      </c>
      <c r="F552" t="inlineStr">
        <is>
          <t>ООО «СБО» (Ростелеком) [Чайковский]</t>
        </is>
      </c>
      <c r="G552" s="3">
        <f>ROUND(D552/(100-E552)*100,2)</f>
        <v/>
      </c>
      <c r="H552" s="5" t="n">
        <v>46211.58333333334</v>
      </c>
      <c r="I552" t="n">
        <v>2</v>
      </c>
      <c r="J552" s="3">
        <f>G552/I552</f>
        <v/>
      </c>
      <c r="K552">
        <f>IF(J552&gt;=5100,"ставка","мин.ставка")</f>
        <v/>
      </c>
      <c r="L552" s="3">
        <f>ROUND(IF(K552="мин.ставка",I552*100,G552/102*2),2)</f>
        <v/>
      </c>
      <c r="M552" s="5" t="n">
        <v>46213.5</v>
      </c>
      <c r="N552" t="inlineStr">
        <is>
          <t>TravelLine RTT</t>
        </is>
      </c>
      <c r="O552" s="2" t="inlineStr">
        <is>
          <t>СТАНДАРТНЫЙ ДВУХМЕСТНЫЙ НОМЕР</t>
        </is>
      </c>
      <c r="P552" s="6" t="n"/>
      <c r="R552" t="inlineStr"/>
      <c r="S552" t="inlineStr">
        <is>
          <t>Тариф с завтраком</t>
        </is>
      </c>
      <c r="T552" t="n">
        <v>0</v>
      </c>
      <c r="U552" t="n">
        <v>19295</v>
      </c>
    </row>
    <row r="553">
      <c r="A553" t="inlineStr">
        <is>
          <t>20260719-8186-397290265</t>
        </is>
      </c>
      <c r="B553" t="n">
        <v>1</v>
      </c>
      <c r="C553" s="2" t="inlineStr">
        <is>
          <t>Карина Унанян, Татьяна Васина</t>
        </is>
      </c>
      <c r="D553" s="3" t="n">
        <v>15400</v>
      </c>
      <c r="E553" s="4" t="n">
        <v>0</v>
      </c>
      <c r="F553" t="inlineStr">
        <is>
          <t>Прямые бронирования (стойка) [Чайковский]</t>
        </is>
      </c>
      <c r="G553" s="3">
        <f>ROUND(D553/(100-E553)*100,2)</f>
        <v/>
      </c>
      <c r="H553" s="5" t="n">
        <v>46222.58333333334</v>
      </c>
      <c r="I553" t="n">
        <v>1</v>
      </c>
      <c r="J553" s="3">
        <f>G553/I553</f>
        <v/>
      </c>
      <c r="K553">
        <f>IF(J553&gt;=5100,"ставка","мин.ставка")</f>
        <v/>
      </c>
      <c r="L553" s="3">
        <f>ROUND(IF(K553="мин.ставка",I553*100,G553/102*2),2)</f>
        <v/>
      </c>
      <c r="M553" s="5" t="n">
        <v>46223.5</v>
      </c>
      <c r="N553" t="inlineStr">
        <is>
          <t>TravelLine ресепшн</t>
        </is>
      </c>
      <c r="O553" s="2" t="inlineStr">
        <is>
          <t>УЛУЧШЕННЫЙ ДВУХМЕСТНЫЙ НОМЕР</t>
        </is>
      </c>
      <c r="P553" s="6" t="n"/>
      <c r="R553" t="inlineStr"/>
      <c r="S553" t="inlineStr">
        <is>
          <t>Тариф с завтраком</t>
        </is>
      </c>
      <c r="T553" t="n">
        <v>0</v>
      </c>
      <c r="U553" t="n">
        <v>15400</v>
      </c>
    </row>
    <row r="554">
      <c r="A554" t="inlineStr">
        <is>
          <t>20260718-8186-434302975</t>
        </is>
      </c>
      <c r="B554" t="n">
        <v>1</v>
      </c>
      <c r="C554" s="2" t="inlineStr">
        <is>
          <t>Кахабер Картвелишвили, Виктория Поворова</t>
        </is>
      </c>
      <c r="D554" s="3" t="n">
        <v>13350</v>
      </c>
      <c r="E554" s="4" t="n">
        <v>0</v>
      </c>
      <c r="F554" t="inlineStr">
        <is>
          <t>Прямые бронирования (стойка) [Чайковский]</t>
        </is>
      </c>
      <c r="G554" s="3">
        <f>ROUND(D554/(100-E554)*100,2)</f>
        <v/>
      </c>
      <c r="H554" s="5" t="n">
        <v>46226.58333333334</v>
      </c>
      <c r="I554" t="n">
        <v>1</v>
      </c>
      <c r="J554" s="3">
        <f>G554/I554</f>
        <v/>
      </c>
      <c r="K554">
        <f>IF(J554&gt;=5100,"ставка","мин.ставка")</f>
        <v/>
      </c>
      <c r="L554" s="3">
        <f>ROUND(IF(K554="мин.ставка",I554*100,G554/102*2),2)</f>
        <v/>
      </c>
      <c r="M554" s="5" t="n">
        <v>46227.5</v>
      </c>
      <c r="N554" t="inlineStr">
        <is>
          <t>TravelLine ресепшн</t>
        </is>
      </c>
      <c r="O554" s="2" t="inlineStr">
        <is>
          <t>СТАНДАРТНЫЙ ДВУХМЕСТНЫЙ НОМЕР</t>
        </is>
      </c>
      <c r="P554" s="6" t="n"/>
      <c r="R554" t="inlineStr"/>
      <c r="S554" t="inlineStr">
        <is>
          <t>Тариф с завтраком</t>
        </is>
      </c>
      <c r="T554" t="n">
        <v>0</v>
      </c>
      <c r="U554" t="n">
        <v>13350</v>
      </c>
    </row>
    <row r="555">
      <c r="A555" t="inlineStr">
        <is>
          <t>20260806-8186-453943194</t>
        </is>
      </c>
      <c r="B555" t="n">
        <v>1</v>
      </c>
      <c r="C555" s="2" t="inlineStr">
        <is>
          <t>Кира Кудинова, Алексей Гордейчук</t>
        </is>
      </c>
      <c r="D555" s="3" t="n">
        <v>39600</v>
      </c>
      <c r="E555" s="4" t="n">
        <v>20</v>
      </c>
      <c r="F555" t="inlineStr">
        <is>
          <t>ООО "КОМПАНИЯ БРОНЕВИК" [Чайковский]</t>
        </is>
      </c>
      <c r="G555" s="3">
        <f>ROUND(D555/(100-E555)*100,2)</f>
        <v/>
      </c>
      <c r="H555" s="5" t="n">
        <v>46240.58333333334</v>
      </c>
      <c r="I555" t="n">
        <v>3</v>
      </c>
      <c r="J555" s="3">
        <f>G555/I555</f>
        <v/>
      </c>
      <c r="K555">
        <f>IF(J555&gt;=5100,"ставка","мин.ставка")</f>
        <v/>
      </c>
      <c r="L555" s="3">
        <f>ROUND(IF(K555="мин.ставка",I555*100,G555/102*2),2)</f>
        <v/>
      </c>
      <c r="M555" s="5" t="n">
        <v>46243.45833333334</v>
      </c>
      <c r="N555" t="inlineStr">
        <is>
          <t>TravelLine BR2</t>
        </is>
      </c>
      <c r="O555" s="2" t="inlineStr">
        <is>
          <t>ПОЛУЛЮКС</t>
        </is>
      </c>
      <c r="P555" s="6" t="n"/>
      <c r="R555" t="inlineStr"/>
      <c r="S555" t="inlineStr">
        <is>
          <t>Тариф с завтраком</t>
        </is>
      </c>
      <c r="T555" t="n">
        <v>3440</v>
      </c>
      <c r="U555" t="n">
        <v>43040</v>
      </c>
    </row>
    <row r="556">
      <c r="A556" t="inlineStr">
        <is>
          <t>20260923-8186-468096029</t>
        </is>
      </c>
      <c r="B556" t="n">
        <v>1</v>
      </c>
      <c r="C556" s="2" t="inlineStr">
        <is>
          <t>КИРИЛЛ ЛАРИН</t>
        </is>
      </c>
      <c r="D556" s="3" t="n">
        <v>15800</v>
      </c>
      <c r="E556" s="4" t="n">
        <v>0</v>
      </c>
      <c r="F556" t="inlineStr">
        <is>
          <t>Прямые бронирования (стойка) [Чайковский]</t>
        </is>
      </c>
      <c r="G556" s="3">
        <f>ROUND(D556/(100-E556)*100,2)</f>
        <v/>
      </c>
      <c r="H556" s="5" t="n">
        <v>46288.58333333334</v>
      </c>
      <c r="I556" t="n">
        <v>1</v>
      </c>
      <c r="J556" s="3">
        <f>G556/I556</f>
        <v/>
      </c>
      <c r="K556">
        <f>IF(J556&gt;=5100,"ставка","мин.ставка")</f>
        <v/>
      </c>
      <c r="L556" s="3">
        <f>ROUND(IF(K556="мин.ставка",I556*100,G556/102*2),2)</f>
        <v/>
      </c>
      <c r="M556" s="5" t="n">
        <v>46289.5</v>
      </c>
      <c r="N556" t="inlineStr">
        <is>
          <t>TravelLine ресепшн</t>
        </is>
      </c>
      <c r="O556" s="2" t="inlineStr">
        <is>
          <t>ЛЮКС ВТОРОЙ КОРПУС</t>
        </is>
      </c>
      <c r="P556" s="6" t="n"/>
      <c r="R556" t="inlineStr"/>
      <c r="S556" t="inlineStr">
        <is>
          <t>Тариф с завтраком</t>
        </is>
      </c>
      <c r="T556" t="n">
        <v>0</v>
      </c>
      <c r="U556" t="n">
        <v>15800</v>
      </c>
    </row>
    <row r="557">
      <c r="A557" t="inlineStr">
        <is>
          <t>20260924-8186-468128264</t>
        </is>
      </c>
      <c r="B557" t="n">
        <v>1</v>
      </c>
      <c r="C557" s="2" t="inlineStr">
        <is>
          <t>КИРИЛЛ ЛАРИН</t>
        </is>
      </c>
      <c r="D557" s="3" t="n">
        <v>15800</v>
      </c>
      <c r="E557" s="4" t="n">
        <v>0</v>
      </c>
      <c r="F557" t="inlineStr">
        <is>
          <t>Прямые бронирования (стойка) [Чайковский]</t>
        </is>
      </c>
      <c r="G557" s="3">
        <f>ROUND(D557/(100-E557)*100,2)</f>
        <v/>
      </c>
      <c r="H557" s="5" t="n">
        <v>46289.58333333334</v>
      </c>
      <c r="I557" t="n">
        <v>1</v>
      </c>
      <c r="J557" s="3">
        <f>G557/I557</f>
        <v/>
      </c>
      <c r="K557">
        <f>IF(J557&gt;=5100,"ставка","мин.ставка")</f>
        <v/>
      </c>
      <c r="L557" s="3">
        <f>ROUND(IF(K557="мин.ставка",I557*100,G557/102*2),2)</f>
        <v/>
      </c>
      <c r="M557" s="5" t="n">
        <v>46290.5</v>
      </c>
      <c r="N557" t="inlineStr">
        <is>
          <t>TravelLine ресепшн</t>
        </is>
      </c>
      <c r="O557" s="2" t="inlineStr">
        <is>
          <t>ЛЮКС ВТОРОЙ КОРПУС</t>
        </is>
      </c>
      <c r="P557" s="6" t="n"/>
      <c r="R557" t="inlineStr"/>
      <c r="S557" t="inlineStr">
        <is>
          <t>Тариф с завтраком</t>
        </is>
      </c>
      <c r="T557" t="n">
        <v>0</v>
      </c>
      <c r="U557" t="n">
        <v>15800</v>
      </c>
    </row>
    <row r="558">
      <c r="A558" t="inlineStr">
        <is>
          <t>20260901-8186-462888828</t>
        </is>
      </c>
      <c r="B558" t="n">
        <v>1</v>
      </c>
      <c r="C558" s="2" t="inlineStr">
        <is>
          <t>Кирилл Подволодских, Ксения Олифер</t>
        </is>
      </c>
      <c r="D558" s="3" t="n">
        <v>12540</v>
      </c>
      <c r="E558" s="4" t="n">
        <v>18</v>
      </c>
      <c r="F558" t="inlineStr">
        <is>
          <t>Яндекс.Путешествия [Чайковский]</t>
        </is>
      </c>
      <c r="G558" s="3">
        <f>ROUND(D558/(100-E558)*100,2)</f>
        <v/>
      </c>
      <c r="H558" s="5" t="n">
        <v>46266.58333333334</v>
      </c>
      <c r="I558" t="n">
        <v>1</v>
      </c>
      <c r="J558" s="3">
        <f>G558/I558</f>
        <v/>
      </c>
      <c r="K558">
        <f>IF(J558&gt;=5100,"ставка","мин.ставка")</f>
        <v/>
      </c>
      <c r="L558" s="3">
        <f>ROUND(IF(K558="мин.ставка",I558*100,G558/102*2),2)</f>
        <v/>
      </c>
      <c r="M558" s="5" t="n">
        <v>46267.5</v>
      </c>
      <c r="N558" t="inlineStr">
        <is>
          <t>TravelLine YAX</t>
        </is>
      </c>
      <c r="O558" s="2" t="inlineStr">
        <is>
          <t>ПОЛУЛЮКС</t>
        </is>
      </c>
      <c r="P558" s="6" t="n"/>
      <c r="R558" t="inlineStr"/>
      <c r="S558" t="inlineStr">
        <is>
          <t>Тариф с завтраком</t>
        </is>
      </c>
      <c r="T558" t="n">
        <v>0</v>
      </c>
      <c r="U558" t="n">
        <v>12540</v>
      </c>
    </row>
    <row r="559">
      <c r="A559" t="inlineStr">
        <is>
          <t>20260812-8186-457852780</t>
        </is>
      </c>
      <c r="B559" t="n">
        <v>1</v>
      </c>
      <c r="C559" s="2" t="inlineStr">
        <is>
          <t>Кирилл Семёнов, Жанна Семёнова</t>
        </is>
      </c>
      <c r="D559" s="3" t="n">
        <v>15169</v>
      </c>
      <c r="E559" s="4" t="n">
        <v>4</v>
      </c>
      <c r="F559" t="inlineStr">
        <is>
          <t>TravelLine Booking Engine [Чайковский]</t>
        </is>
      </c>
      <c r="G559" s="3">
        <f>ROUND(D559/(100-E559)*100,2)</f>
        <v/>
      </c>
      <c r="H559" s="5" t="n">
        <v>46246.58333333334</v>
      </c>
      <c r="I559" t="n">
        <v>1</v>
      </c>
      <c r="J559" s="3">
        <f>G559/I559</f>
        <v/>
      </c>
      <c r="K559">
        <f>IF(J559&gt;=5100,"ставка","мин.ставка")</f>
        <v/>
      </c>
      <c r="L559" s="3">
        <f>ROUND(IF(K559="мин.ставка",I559*100,G559/102*2),2)</f>
        <v/>
      </c>
      <c r="M559" s="5" t="n">
        <v>46247.5</v>
      </c>
      <c r="N559" t="inlineStr">
        <is>
          <t>TravelLine сайт</t>
        </is>
      </c>
      <c r="O559" s="2" t="inlineStr">
        <is>
          <t>УЛУЧШЕННЫЙ ДВУХМЕСТНЫЙ НОМЕР</t>
        </is>
      </c>
      <c r="P559" s="6" t="n"/>
      <c r="R559" t="inlineStr"/>
      <c r="S559" t="inlineStr">
        <is>
          <t>Тариф с завтраком</t>
        </is>
      </c>
      <c r="T559" t="n">
        <v>0</v>
      </c>
      <c r="U559" t="n">
        <v>15169</v>
      </c>
    </row>
    <row r="560">
      <c r="A560" t="inlineStr">
        <is>
          <t>20260714-8186-449199294</t>
        </is>
      </c>
      <c r="B560" t="n">
        <v>1</v>
      </c>
      <c r="C560" s="2" t="inlineStr">
        <is>
          <t>Кирилл Солодков</t>
        </is>
      </c>
      <c r="D560" s="3" t="n">
        <v>18160</v>
      </c>
      <c r="E560" s="4" t="n">
        <v>20</v>
      </c>
      <c r="F560" t="inlineStr">
        <is>
          <t>ООО "КОМПАНИЯ БРОНЕВИК" [Чайковский]</t>
        </is>
      </c>
      <c r="G560" s="3">
        <f>ROUND(D560/(100-E560)*100,2)</f>
        <v/>
      </c>
      <c r="H560" s="5" t="n">
        <v>46217.58333333334</v>
      </c>
      <c r="I560" t="n">
        <v>2</v>
      </c>
      <c r="J560" s="3">
        <f>G560/I560</f>
        <v/>
      </c>
      <c r="K560">
        <f>IF(J560&gt;=5100,"ставка","мин.ставка")</f>
        <v/>
      </c>
      <c r="L560" s="3">
        <f>ROUND(IF(K560="мин.ставка",I560*100,G560/102*2),2)</f>
        <v/>
      </c>
      <c r="M560" s="5" t="n">
        <v>46219.5</v>
      </c>
      <c r="N560" t="inlineStr">
        <is>
          <t>TravelLine BR2</t>
        </is>
      </c>
      <c r="O560" s="2" t="inlineStr">
        <is>
          <t>СТАНДАРТНЫЙ ДВУХМЕСТНЫЙ НОМЕР</t>
        </is>
      </c>
      <c r="P560" s="6" t="n"/>
      <c r="R560" t="inlineStr"/>
      <c r="S560" t="inlineStr">
        <is>
          <t>Тариф с завтраком</t>
        </is>
      </c>
      <c r="T560" t="n">
        <v>0</v>
      </c>
      <c r="U560" t="n">
        <v>18160</v>
      </c>
    </row>
    <row r="561">
      <c r="A561" t="inlineStr">
        <is>
          <t>20260704-8186-405164282</t>
        </is>
      </c>
      <c r="B561" t="n">
        <v>1</v>
      </c>
      <c r="C561" s="2" t="inlineStr">
        <is>
          <t>КИРИЛЛ СУНГУРОВ, МАТВЕЙ СУНГУРОВ</t>
        </is>
      </c>
      <c r="D561" s="3" t="n">
        <v>97515</v>
      </c>
      <c r="E561" s="4" t="n">
        <v>17</v>
      </c>
      <c r="F561" t="inlineStr">
        <is>
          <t>ООО "ОНЛАЙН ИННОВАЦИИ" (101 Отель) [Чайковский]</t>
        </is>
      </c>
      <c r="G561" s="3">
        <f>ROUND(D561/(100-E561)*100,2)</f>
        <v/>
      </c>
      <c r="H561" s="5" t="n">
        <v>46204.58333333334</v>
      </c>
      <c r="I561" t="n">
        <v>10</v>
      </c>
      <c r="J561" s="3">
        <f>G561/I561</f>
        <v/>
      </c>
      <c r="K561">
        <f>IF(J561&gt;=5100,"ставка","мин.ставка")</f>
        <v/>
      </c>
      <c r="L561" s="3">
        <f>ROUND(IF(K561="мин.ставка",I561*100,G561/102*2),2)</f>
        <v/>
      </c>
      <c r="M561" s="5" t="n">
        <v>46214.5</v>
      </c>
      <c r="N561" t="inlineStr">
        <is>
          <t>TravelLine H1C</t>
        </is>
      </c>
      <c r="O561" s="2" t="inlineStr">
        <is>
          <t>СТАНДАРТНЫЙ ДВУХМЕСТНЫЙ НОМЕР (МАНСАРДА)</t>
        </is>
      </c>
      <c r="P561" s="6" t="n"/>
      <c r="R561" t="inlineStr"/>
      <c r="S561" t="inlineStr">
        <is>
          <t>Тариф с завтраком</t>
        </is>
      </c>
      <c r="T561" t="n">
        <v>0</v>
      </c>
      <c r="U561" t="n">
        <v>195030</v>
      </c>
    </row>
    <row r="562">
      <c r="A562" t="inlineStr">
        <is>
          <t>20260730-8186-449191340</t>
        </is>
      </c>
      <c r="B562" t="n">
        <v>1</v>
      </c>
      <c r="C562" s="2" t="inlineStr">
        <is>
          <t>Кирилл Черепков</t>
        </is>
      </c>
      <c r="D562" s="3" t="n">
        <v>6320</v>
      </c>
      <c r="E562" s="4" t="n">
        <v>20</v>
      </c>
      <c r="F562" t="inlineStr">
        <is>
          <t>ООО "КОМПАНИЯ БРОНЕВИК" [Чайковский]</t>
        </is>
      </c>
      <c r="G562" s="3">
        <f>ROUND(D562/(100-E562)*100,2)</f>
        <v/>
      </c>
      <c r="H562" s="5" t="n">
        <v>46233.58333333334</v>
      </c>
      <c r="I562" t="n">
        <v>1</v>
      </c>
      <c r="J562" s="3">
        <f>G562/I562</f>
        <v/>
      </c>
      <c r="K562">
        <f>IF(J562&gt;=5100,"ставка","мин.ставка")</f>
        <v/>
      </c>
      <c r="L562" s="3">
        <f>ROUND(IF(K562="мин.ставка",I562*100,G562/102*2),2)</f>
        <v/>
      </c>
      <c r="M562" s="5" t="n">
        <v>46234.5</v>
      </c>
      <c r="N562" t="inlineStr">
        <is>
          <t>TravelLine BR2</t>
        </is>
      </c>
      <c r="O562" s="2" t="inlineStr">
        <is>
          <t>СТАНДАРТНЫЙ ДВУХМЕСТНЫЙ НОМЕР (МАНСАРДА)</t>
        </is>
      </c>
      <c r="P562" s="6" t="n"/>
      <c r="R562" t="inlineStr"/>
      <c r="S562" t="inlineStr">
        <is>
          <t>Тариф с завтраком</t>
        </is>
      </c>
      <c r="T562" t="n">
        <v>0</v>
      </c>
      <c r="U562" t="n">
        <v>6320</v>
      </c>
    </row>
    <row r="563">
      <c r="A563" t="inlineStr">
        <is>
          <t>20260725-8186-443229095</t>
        </is>
      </c>
      <c r="B563" t="n">
        <v>1</v>
      </c>
      <c r="C563" s="2" t="inlineStr">
        <is>
          <t>Кирилл Якименков, Даниэла Абрамова</t>
        </is>
      </c>
      <c r="D563" s="3" t="n">
        <v>49252.5</v>
      </c>
      <c r="E563" s="4" t="n">
        <v>4</v>
      </c>
      <c r="F563" t="inlineStr">
        <is>
          <t>TravelLine Booking Engine [Чайковский]</t>
        </is>
      </c>
      <c r="G563" s="3">
        <f>ROUND(D563/(100-E563)*100,2)</f>
        <v/>
      </c>
      <c r="H563" s="5" t="n">
        <v>46228.58333333334</v>
      </c>
      <c r="I563" t="n">
        <v>3</v>
      </c>
      <c r="J563" s="3">
        <f>G563/I563</f>
        <v/>
      </c>
      <c r="K563">
        <f>IF(J563&gt;=5100,"ставка","мин.ставка")</f>
        <v/>
      </c>
      <c r="L563" s="3">
        <f>ROUND(IF(K563="мин.ставка",I563*100,G563/102*2),2)</f>
        <v/>
      </c>
      <c r="M563" s="5" t="n">
        <v>46231.5</v>
      </c>
      <c r="N563" t="inlineStr">
        <is>
          <t>TravelLine сайт</t>
        </is>
      </c>
      <c r="O563" s="2" t="inlineStr">
        <is>
          <t>ПОЛУЛЮКС</t>
        </is>
      </c>
      <c r="P563" s="6" t="n"/>
      <c r="R563" t="inlineStr"/>
      <c r="S563" t="inlineStr">
        <is>
          <t>Тариф с завтраком</t>
        </is>
      </c>
      <c r="T563" t="n">
        <v>300</v>
      </c>
      <c r="U563" t="n">
        <v>49552.5</v>
      </c>
    </row>
    <row r="564">
      <c r="A564" t="inlineStr">
        <is>
          <t>20260711-8186-411331896</t>
        </is>
      </c>
      <c r="B564" t="n">
        <v>1</v>
      </c>
      <c r="C564" s="2" t="inlineStr">
        <is>
          <t>Клара Гольдберг</t>
        </is>
      </c>
      <c r="D564" s="3" t="n">
        <v>6320</v>
      </c>
      <c r="E564" s="4" t="n">
        <v>0</v>
      </c>
      <c r="F564" t="inlineStr">
        <is>
          <t>Прямые бронирования (стойка) [Чайковский]</t>
        </is>
      </c>
      <c r="G564" s="3">
        <f>ROUND(D564/(100-E564)*100,2)</f>
        <v/>
      </c>
      <c r="H564" s="5" t="n">
        <v>46214.58333333334</v>
      </c>
      <c r="I564" t="n">
        <v>1</v>
      </c>
      <c r="J564" s="3">
        <f>G564/I564</f>
        <v/>
      </c>
      <c r="K564">
        <f>IF(J564&gt;=5100,"ставка","мин.ставка")</f>
        <v/>
      </c>
      <c r="L564" s="3">
        <f>ROUND(IF(K564="мин.ставка",I564*100,G564/102*2),2)</f>
        <v/>
      </c>
      <c r="M564" s="5" t="n">
        <v>46215.5</v>
      </c>
      <c r="N564" t="inlineStr">
        <is>
          <t>TravelLine ресепшн</t>
        </is>
      </c>
      <c r="O564" s="2" t="inlineStr">
        <is>
          <t>СТАНДАРТНЫЙ ДВУХМЕСТНЫЙ НОМЕР (МАНСАРДА)</t>
        </is>
      </c>
      <c r="P564" s="6" t="n"/>
      <c r="R564" t="inlineStr"/>
      <c r="S564" t="inlineStr">
        <is>
          <t>Тариф с завтраком</t>
        </is>
      </c>
      <c r="T564" t="n">
        <v>0</v>
      </c>
      <c r="U564" t="n">
        <v>6320</v>
      </c>
    </row>
    <row r="565">
      <c r="A565" t="inlineStr">
        <is>
          <t>20260719-8186-451589711</t>
        </is>
      </c>
      <c r="B565" t="n">
        <v>1</v>
      </c>
      <c r="C565" s="2" t="inlineStr">
        <is>
          <t>Константин Жар</t>
        </is>
      </c>
      <c r="D565" s="3" t="n">
        <v>5852</v>
      </c>
      <c r="E565" s="4" t="n">
        <v>18</v>
      </c>
      <c r="F565" t="inlineStr">
        <is>
          <t>Яндекс.Путешествия [Чайковский]</t>
        </is>
      </c>
      <c r="G565" s="3">
        <f>ROUND(D565/(100-E565)*100,2)</f>
        <v/>
      </c>
      <c r="H565" s="5" t="n">
        <v>46222.58333333334</v>
      </c>
      <c r="I565" t="n">
        <v>1</v>
      </c>
      <c r="J565" s="3">
        <f>G565/I565</f>
        <v/>
      </c>
      <c r="K565">
        <f>IF(J565&gt;=5100,"ставка","мин.ставка")</f>
        <v/>
      </c>
      <c r="L565" s="3">
        <f>ROUND(IF(K565="мин.ставка",I565*100,G565/102*2),2)</f>
        <v/>
      </c>
      <c r="M565" s="5" t="n">
        <v>46223.5</v>
      </c>
      <c r="N565" t="inlineStr">
        <is>
          <t>TravelLine YAX</t>
        </is>
      </c>
      <c r="O565" s="2" t="inlineStr">
        <is>
          <t>СТАНДАРТНЫЙ ОДНОМЕСТНЫЙ НОМЕР</t>
        </is>
      </c>
      <c r="P565" s="6" t="n"/>
      <c r="R565" t="inlineStr"/>
      <c r="S565" t="inlineStr">
        <is>
          <t>Тариф с завтраком</t>
        </is>
      </c>
      <c r="T565" t="n">
        <v>0</v>
      </c>
      <c r="U565" t="n">
        <v>5852</v>
      </c>
    </row>
    <row r="566">
      <c r="A566" t="inlineStr">
        <is>
          <t>20260918-8186-460074365</t>
        </is>
      </c>
      <c r="B566" t="n">
        <v>1</v>
      </c>
      <c r="C566" s="2" t="inlineStr">
        <is>
          <t>КОНСТАНТИН ПРОХОРОВ, СВЕТЛАНА ПРОХОРОВА</t>
        </is>
      </c>
      <c r="D566" s="3" t="n">
        <v>21165</v>
      </c>
      <c r="E566" s="4" t="n">
        <v>15</v>
      </c>
      <c r="F566" t="inlineStr">
        <is>
          <t>ООО "АКАДЕМ-ОНЛАЙН" [Чайковский]</t>
        </is>
      </c>
      <c r="G566" s="3">
        <f>ROUND(D566/(100-E566)*100,2)</f>
        <v/>
      </c>
      <c r="H566" s="5" t="n">
        <v>46283.58333333334</v>
      </c>
      <c r="I566" t="n">
        <v>2</v>
      </c>
      <c r="J566" s="3">
        <f>G566/I566</f>
        <v/>
      </c>
      <c r="K566">
        <f>IF(J566&gt;=5100,"ставка","мин.ставка")</f>
        <v/>
      </c>
      <c r="L566" s="3">
        <f>ROUND(IF(K566="мин.ставка",I566*100,G566/102*2),2)</f>
        <v/>
      </c>
      <c r="M566" s="5" t="n">
        <v>46285.5</v>
      </c>
      <c r="N566" t="inlineStr">
        <is>
          <t>TravelLine ACS</t>
        </is>
      </c>
      <c r="O566" s="2" t="inlineStr">
        <is>
          <t>СЕМЕЙНЫЙ НОМЕР КАТЕГОРИИ "СТАНДАРТ" ВТОРОЙ КОРПУС</t>
        </is>
      </c>
      <c r="P566" s="6" t="n"/>
      <c r="R566" t="inlineStr"/>
      <c r="S566" t="inlineStr">
        <is>
          <t>Тариф с завтраком</t>
        </is>
      </c>
      <c r="T566" t="n">
        <v>4000</v>
      </c>
      <c r="U566" t="n">
        <v>25165</v>
      </c>
    </row>
    <row r="567">
      <c r="A567" t="inlineStr">
        <is>
          <t>20260916-8186-466008879</t>
        </is>
      </c>
      <c r="B567" t="n">
        <v>1</v>
      </c>
      <c r="C567" s="2" t="inlineStr">
        <is>
          <t>Константин Якушев</t>
        </is>
      </c>
      <c r="D567" s="3" t="n">
        <v>10500</v>
      </c>
      <c r="E567" s="4" t="n">
        <v>16</v>
      </c>
      <c r="F567" t="inlineStr">
        <is>
          <t>ООО "БРОНИРОВАНИЕ ГОСТИНИЦ" (OSTROVOK) [Чайковский]</t>
        </is>
      </c>
      <c r="G567" s="3">
        <f>ROUND(D567/(100-E567)*100,2)</f>
        <v/>
      </c>
      <c r="H567" s="5" t="n">
        <v>46281.58333333334</v>
      </c>
      <c r="I567" t="n">
        <v>1</v>
      </c>
      <c r="J567" s="3">
        <f>G567/I567</f>
        <v/>
      </c>
      <c r="K567">
        <f>IF(J567&gt;=5100,"ставка","мин.ставка")</f>
        <v/>
      </c>
      <c r="L567" s="3">
        <f>ROUND(IF(K567="мин.ставка",I567*100,G567/102*2),2)</f>
        <v/>
      </c>
      <c r="M567" s="5" t="n">
        <v>46282.5</v>
      </c>
      <c r="N567" t="inlineStr">
        <is>
          <t>TravelLine OTK</t>
        </is>
      </c>
      <c r="O567" s="2" t="inlineStr">
        <is>
          <t>ЛЮКС ВТОРОЙ КОРПУС</t>
        </is>
      </c>
      <c r="P567" s="6" t="n"/>
      <c r="R567" t="inlineStr"/>
      <c r="S567" t="inlineStr">
        <is>
          <t>Основной тариф без завтрака</t>
        </is>
      </c>
      <c r="T567" t="n">
        <v>0</v>
      </c>
      <c r="U567" t="n">
        <v>10500</v>
      </c>
    </row>
    <row r="568">
      <c r="A568" t="inlineStr">
        <is>
          <t>20260813-8186-457357141</t>
        </is>
      </c>
      <c r="B568" t="n">
        <v>1</v>
      </c>
      <c r="C568" s="2" t="inlineStr">
        <is>
          <t>КСЕНИЯ БЯЛАЯ</t>
        </is>
      </c>
      <c r="D568" s="3" t="n">
        <v>13400</v>
      </c>
      <c r="E568" s="4" t="n">
        <v>0</v>
      </c>
      <c r="F568" t="inlineStr">
        <is>
          <t>Прямые бронирования (стойка) [Чайковский]</t>
        </is>
      </c>
      <c r="G568" s="3">
        <f>ROUND(D568/(100-E568)*100,2)</f>
        <v/>
      </c>
      <c r="H568" s="5" t="n">
        <v>46251.58333333334</v>
      </c>
      <c r="I568" t="n">
        <v>1</v>
      </c>
      <c r="J568" s="3">
        <f>G568/I568</f>
        <v/>
      </c>
      <c r="K568">
        <f>IF(J568&gt;=5100,"ставка","мин.ставка")</f>
        <v/>
      </c>
      <c r="L568" s="3">
        <f>ROUND(IF(K568="мин.ставка",I568*100,G568/102*2),2)</f>
        <v/>
      </c>
      <c r="M568" s="5" t="n">
        <v>46252.5</v>
      </c>
      <c r="N568" t="inlineStr">
        <is>
          <t>TravelLine ресепшн</t>
        </is>
      </c>
      <c r="O568" s="2" t="inlineStr">
        <is>
          <t>УЛУЧШЕННЫЙ ДВУХМЕСТНЫЙ НОМЕР</t>
        </is>
      </c>
      <c r="P568" s="6" t="n"/>
      <c r="R568" t="inlineStr"/>
      <c r="S568" t="inlineStr">
        <is>
          <t>Тариф с завтраком</t>
        </is>
      </c>
      <c r="T568" t="n">
        <v>0</v>
      </c>
      <c r="U568" t="n">
        <v>13400</v>
      </c>
    </row>
    <row r="569">
      <c r="A569" t="inlineStr">
        <is>
          <t>20260729-8186-448976597</t>
        </is>
      </c>
      <c r="B569" t="n">
        <v>1</v>
      </c>
      <c r="C569" s="2" t="inlineStr">
        <is>
          <t>КСЕНИЯ Корчик-Янович</t>
        </is>
      </c>
      <c r="D569" s="3" t="n">
        <v>18960</v>
      </c>
      <c r="E569" s="4" t="n">
        <v>20</v>
      </c>
      <c r="F569" t="inlineStr">
        <is>
          <t>ООО "ХБ-ПРО" [Чайковский]</t>
        </is>
      </c>
      <c r="G569" s="3">
        <f>ROUND(D569/(100-E569)*100,2)</f>
        <v/>
      </c>
      <c r="H569" s="5" t="n">
        <v>46232.58333333334</v>
      </c>
      <c r="I569" t="n">
        <v>3</v>
      </c>
      <c r="J569" s="3">
        <f>G569/I569</f>
        <v/>
      </c>
      <c r="K569">
        <f>IF(J569&gt;=5100,"ставка","мин.ставка")</f>
        <v/>
      </c>
      <c r="L569" s="3">
        <f>ROUND(IF(K569="мин.ставка",I569*100,G569/102*2),2)</f>
        <v/>
      </c>
      <c r="M569" s="5" t="n">
        <v>46235.5</v>
      </c>
      <c r="N569" t="inlineStr">
        <is>
          <t>TravelLine UTS</t>
        </is>
      </c>
      <c r="O569" s="2" t="inlineStr">
        <is>
          <t>СТАНДАРТНЫЙ ДВУХМЕСТНЫЙ НОМЕР (МАНСАРДА)</t>
        </is>
      </c>
      <c r="P569" s="6" t="n"/>
      <c r="R569" t="inlineStr"/>
      <c r="S569" t="inlineStr">
        <is>
          <t>Тариф с завтраком</t>
        </is>
      </c>
      <c r="T569" t="n">
        <v>0</v>
      </c>
      <c r="U569" t="n">
        <v>18960</v>
      </c>
    </row>
    <row r="570">
      <c r="A570" t="inlineStr">
        <is>
          <t>20260822-8186-447387839</t>
        </is>
      </c>
      <c r="B570" t="n">
        <v>1</v>
      </c>
      <c r="C570" s="2" t="inlineStr">
        <is>
          <t>Ксения Недорезова</t>
        </is>
      </c>
      <c r="D570" s="3" t="n">
        <v>6715</v>
      </c>
      <c r="E570" s="4" t="n">
        <v>15</v>
      </c>
      <c r="F570" t="inlineStr">
        <is>
          <t>ООО Тинькофф Путешествия [Чайковский]</t>
        </is>
      </c>
      <c r="G570" s="3">
        <f>ROUND(D570/(100-E570)*100,2)</f>
        <v/>
      </c>
      <c r="H570" s="5" t="n">
        <v>46256.58333333334</v>
      </c>
      <c r="I570" t="n">
        <v>1</v>
      </c>
      <c r="J570" s="3">
        <f>G570/I570</f>
        <v/>
      </c>
      <c r="K570">
        <f>IF(J570&gt;=5100,"ставка","мин.ставка")</f>
        <v/>
      </c>
      <c r="L570" s="3">
        <f>ROUND(IF(K570="мин.ставка",I570*100,G570/102*2),2)</f>
        <v/>
      </c>
      <c r="M570" s="5" t="n">
        <v>46257.5</v>
      </c>
      <c r="N570" t="inlineStr">
        <is>
          <t>TravelLine TNK</t>
        </is>
      </c>
      <c r="O570" s="2" t="inlineStr">
        <is>
          <t>СТАНДАРТНЫЙ ДВУХМЕСТНЫЙ НОМЕР (МАНСАРДА)</t>
        </is>
      </c>
      <c r="P570" s="6" t="n"/>
      <c r="R570" t="inlineStr"/>
      <c r="S570" t="inlineStr">
        <is>
          <t>Тариф с завтраком</t>
        </is>
      </c>
      <c r="T570" t="n">
        <v>0</v>
      </c>
      <c r="U570" t="n">
        <v>6715</v>
      </c>
    </row>
    <row r="571">
      <c r="A571" t="inlineStr">
        <is>
          <t>20260724-8186-446893476</t>
        </is>
      </c>
      <c r="B571" t="n">
        <v>1</v>
      </c>
      <c r="C571" s="2" t="inlineStr">
        <is>
          <t>Ксения Новоселова</t>
        </is>
      </c>
      <c r="D571" s="3" t="n">
        <v>20230</v>
      </c>
      <c r="E571" s="4" t="n">
        <v>15</v>
      </c>
      <c r="F571" t="inlineStr">
        <is>
          <t>ООО Тинькофф Путешествия [Чайковский]</t>
        </is>
      </c>
      <c r="G571" s="3">
        <f>ROUND(D571/(100-E571)*100,2)</f>
        <v/>
      </c>
      <c r="H571" s="5" t="n">
        <v>46227.58333333334</v>
      </c>
      <c r="I571" t="n">
        <v>2</v>
      </c>
      <c r="J571" s="3">
        <f>G571/I571</f>
        <v/>
      </c>
      <c r="K571">
        <f>IF(J571&gt;=5100,"ставка","мин.ставка")</f>
        <v/>
      </c>
      <c r="L571" s="3">
        <f>ROUND(IF(K571="мин.ставка",I571*100,G571/102*2),2)</f>
        <v/>
      </c>
      <c r="M571" s="5" t="n">
        <v>46229.5</v>
      </c>
      <c r="N571" t="inlineStr">
        <is>
          <t>TravelLine TNK</t>
        </is>
      </c>
      <c r="O571" s="2" t="inlineStr">
        <is>
          <t>УЛУЧШЕННЫЙ ДВУХМЕСТНЫЙ НОМЕР</t>
        </is>
      </c>
      <c r="P571" s="6" t="n"/>
      <c r="R571" t="inlineStr"/>
      <c r="S571" t="inlineStr">
        <is>
          <t>Основной тариф без завтрака</t>
        </is>
      </c>
      <c r="T571" t="n">
        <v>0</v>
      </c>
      <c r="U571" t="n">
        <v>20230</v>
      </c>
    </row>
    <row r="572">
      <c r="A572" t="inlineStr">
        <is>
          <t>20260915-8186-457386523</t>
        </is>
      </c>
      <c r="B572" t="n">
        <v>1</v>
      </c>
      <c r="C572" s="2" t="inlineStr">
        <is>
          <t>КСЕНИЯ ЯКОВЕНКО</t>
        </is>
      </c>
      <c r="D572" s="3" t="n">
        <v>9080</v>
      </c>
      <c r="E572" s="4" t="n">
        <v>20</v>
      </c>
      <c r="F572" t="inlineStr">
        <is>
          <t>ООО "ХБ-ПРО" [Чайковский]</t>
        </is>
      </c>
      <c r="G572" s="3">
        <f>ROUND(D572/(100-E572)*100,2)</f>
        <v/>
      </c>
      <c r="H572" s="5" t="n">
        <v>46280.58333333334</v>
      </c>
      <c r="I572" t="n">
        <v>1</v>
      </c>
      <c r="J572" s="3">
        <f>G572/I572</f>
        <v/>
      </c>
      <c r="K572">
        <f>IF(J572&gt;=5100,"ставка","мин.ставка")</f>
        <v/>
      </c>
      <c r="L572" s="3">
        <f>ROUND(IF(K572="мин.ставка",I572*100,G572/102*2),2)</f>
        <v/>
      </c>
      <c r="M572" s="5" t="n">
        <v>46281.5</v>
      </c>
      <c r="N572" t="inlineStr">
        <is>
          <t>TravelLine UTS</t>
        </is>
      </c>
      <c r="O572" s="2" t="inlineStr">
        <is>
          <t>СТАНДАРТНЫЙ ДВУХМЕСТНЫЙ НОМЕР</t>
        </is>
      </c>
      <c r="P572" s="6" t="n"/>
      <c r="R572" t="inlineStr"/>
      <c r="S572" t="inlineStr">
        <is>
          <t>Тариф с завтраком</t>
        </is>
      </c>
      <c r="T572" t="n">
        <v>0</v>
      </c>
      <c r="U572" t="n">
        <v>9080</v>
      </c>
    </row>
    <row r="573">
      <c r="A573" t="inlineStr">
        <is>
          <t>20260819-8186-412191182</t>
        </is>
      </c>
      <c r="B573" t="n">
        <v>1</v>
      </c>
      <c r="C573" s="2" t="inlineStr">
        <is>
          <t>ЛАРИСА БРИЛЛИАНТ</t>
        </is>
      </c>
      <c r="D573" s="3" t="n">
        <v>23700</v>
      </c>
      <c r="E573" s="4" t="n">
        <v>0</v>
      </c>
      <c r="F573" t="inlineStr">
        <is>
          <t>Прямые бронирования (стойка) [Чайковский]</t>
        </is>
      </c>
      <c r="G573" s="3">
        <f>ROUND(D573/(100-E573)*100,2)</f>
        <v/>
      </c>
      <c r="H573" s="5" t="n">
        <v>46249.58333333334</v>
      </c>
      <c r="I573" t="n">
        <v>3</v>
      </c>
      <c r="J573" s="3">
        <f>G573/I573</f>
        <v/>
      </c>
      <c r="K573">
        <f>IF(J573&gt;=5100,"ставка","мин.ставка")</f>
        <v/>
      </c>
      <c r="L573" s="3">
        <f>ROUND(IF(K573="мин.ставка",I573*100,G573/102*2),2)</f>
        <v/>
      </c>
      <c r="M573" s="5" t="n">
        <v>46252.5</v>
      </c>
      <c r="N573" t="inlineStr">
        <is>
          <t>TravelLine ресепшн</t>
        </is>
      </c>
      <c r="O573" s="2" t="inlineStr">
        <is>
          <t>СТАНДАРТНЫЙ ДВУХМЕСТНЫЙ НОМЕР (МАНСАРДА)</t>
        </is>
      </c>
      <c r="P573" s="6" t="n"/>
      <c r="R573" t="inlineStr"/>
      <c r="S573" t="inlineStr">
        <is>
          <t>Тариф с завтраком</t>
        </is>
      </c>
      <c r="T573" t="n">
        <v>0</v>
      </c>
      <c r="U573" t="n">
        <v>23700</v>
      </c>
    </row>
    <row r="574">
      <c r="A574" t="inlineStr">
        <is>
          <t>20260727-8186-453467059</t>
        </is>
      </c>
      <c r="B574" t="n">
        <v>1</v>
      </c>
      <c r="C574" s="2" t="inlineStr">
        <is>
          <t>Лариса Дубинчук, Виктория Казюра</t>
        </is>
      </c>
      <c r="D574" s="3" t="n">
        <v>8284</v>
      </c>
      <c r="E574" s="4" t="n">
        <v>18</v>
      </c>
      <c r="F574" t="inlineStr">
        <is>
          <t>Яндекс.Путешествия [Чайковский]</t>
        </is>
      </c>
      <c r="G574" s="3">
        <f>ROUND(D574/(100-E574)*100,2)</f>
        <v/>
      </c>
      <c r="H574" s="5" t="n">
        <v>46230.58333333334</v>
      </c>
      <c r="I574" t="n">
        <v>1</v>
      </c>
      <c r="J574" s="3">
        <f>G574/I574</f>
        <v/>
      </c>
      <c r="K574">
        <f>IF(J574&gt;=5100,"ставка","мин.ставка")</f>
        <v/>
      </c>
      <c r="L574" s="3">
        <f>ROUND(IF(K574="мин.ставка",I574*100,G574/102*2),2)</f>
        <v/>
      </c>
      <c r="M574" s="5" t="n">
        <v>46231.5</v>
      </c>
      <c r="N574" t="inlineStr">
        <is>
          <t>TravelLine YAX</t>
        </is>
      </c>
      <c r="O574" s="2" t="inlineStr">
        <is>
          <t>СТАНДАРТНЫЙ ДВУХМЕСТНЫЙ НОМЕР</t>
        </is>
      </c>
      <c r="P574" s="6" t="n"/>
      <c r="R574" t="inlineStr"/>
      <c r="S574" t="inlineStr">
        <is>
          <t>Тариф с завтраком</t>
        </is>
      </c>
      <c r="T574" t="n">
        <v>0</v>
      </c>
      <c r="U574" t="n">
        <v>8284</v>
      </c>
    </row>
    <row r="575">
      <c r="A575" t="inlineStr">
        <is>
          <t>20260726-8186-440779552</t>
        </is>
      </c>
      <c r="B575" t="n">
        <v>1</v>
      </c>
      <c r="C575" s="2" t="inlineStr">
        <is>
          <t>Лариса Матвеева, Яна Матвеева</t>
        </is>
      </c>
      <c r="D575" s="3" t="n">
        <v>68085</v>
      </c>
      <c r="E575" s="4" t="n">
        <v>0</v>
      </c>
      <c r="F575" t="inlineStr">
        <is>
          <t>ООО «ХОМЛИН ЛЭНД» (ПЕГАС) [Чайковский]</t>
        </is>
      </c>
      <c r="G575" s="3">
        <f>ROUND(D575/(100-E575)*100,2)</f>
        <v/>
      </c>
      <c r="H575" s="5" t="n">
        <v>46229.58333333334</v>
      </c>
      <c r="I575" t="n">
        <v>6</v>
      </c>
      <c r="J575" s="3">
        <f>G575/I575</f>
        <v/>
      </c>
      <c r="K575">
        <f>IF(J575&gt;=5100,"ставка","мин.ставка")</f>
        <v/>
      </c>
      <c r="L575" s="3">
        <f>ROUND(IF(K575="мин.ставка",I575*100,G575/102*2),2)</f>
        <v/>
      </c>
      <c r="M575" s="5" t="n">
        <v>46235.5</v>
      </c>
      <c r="N575" t="inlineStr">
        <is>
          <t>TravelLine PGS</t>
        </is>
      </c>
      <c r="O575" s="2" t="inlineStr">
        <is>
          <t>СТАНДАРТНЫЙ ДВУХМЕСТНЫЙ НОМЕР</t>
        </is>
      </c>
      <c r="P575" s="6" t="n"/>
      <c r="R575" t="inlineStr"/>
      <c r="S575" t="inlineStr">
        <is>
          <t>Тариф с завтраком</t>
        </is>
      </c>
      <c r="T575" t="n">
        <v>0</v>
      </c>
      <c r="U575" t="n">
        <v>68085</v>
      </c>
    </row>
    <row r="576">
      <c r="A576" t="inlineStr">
        <is>
          <t>20260925-8186-460121814</t>
        </is>
      </c>
      <c r="B576" t="n">
        <v>1</v>
      </c>
      <c r="C576" s="2" t="inlineStr">
        <is>
          <t>Лариса Хоменко, Мария Старкина</t>
        </is>
      </c>
      <c r="D576" s="3" t="n">
        <v>33660</v>
      </c>
      <c r="E576" s="4" t="n">
        <v>0</v>
      </c>
      <c r="F576" t="inlineStr">
        <is>
          <t>ООО «ХОМЛИН ЛЭНД» (ПЕГАС) [Чайковский]</t>
        </is>
      </c>
      <c r="G576" s="3">
        <f>ROUND(D576/(100-E576)*100,2)</f>
        <v/>
      </c>
      <c r="H576" s="5" t="n">
        <v>46290.58333333334</v>
      </c>
      <c r="I576" t="n">
        <v>4</v>
      </c>
      <c r="J576" s="3">
        <f>G576/I576</f>
        <v/>
      </c>
      <c r="K576">
        <f>IF(J576&gt;=5100,"ставка","мин.ставка")</f>
        <v/>
      </c>
      <c r="L576" s="3">
        <f>ROUND(IF(K576="мин.ставка",I576*100,G576/102*2),2)</f>
        <v/>
      </c>
      <c r="M576" s="5" t="n">
        <v>46294.5</v>
      </c>
      <c r="N576" t="inlineStr">
        <is>
          <t>TravelLine PGS</t>
        </is>
      </c>
      <c r="O576" s="2" t="inlineStr">
        <is>
          <t>СТАНДАРТНЫЙ ДВУХМЕСТНЫЙ НОМЕР (МАНСАРДА)</t>
        </is>
      </c>
      <c r="P576" s="6" t="n"/>
      <c r="R576" t="inlineStr"/>
      <c r="S576" t="inlineStr">
        <is>
          <t>Тариф с завтраком</t>
        </is>
      </c>
      <c r="T576" t="n">
        <v>0</v>
      </c>
      <c r="U576" t="n">
        <v>33660</v>
      </c>
    </row>
    <row r="577">
      <c r="A577" t="inlineStr">
        <is>
          <t>20260807-8186-438685773</t>
        </is>
      </c>
      <c r="B577" t="n">
        <v>1</v>
      </c>
      <c r="C577" s="2" t="inlineStr">
        <is>
          <t>Леонид Александров, Мария Александрова</t>
        </is>
      </c>
      <c r="D577" s="3" t="n">
        <v>21360</v>
      </c>
      <c r="E577" s="4" t="n">
        <v>18</v>
      </c>
      <c r="F577" t="inlineStr">
        <is>
          <t>Яндекс.Путешествия [Чайковский]</t>
        </is>
      </c>
      <c r="G577" s="3">
        <f>ROUND(D577/(100-E577)*100,2)</f>
        <v/>
      </c>
      <c r="H577" s="5" t="n">
        <v>46241.58333333334</v>
      </c>
      <c r="I577" t="n">
        <v>2</v>
      </c>
      <c r="J577" s="3">
        <f>G577/I577</f>
        <v/>
      </c>
      <c r="K577">
        <f>IF(J577&gt;=5100,"ставка","мин.ставка")</f>
        <v/>
      </c>
      <c r="L577" s="3">
        <f>ROUND(IF(K577="мин.ставка",I577*100,G577/102*2),2)</f>
        <v/>
      </c>
      <c r="M577" s="5" t="n">
        <v>46243.5</v>
      </c>
      <c r="N577" t="inlineStr">
        <is>
          <t>TravelLine YAX</t>
        </is>
      </c>
      <c r="O577" s="2" t="inlineStr">
        <is>
          <t>СТАНДАРТНЫЙ ДВУХМЕСТНЫЙ НОМЕР</t>
        </is>
      </c>
      <c r="P577" s="6" t="n"/>
      <c r="R577" t="inlineStr"/>
      <c r="S577" t="inlineStr">
        <is>
          <t>Тариф с завтраком</t>
        </is>
      </c>
      <c r="T577" t="n">
        <v>0</v>
      </c>
      <c r="U577" t="n">
        <v>21360</v>
      </c>
    </row>
    <row r="578">
      <c r="A578" t="inlineStr">
        <is>
          <t>20260914-8186-463712958</t>
        </is>
      </c>
      <c r="B578" t="n">
        <v>1</v>
      </c>
      <c r="C578" s="2" t="inlineStr">
        <is>
          <t>ЛЕОНИД ДУБОВ</t>
        </is>
      </c>
      <c r="D578" s="3" t="n">
        <v>27240</v>
      </c>
      <c r="E578" s="4" t="n">
        <v>20</v>
      </c>
      <c r="F578" t="inlineStr">
        <is>
          <t>ООО "ХБ-ПРО" [Чайковский]</t>
        </is>
      </c>
      <c r="G578" s="3">
        <f>ROUND(D578/(100-E578)*100,2)</f>
        <v/>
      </c>
      <c r="H578" s="5" t="n">
        <v>46279.58333333334</v>
      </c>
      <c r="I578" t="n">
        <v>3</v>
      </c>
      <c r="J578" s="3">
        <f>G578/I578</f>
        <v/>
      </c>
      <c r="K578">
        <f>IF(J578&gt;=5100,"ставка","мин.ставка")</f>
        <v/>
      </c>
      <c r="L578" s="3">
        <f>ROUND(IF(K578="мин.ставка",I578*100,G578/102*2),2)</f>
        <v/>
      </c>
      <c r="M578" s="5" t="n">
        <v>46282.5</v>
      </c>
      <c r="N578" t="inlineStr">
        <is>
          <t>TravelLine UTS</t>
        </is>
      </c>
      <c r="O578" s="2" t="inlineStr">
        <is>
          <t>СТАНДАРТНЫЙ ДВУХМЕСТНЫЙ НОМЕР</t>
        </is>
      </c>
      <c r="P578" s="6" t="n"/>
      <c r="R578" t="inlineStr"/>
      <c r="S578" t="inlineStr">
        <is>
          <t>Тариф с завтраком</t>
        </is>
      </c>
      <c r="T578" t="n">
        <v>0</v>
      </c>
      <c r="U578" t="n">
        <v>27240</v>
      </c>
    </row>
    <row r="579">
      <c r="A579" t="inlineStr">
        <is>
          <t>20260802-8186-451253781</t>
        </is>
      </c>
      <c r="B579" t="n">
        <v>1</v>
      </c>
      <c r="C579" s="2" t="inlineStr">
        <is>
          <t>ЛЕОНИД ДУБОВ</t>
        </is>
      </c>
      <c r="D579" s="3" t="n">
        <v>18160</v>
      </c>
      <c r="E579" s="4" t="n">
        <v>20</v>
      </c>
      <c r="F579" t="inlineStr">
        <is>
          <t>ООО "КОМПАНИЯ БРОНЕВИК" [Чайковский]</t>
        </is>
      </c>
      <c r="G579" s="3">
        <f>ROUND(D579/(100-E579)*100,2)</f>
        <v/>
      </c>
      <c r="H579" s="5" t="n">
        <v>46236.58333333334</v>
      </c>
      <c r="I579" t="n">
        <v>2</v>
      </c>
      <c r="J579" s="3">
        <f>G579/I579</f>
        <v/>
      </c>
      <c r="K579">
        <f>IF(J579&gt;=5100,"ставка","мин.ставка")</f>
        <v/>
      </c>
      <c r="L579" s="3">
        <f>ROUND(IF(K579="мин.ставка",I579*100,G579/102*2),2)</f>
        <v/>
      </c>
      <c r="M579" s="5" t="n">
        <v>46238.5</v>
      </c>
      <c r="N579" t="inlineStr">
        <is>
          <t>TravelLine BR2</t>
        </is>
      </c>
      <c r="O579" s="2" t="inlineStr">
        <is>
          <t>СТАНДАРТНЫЙ ДВУХМЕСТНЫЙ НОМЕР</t>
        </is>
      </c>
      <c r="P579" s="6" t="n"/>
      <c r="R579" t="inlineStr"/>
      <c r="S579" t="inlineStr">
        <is>
          <t>Тариф с завтраком</t>
        </is>
      </c>
      <c r="T579" t="n">
        <v>0</v>
      </c>
      <c r="U579" t="n">
        <v>18160</v>
      </c>
    </row>
    <row r="580">
      <c r="A580" t="inlineStr">
        <is>
          <t>20260814-8186-456330345</t>
        </is>
      </c>
      <c r="B580" t="n">
        <v>1</v>
      </c>
      <c r="C580" s="2" t="inlineStr">
        <is>
          <t>ЛЕОНИД СТЕПАНОВ, Кристэль Степанова</t>
        </is>
      </c>
      <c r="D580" s="3" t="n">
        <v>26286.15</v>
      </c>
      <c r="E580" s="4" t="n">
        <v>4</v>
      </c>
      <c r="F580" t="inlineStr">
        <is>
          <t>TravelLine Booking Engine [Чайковский]</t>
        </is>
      </c>
      <c r="G580" s="3">
        <f>ROUND(D580/(100-E580)*100,2)</f>
        <v/>
      </c>
      <c r="H580" s="5" t="n">
        <v>46248.58333333334</v>
      </c>
      <c r="I580" t="n">
        <v>2</v>
      </c>
      <c r="J580" s="3">
        <f>G580/I580</f>
        <v/>
      </c>
      <c r="K580">
        <f>IF(J580&gt;=5100,"ставка","мин.ставка")</f>
        <v/>
      </c>
      <c r="L580" s="3">
        <f>ROUND(IF(K580="мин.ставка",I580*100,G580/102*2),2)</f>
        <v/>
      </c>
      <c r="M580" s="5" t="n">
        <v>46250.5</v>
      </c>
      <c r="N580" t="inlineStr">
        <is>
          <t>TravelLine сайт</t>
        </is>
      </c>
      <c r="O580" s="2" t="inlineStr">
        <is>
          <t>СТАНДАРТНЫЙ ДВУХМЕСТНЫЙ НОМЕР</t>
        </is>
      </c>
      <c r="P580" s="6" t="n"/>
      <c r="R580" t="inlineStr"/>
      <c r="S580" t="inlineStr">
        <is>
          <t>Тариф с завтраком</t>
        </is>
      </c>
      <c r="T580" t="n">
        <v>0</v>
      </c>
      <c r="U580" t="n">
        <v>26286.15</v>
      </c>
    </row>
    <row r="581">
      <c r="A581" t="inlineStr">
        <is>
          <t>20260830-8186-441265449</t>
        </is>
      </c>
      <c r="B581" t="n">
        <v>1</v>
      </c>
      <c r="C581" s="2" t="inlineStr">
        <is>
          <t>Лидия Куковенко</t>
        </is>
      </c>
      <c r="D581" s="3" t="n">
        <v>13114</v>
      </c>
      <c r="E581" s="4" t="n">
        <v>17</v>
      </c>
      <c r="F581" t="inlineStr">
        <is>
          <t>ООО «Интернет Трэвел» (OZON) [Чайковский]</t>
        </is>
      </c>
      <c r="G581" s="3">
        <f>ROUND(D581/(100-E581)*100,2)</f>
        <v/>
      </c>
      <c r="H581" s="5" t="n">
        <v>46264.58333333334</v>
      </c>
      <c r="I581" t="n">
        <v>2</v>
      </c>
      <c r="J581" s="3">
        <f>G581/I581</f>
        <v/>
      </c>
      <c r="K581">
        <f>IF(J581&gt;=5100,"ставка","мин.ставка")</f>
        <v/>
      </c>
      <c r="L581" s="3">
        <f>ROUND(IF(K581="мин.ставка",I581*100,G581/102*2),2)</f>
        <v/>
      </c>
      <c r="M581" s="5" t="n">
        <v>46266.5</v>
      </c>
      <c r="N581" t="inlineStr">
        <is>
          <t>TravelLine OZ2</t>
        </is>
      </c>
      <c r="O581" s="2" t="inlineStr">
        <is>
          <t>СТАНДАРТНЫЙ ДВУХМЕСТНЫЙ НОМЕР (МАНСАРДА)</t>
        </is>
      </c>
      <c r="P581" s="6" t="n"/>
      <c r="R581" t="inlineStr"/>
      <c r="S581" t="inlineStr">
        <is>
          <t>Тариф с завтраком</t>
        </is>
      </c>
      <c r="T581" t="n">
        <v>0</v>
      </c>
      <c r="U581" t="n">
        <v>13114</v>
      </c>
    </row>
    <row r="582">
      <c r="A582" t="inlineStr">
        <is>
          <t>20260904-8186-419608255</t>
        </is>
      </c>
      <c r="B582" t="n">
        <v>1</v>
      </c>
      <c r="C582" s="2" t="inlineStr">
        <is>
          <t>Лидия Рассказова, Анна Рассказова</t>
        </is>
      </c>
      <c r="D582" s="3" t="n">
        <v>26286.15</v>
      </c>
      <c r="E582" s="4" t="n">
        <v>4</v>
      </c>
      <c r="F582" t="inlineStr">
        <is>
          <t>TravelLine Booking Engine [Чайковский]</t>
        </is>
      </c>
      <c r="G582" s="3">
        <f>ROUND(D582/(100-E582)*100,2)</f>
        <v/>
      </c>
      <c r="H582" s="5" t="n">
        <v>46269.58333333334</v>
      </c>
      <c r="I582" t="n">
        <v>2</v>
      </c>
      <c r="J582" s="3">
        <f>G582/I582</f>
        <v/>
      </c>
      <c r="K582">
        <f>IF(J582&gt;=5100,"ставка","мин.ставка")</f>
        <v/>
      </c>
      <c r="L582" s="3">
        <f>ROUND(IF(K582="мин.ставка",I582*100,G582/102*2),2)</f>
        <v/>
      </c>
      <c r="M582" s="5" t="n">
        <v>46271.5</v>
      </c>
      <c r="N582" t="inlineStr">
        <is>
          <t>TravelLine сайт</t>
        </is>
      </c>
      <c r="O582" s="2" t="inlineStr">
        <is>
          <t>СТАНДАРТНЫЙ ДВУХМЕСТНЫЙ НОМЕР</t>
        </is>
      </c>
      <c r="P582" s="6" t="n"/>
      <c r="R582" t="inlineStr"/>
      <c r="S582" t="inlineStr">
        <is>
          <t>Тариф с завтраком</t>
        </is>
      </c>
      <c r="T582" t="n">
        <v>0</v>
      </c>
      <c r="U582" t="n">
        <v>45779.25</v>
      </c>
    </row>
    <row r="583">
      <c r="A583" t="inlineStr">
        <is>
          <t>20260910-8186-449873466</t>
        </is>
      </c>
      <c r="B583" t="n">
        <v>1</v>
      </c>
      <c r="C583" s="2" t="inlineStr">
        <is>
          <t>ЛИДИЯ СУРКОВА, ТАТЬЯНА СМИРНОВА</t>
        </is>
      </c>
      <c r="D583" s="3" t="n">
        <v>22695</v>
      </c>
      <c r="E583" s="4" t="n">
        <v>0</v>
      </c>
      <c r="F583" t="inlineStr">
        <is>
          <t>ООО «ХОМЛИН ЛЭНД» (ПЕГАС) [Чайковский]</t>
        </is>
      </c>
      <c r="G583" s="3">
        <f>ROUND(D583/(100-E583)*100,2)</f>
        <v/>
      </c>
      <c r="H583" s="5" t="n">
        <v>46275.58333333334</v>
      </c>
      <c r="I583" t="n">
        <v>2</v>
      </c>
      <c r="J583" s="3">
        <f>G583/I583</f>
        <v/>
      </c>
      <c r="K583">
        <f>IF(J583&gt;=5100,"ставка","мин.ставка")</f>
        <v/>
      </c>
      <c r="L583" s="3">
        <f>ROUND(IF(K583="мин.ставка",I583*100,G583/102*2),2)</f>
        <v/>
      </c>
      <c r="M583" s="5" t="n">
        <v>46277.5</v>
      </c>
      <c r="N583" t="inlineStr">
        <is>
          <t>TravelLine PGS</t>
        </is>
      </c>
      <c r="O583" s="2" t="inlineStr">
        <is>
          <t>ПОЛУЛЮКС</t>
        </is>
      </c>
      <c r="P583" s="6" t="n"/>
      <c r="R583" t="inlineStr"/>
      <c r="S583" t="inlineStr">
        <is>
          <t>Тариф с завтраком</t>
        </is>
      </c>
      <c r="T583" t="n">
        <v>0</v>
      </c>
      <c r="U583" t="n">
        <v>22695</v>
      </c>
    </row>
    <row r="584">
      <c r="A584" t="inlineStr">
        <is>
          <t>20260918-8186-452114243</t>
        </is>
      </c>
      <c r="B584" t="n">
        <v>1</v>
      </c>
      <c r="C584" s="2" t="inlineStr">
        <is>
          <t>Лилия Бойко</t>
        </is>
      </c>
      <c r="D584" s="3" t="n">
        <v>22348.15</v>
      </c>
      <c r="E584" s="4" t="n">
        <v>4</v>
      </c>
      <c r="F584" t="inlineStr">
        <is>
          <t>TravelLine Booking Engine [Чайковский]</t>
        </is>
      </c>
      <c r="G584" s="3">
        <f>ROUND(D584/(100-E584)*100,2)</f>
        <v/>
      </c>
      <c r="H584" s="5" t="n">
        <v>46283.58333333334</v>
      </c>
      <c r="I584" t="n">
        <v>2</v>
      </c>
      <c r="J584" s="3">
        <f>G584/I584</f>
        <v/>
      </c>
      <c r="K584">
        <f>IF(J584&gt;=5100,"ставка","мин.ставка")</f>
        <v/>
      </c>
      <c r="L584" s="3">
        <f>ROUND(IF(K584="мин.ставка",I584*100,G584/102*2),2)</f>
        <v/>
      </c>
      <c r="M584" s="5" t="n">
        <v>46285.5</v>
      </c>
      <c r="N584" t="inlineStr">
        <is>
          <t>TravelLine сайт</t>
        </is>
      </c>
      <c r="O584" s="2" t="inlineStr">
        <is>
          <t>СТАНДАРТНЫЙ ДВУХМЕСТНЫЙ НОМЕР</t>
        </is>
      </c>
      <c r="P584" s="6" t="n"/>
      <c r="R584" t="inlineStr"/>
      <c r="S584" t="inlineStr">
        <is>
          <t>Тариф с завтраком</t>
        </is>
      </c>
      <c r="T584" t="n">
        <v>0</v>
      </c>
      <c r="U584" t="n">
        <v>22348.15</v>
      </c>
    </row>
    <row r="585">
      <c r="A585" t="inlineStr">
        <is>
          <t>20260713-8186-435959048</t>
        </is>
      </c>
      <c r="B585" t="n">
        <v>1</v>
      </c>
      <c r="C585" s="2" t="inlineStr">
        <is>
          <t>ЛИЛИЯ САМОХВАЛОВА, ВАЛЕРИЙ САМОХВАЛОВ</t>
        </is>
      </c>
      <c r="D585" s="3" t="n">
        <v>36960</v>
      </c>
      <c r="E585" s="4" t="n">
        <v>20</v>
      </c>
      <c r="F585" t="inlineStr">
        <is>
          <t>ООО "ХБ-ПРО" [Чайковский]</t>
        </is>
      </c>
      <c r="G585" s="3">
        <f>ROUND(D585/(100-E585)*100,2)</f>
        <v/>
      </c>
      <c r="H585" s="5" t="n">
        <v>46216.58333333334</v>
      </c>
      <c r="I585" t="n">
        <v>3</v>
      </c>
      <c r="J585" s="3">
        <f>G585/I585</f>
        <v/>
      </c>
      <c r="K585">
        <f>IF(J585&gt;=5100,"ставка","мин.ставка")</f>
        <v/>
      </c>
      <c r="L585" s="3">
        <f>ROUND(IF(K585="мин.ставка",I585*100,G585/102*2),2)</f>
        <v/>
      </c>
      <c r="M585" s="5" t="n">
        <v>46219.5</v>
      </c>
      <c r="N585" t="inlineStr">
        <is>
          <t>TravelLine UTS</t>
        </is>
      </c>
      <c r="O585" s="2" t="inlineStr">
        <is>
          <t>УЛУЧШЕННЫЙ ДВУХМЕСТНЫЙ НОМЕР</t>
        </is>
      </c>
      <c r="P585" s="6" t="n"/>
      <c r="R585" t="inlineStr"/>
      <c r="S585" t="inlineStr">
        <is>
          <t>Тариф с завтраком</t>
        </is>
      </c>
      <c r="T585" t="n">
        <v>800</v>
      </c>
      <c r="U585" t="n">
        <v>37760</v>
      </c>
    </row>
    <row r="586">
      <c r="A586" t="inlineStr">
        <is>
          <t>20260728-8186-453831391</t>
        </is>
      </c>
      <c r="B586" t="n">
        <v>1</v>
      </c>
      <c r="C586" s="2" t="inlineStr">
        <is>
          <t>лия виноградова</t>
        </is>
      </c>
      <c r="D586" s="3" t="n">
        <v>40200</v>
      </c>
      <c r="E586" s="4" t="n">
        <v>0</v>
      </c>
      <c r="F586" t="inlineStr">
        <is>
          <t>Прямые бронирования (стойка) [Чайковский]</t>
        </is>
      </c>
      <c r="G586" s="3">
        <f>ROUND(D586/(100-E586)*100,2)</f>
        <v/>
      </c>
      <c r="H586" s="5" t="n">
        <v>46231.58333333334</v>
      </c>
      <c r="I586" t="n">
        <v>3</v>
      </c>
      <c r="J586" s="3">
        <f>G586/I586</f>
        <v/>
      </c>
      <c r="K586">
        <f>IF(J586&gt;=5100,"ставка","мин.ставка")</f>
        <v/>
      </c>
      <c r="L586" s="3">
        <f>ROUND(IF(K586="мин.ставка",I586*100,G586/102*2),2)</f>
        <v/>
      </c>
      <c r="M586" s="5" t="n">
        <v>46234.5</v>
      </c>
      <c r="N586" t="inlineStr">
        <is>
          <t>TravelLine ресепшн</t>
        </is>
      </c>
      <c r="O586" s="2" t="inlineStr">
        <is>
          <t>УЛУЧШЕННЫЙ ДВУХМЕСТНЫЙ НОМЕР</t>
        </is>
      </c>
      <c r="P586" s="6" t="n"/>
      <c r="R586" t="inlineStr"/>
      <c r="S586" t="inlineStr">
        <is>
          <t>Тариф с завтраком</t>
        </is>
      </c>
      <c r="T586" t="n">
        <v>0</v>
      </c>
      <c r="U586" t="n">
        <v>40200</v>
      </c>
    </row>
    <row r="587">
      <c r="A587" t="inlineStr">
        <is>
          <t>20260824-8186-461183075</t>
        </is>
      </c>
      <c r="B587" t="n">
        <v>1</v>
      </c>
      <c r="C587" s="2" t="inlineStr">
        <is>
          <t>Лора Покровина</t>
        </is>
      </c>
      <c r="D587" s="3" t="n">
        <v>9647.5</v>
      </c>
      <c r="E587" s="4" t="n">
        <v>15</v>
      </c>
      <c r="F587" t="inlineStr">
        <is>
          <t>Trip.com Group [Чайковский]</t>
        </is>
      </c>
      <c r="G587" s="3">
        <f>ROUND(D587/(100-E587)*100,2)</f>
        <v/>
      </c>
      <c r="H587" s="5" t="n">
        <v>46258.58333333334</v>
      </c>
      <c r="I587" t="n">
        <v>1</v>
      </c>
      <c r="J587" s="3">
        <f>G587/I587</f>
        <v/>
      </c>
      <c r="K587">
        <f>IF(J587&gt;=5100,"ставка","мин.ставка")</f>
        <v/>
      </c>
      <c r="L587" s="3">
        <f>ROUND(IF(K587="мин.ставка",I587*100,G587/102*2),2)</f>
        <v/>
      </c>
      <c r="M587" s="5" t="n">
        <v>46259.5</v>
      </c>
      <c r="N587" t="inlineStr">
        <is>
          <t>TravelLine CTP</t>
        </is>
      </c>
      <c r="O587" s="2" t="inlineStr">
        <is>
          <t>СТАНДАРТНЫЙ ДВУХМЕСТНЫЙ НОМЕР</t>
        </is>
      </c>
      <c r="P587" s="6" t="n"/>
      <c r="R587" t="inlineStr"/>
      <c r="S587" t="inlineStr">
        <is>
          <t>Тариф с завтраком</t>
        </is>
      </c>
      <c r="T587" t="n">
        <v>0</v>
      </c>
      <c r="U587" t="n">
        <v>9647.5</v>
      </c>
    </row>
    <row r="588">
      <c r="A588" t="inlineStr">
        <is>
          <t>20260701-8186-446910186</t>
        </is>
      </c>
      <c r="B588" t="n">
        <v>1</v>
      </c>
      <c r="C588" s="2" t="inlineStr">
        <is>
          <t>ЛУАНА АЛИЕВА</t>
        </is>
      </c>
      <c r="D588" s="3" t="n">
        <v>14500</v>
      </c>
      <c r="E588" s="4" t="n">
        <v>0</v>
      </c>
      <c r="F588" t="inlineStr">
        <is>
          <t>Прямые бронирования (стойка) [Чайковский]</t>
        </is>
      </c>
      <c r="G588" s="3">
        <f>ROUND(D588/(100-E588)*100,2)</f>
        <v/>
      </c>
      <c r="H588" s="5" t="n">
        <v>46204.58333333334</v>
      </c>
      <c r="I588" t="n">
        <v>1</v>
      </c>
      <c r="J588" s="3">
        <f>G588/I588</f>
        <v/>
      </c>
      <c r="K588">
        <f>IF(J588&gt;=5100,"ставка","мин.ставка")</f>
        <v/>
      </c>
      <c r="L588" s="3">
        <f>ROUND(IF(K588="мин.ставка",I588*100,G588/102*2),2)</f>
        <v/>
      </c>
      <c r="M588" s="5" t="n">
        <v>46205.5</v>
      </c>
      <c r="N588" t="inlineStr">
        <is>
          <t>TravelLine ресепшн</t>
        </is>
      </c>
      <c r="O588" s="2" t="inlineStr">
        <is>
          <t>ЛЮКС ВТОРОЙ КОРПУС</t>
        </is>
      </c>
      <c r="P588" s="6" t="n"/>
      <c r="R588" t="inlineStr"/>
      <c r="S588" t="inlineStr">
        <is>
          <t>Основной тариф без завтрака</t>
        </is>
      </c>
      <c r="T588" t="n">
        <v>0</v>
      </c>
      <c r="U588" t="n">
        <v>14500</v>
      </c>
    </row>
    <row r="589">
      <c r="A589" t="inlineStr">
        <is>
          <t>20260919-8186-466759616</t>
        </is>
      </c>
      <c r="B589" t="n">
        <v>1</v>
      </c>
      <c r="C589" s="2" t="inlineStr">
        <is>
          <t>ЛЮБОВЬ БОГДАНОВА, АНДРЕЙ БОГДАНОВ</t>
        </is>
      </c>
      <c r="D589" s="3" t="n">
        <v>11214</v>
      </c>
      <c r="E589" s="4" t="n">
        <v>16</v>
      </c>
      <c r="F589" t="inlineStr">
        <is>
          <t>ООО "БРОНИРОВАНИЕ ГОСТИНИЦ" (OSTROVOK) [Чайковский]</t>
        </is>
      </c>
      <c r="G589" s="3">
        <f>ROUND(D589/(100-E589)*100,2)</f>
        <v/>
      </c>
      <c r="H589" s="5" t="n">
        <v>46284.58333333334</v>
      </c>
      <c r="I589" t="n">
        <v>1</v>
      </c>
      <c r="J589" s="3">
        <f>G589/I589</f>
        <v/>
      </c>
      <c r="K589">
        <f>IF(J589&gt;=5100,"ставка","мин.ставка")</f>
        <v/>
      </c>
      <c r="L589" s="3">
        <f>ROUND(IF(K589="мин.ставка",I589*100,G589/102*2),2)</f>
        <v/>
      </c>
      <c r="M589" s="5" t="n">
        <v>46285.5</v>
      </c>
      <c r="N589" t="inlineStr">
        <is>
          <t>TravelLine OTK</t>
        </is>
      </c>
      <c r="O589" s="2" t="inlineStr">
        <is>
          <t>СТАНДАРТНЫЙ ДВУХМЕСТНЫЙ НОМЕР</t>
        </is>
      </c>
      <c r="P589" s="6" t="n"/>
      <c r="R589" t="inlineStr"/>
      <c r="S589" t="inlineStr">
        <is>
          <t>Тариф с завтраком</t>
        </is>
      </c>
      <c r="T589" t="n">
        <v>0</v>
      </c>
      <c r="U589" t="n">
        <v>31962</v>
      </c>
    </row>
    <row r="590">
      <c r="A590" t="inlineStr">
        <is>
          <t>20260729-8186-446362300</t>
        </is>
      </c>
      <c r="B590" t="n">
        <v>1</v>
      </c>
      <c r="C590" s="2" t="inlineStr">
        <is>
          <t>Любовь Дмитриева</t>
        </is>
      </c>
      <c r="D590" s="3" t="n">
        <v>6545</v>
      </c>
      <c r="E590" s="4" t="n">
        <v>15</v>
      </c>
      <c r="F590" t="inlineStr">
        <is>
          <t>ООО «СБО» (Ростелеком) [Чайковский]</t>
        </is>
      </c>
      <c r="G590" s="3">
        <f>ROUND(D590/(100-E590)*100,2)</f>
        <v/>
      </c>
      <c r="H590" s="5" t="n">
        <v>46232.58333333334</v>
      </c>
      <c r="I590" t="n">
        <v>1</v>
      </c>
      <c r="J590" s="3">
        <f>G590/I590</f>
        <v/>
      </c>
      <c r="K590">
        <f>IF(J590&gt;=5100,"ставка","мин.ставка")</f>
        <v/>
      </c>
      <c r="L590" s="3">
        <f>ROUND(IF(K590="мин.ставка",I590*100,G590/102*2),2)</f>
        <v/>
      </c>
      <c r="M590" s="5" t="n">
        <v>46233.5</v>
      </c>
      <c r="N590" t="inlineStr">
        <is>
          <t>TravelLine RTT</t>
        </is>
      </c>
      <c r="O590" s="2" t="inlineStr">
        <is>
          <t>СТАНДАРТНЫЙ ОДНОМЕСТНЫЙ НОМЕР</t>
        </is>
      </c>
      <c r="P590" s="6" t="n"/>
      <c r="R590" t="inlineStr"/>
      <c r="S590" t="inlineStr">
        <is>
          <t>Тариф с завтраком</t>
        </is>
      </c>
      <c r="T590" t="n">
        <v>0</v>
      </c>
      <c r="U590" t="n">
        <v>6545</v>
      </c>
    </row>
    <row r="591">
      <c r="A591" t="inlineStr">
        <is>
          <t>20260930-8186-465893776</t>
        </is>
      </c>
      <c r="B591" t="n">
        <v>1</v>
      </c>
      <c r="C591" s="2" t="inlineStr">
        <is>
          <t>ЛЮБОВЬ ПУШКИНА</t>
        </is>
      </c>
      <c r="D591" s="3" t="n">
        <v>14820</v>
      </c>
      <c r="E591" s="4" t="n">
        <v>18</v>
      </c>
      <c r="F591" t="inlineStr">
        <is>
          <t>Яндекс.Путешествия [Чайковский]</t>
        </is>
      </c>
      <c r="G591" s="3">
        <f>ROUND(D591/(100-E591)*100,2)</f>
        <v/>
      </c>
      <c r="H591" s="5" t="n">
        <v>46295.58333333334</v>
      </c>
      <c r="I591" t="n">
        <v>2</v>
      </c>
      <c r="J591" s="3">
        <f>G591/I591</f>
        <v/>
      </c>
      <c r="K591">
        <f>IF(J591&gt;=5100,"ставка","мин.ставка")</f>
        <v/>
      </c>
      <c r="L591" s="3">
        <f>ROUND(IF(K591="мин.ставка",I591*100,G591/102*2),2)</f>
        <v/>
      </c>
      <c r="M591" s="5" t="n">
        <v>46297.5</v>
      </c>
      <c r="N591" t="inlineStr">
        <is>
          <t>TravelLine YAX</t>
        </is>
      </c>
      <c r="O591" s="2" t="inlineStr">
        <is>
          <t>СТАНДАРТНЫЙ ДВУХМЕСТНЫЙ НОМЕР (МАНСАРДА)</t>
        </is>
      </c>
      <c r="P591" s="6" t="n"/>
      <c r="R591" t="inlineStr"/>
      <c r="S591" t="inlineStr">
        <is>
          <t>Тариф с завтраком</t>
        </is>
      </c>
      <c r="T591" t="n">
        <v>0</v>
      </c>
      <c r="U591" t="n">
        <v>14820</v>
      </c>
    </row>
    <row r="592">
      <c r="A592" t="inlineStr">
        <is>
          <t>20260928-8186-469185491</t>
        </is>
      </c>
      <c r="B592" t="n">
        <v>1</v>
      </c>
      <c r="C592" s="2" t="inlineStr">
        <is>
          <t>ЛЮБОВЬ РЯБОВА, АРТЕМ ЗАВЬЯЛОВ</t>
        </is>
      </c>
      <c r="D592" s="3" t="n">
        <v>17800</v>
      </c>
      <c r="E592" s="4" t="n">
        <v>0</v>
      </c>
      <c r="F592" t="inlineStr">
        <is>
          <t>Прямые бронирования (стойка) [Чайковский]</t>
        </is>
      </c>
      <c r="G592" s="3">
        <f>ROUND(D592/(100-E592)*100,2)</f>
        <v/>
      </c>
      <c r="H592" s="5" t="n">
        <v>46293.58333333334</v>
      </c>
      <c r="I592" t="n">
        <v>1</v>
      </c>
      <c r="J592" s="3">
        <f>G592/I592</f>
        <v/>
      </c>
      <c r="K592">
        <f>IF(J592&gt;=5100,"ставка","мин.ставка")</f>
        <v/>
      </c>
      <c r="L592" s="3">
        <f>ROUND(IF(K592="мин.ставка",I592*100,G592/102*2),2)</f>
        <v/>
      </c>
      <c r="M592" s="5" t="n">
        <v>46294.5</v>
      </c>
      <c r="N592" t="inlineStr">
        <is>
          <t>TravelLine ресепшн</t>
        </is>
      </c>
      <c r="O592" s="2" t="inlineStr">
        <is>
          <t>ЛЮКС ВТОРОЙ КОРПУС</t>
        </is>
      </c>
      <c r="P592" s="6" t="n"/>
      <c r="R592" t="inlineStr"/>
      <c r="S592" t="inlineStr">
        <is>
          <t>Тариф с завтраком</t>
        </is>
      </c>
      <c r="T592" t="n">
        <v>0</v>
      </c>
      <c r="U592" t="n">
        <v>17800</v>
      </c>
    </row>
    <row r="593">
      <c r="A593" t="inlineStr">
        <is>
          <t>20260717-8186-441668446</t>
        </is>
      </c>
      <c r="B593" t="n">
        <v>1</v>
      </c>
      <c r="C593" s="2" t="inlineStr">
        <is>
          <t>Любовь Шубина, ГЛЕБ ТИМОЩЕНКО</t>
        </is>
      </c>
      <c r="D593" s="3" t="n">
        <v>33241.5</v>
      </c>
      <c r="E593" s="4" t="n">
        <v>17</v>
      </c>
      <c r="F593" t="inlineStr">
        <is>
          <t>ООО «Интернет Трэвел» (OZON) [Чайковский]</t>
        </is>
      </c>
      <c r="G593" s="3">
        <f>ROUND(D593/(100-E593)*100,2)</f>
        <v/>
      </c>
      <c r="H593" s="5" t="n">
        <v>46220.58333333334</v>
      </c>
      <c r="I593" t="n">
        <v>3</v>
      </c>
      <c r="J593" s="3">
        <f>G593/I593</f>
        <v/>
      </c>
      <c r="K593">
        <f>IF(J593&gt;=5100,"ставка","мин.ставка")</f>
        <v/>
      </c>
      <c r="L593" s="3">
        <f>ROUND(IF(K593="мин.ставка",I593*100,G593/102*2),2)</f>
        <v/>
      </c>
      <c r="M593" s="5" t="n">
        <v>46223.5</v>
      </c>
      <c r="N593" t="inlineStr">
        <is>
          <t>TravelLine OZ2</t>
        </is>
      </c>
      <c r="O593" s="2" t="inlineStr">
        <is>
          <t>СТАНДАРТНЫЙ ДВУХМЕСТНЫЙ НОМЕР</t>
        </is>
      </c>
      <c r="P593" s="6" t="n"/>
      <c r="R593" t="inlineStr"/>
      <c r="S593" t="inlineStr">
        <is>
          <t>Тариф с завтраком</t>
        </is>
      </c>
      <c r="T593" t="n">
        <v>0</v>
      </c>
      <c r="U593" t="n">
        <v>33241.5</v>
      </c>
    </row>
    <row r="594">
      <c r="A594" t="inlineStr">
        <is>
          <t>20260814-8186-452849702</t>
        </is>
      </c>
      <c r="B594" t="n">
        <v>1</v>
      </c>
      <c r="C594" s="2" t="inlineStr">
        <is>
          <t>ЛЮДМИЛА БЕРЕСНЕВА, Екатерина Береснева</t>
        </is>
      </c>
      <c r="D594" s="3" t="n">
        <v>41269.1</v>
      </c>
      <c r="E594" s="4" t="n">
        <v>4</v>
      </c>
      <c r="F594" t="inlineStr">
        <is>
          <t>TravelLine Booking Engine [Чайковский]</t>
        </is>
      </c>
      <c r="G594" s="3">
        <f>ROUND(D594/(100-E594)*100,2)</f>
        <v/>
      </c>
      <c r="H594" s="5" t="n">
        <v>46248.58333333334</v>
      </c>
      <c r="I594" t="n">
        <v>3</v>
      </c>
      <c r="J594" s="3">
        <f>G594/I594</f>
        <v/>
      </c>
      <c r="K594">
        <f>IF(J594&gt;=5100,"ставка","мин.ставка")</f>
        <v/>
      </c>
      <c r="L594" s="3">
        <f>ROUND(IF(K594="мин.ставка",I594*100,G594/102*2),2)</f>
        <v/>
      </c>
      <c r="M594" s="5" t="n">
        <v>46251.5</v>
      </c>
      <c r="N594" t="inlineStr">
        <is>
          <t>TravelLine сайт</t>
        </is>
      </c>
      <c r="O594" s="2" t="inlineStr">
        <is>
          <t>УЛУЧШЕННЫЙ ДВУХМЕСТНЫЙ НОМЕР</t>
        </is>
      </c>
      <c r="P594" s="6" t="n"/>
      <c r="R594" t="inlineStr"/>
      <c r="S594" t="inlineStr">
        <is>
          <t>Основной тариф без завтрака</t>
        </is>
      </c>
      <c r="T594" t="n">
        <v>0</v>
      </c>
      <c r="U594" t="n">
        <v>41269.1</v>
      </c>
    </row>
    <row r="595">
      <c r="A595" t="inlineStr">
        <is>
          <t>20260711-8186-410900450</t>
        </is>
      </c>
      <c r="B595" t="n">
        <v>1</v>
      </c>
      <c r="C595" s="2" t="inlineStr">
        <is>
          <t>Людмила Никитина, Фёдор Никитин</t>
        </is>
      </c>
      <c r="D595" s="3" t="n">
        <v>13350</v>
      </c>
      <c r="E595" s="4" t="n">
        <v>0</v>
      </c>
      <c r="F595" t="inlineStr">
        <is>
          <t>Прямые бронирования (стойка) [Чайковский]</t>
        </is>
      </c>
      <c r="G595" s="3">
        <f>ROUND(D595/(100-E595)*100,2)</f>
        <v/>
      </c>
      <c r="H595" s="5" t="n">
        <v>46214.58333333334</v>
      </c>
      <c r="I595" t="n">
        <v>1</v>
      </c>
      <c r="J595" s="3">
        <f>G595/I595</f>
        <v/>
      </c>
      <c r="K595">
        <f>IF(J595&gt;=5100,"ставка","мин.ставка")</f>
        <v/>
      </c>
      <c r="L595" s="3">
        <f>ROUND(IF(K595="мин.ставка",I595*100,G595/102*2),2)</f>
        <v/>
      </c>
      <c r="M595" s="5" t="n">
        <v>46215.5</v>
      </c>
      <c r="N595" t="inlineStr">
        <is>
          <t>TravelLine ресепшн</t>
        </is>
      </c>
      <c r="O595" s="2" t="inlineStr">
        <is>
          <t>СТАНДАРТНЫЙ ДВУХМЕСТНЫЙ НОМЕР</t>
        </is>
      </c>
      <c r="P595" s="6" t="n"/>
      <c r="R595" t="inlineStr"/>
      <c r="S595" t="inlineStr">
        <is>
          <t>Тариф с завтраком</t>
        </is>
      </c>
      <c r="T595" t="n">
        <v>0</v>
      </c>
      <c r="U595" t="n">
        <v>13350</v>
      </c>
    </row>
    <row r="596">
      <c r="A596" t="inlineStr">
        <is>
          <t>20260725-8186-452845758</t>
        </is>
      </c>
      <c r="B596" t="n">
        <v>1</v>
      </c>
      <c r="C596" s="2" t="inlineStr">
        <is>
          <t>Ляйсан Пушницына</t>
        </is>
      </c>
      <c r="D596" s="3" t="n">
        <v>6715</v>
      </c>
      <c r="E596" s="4" t="n">
        <v>15</v>
      </c>
      <c r="F596" t="inlineStr">
        <is>
          <t>ООО "БРОНИРОВАНИЕ ГОСТИНИЦ" (OSTROVOK) [Чайковский]</t>
        </is>
      </c>
      <c r="G596" s="3">
        <f>ROUND(D596/(100-E596)*100,2)</f>
        <v/>
      </c>
      <c r="H596" s="5" t="n">
        <v>46228.58333333334</v>
      </c>
      <c r="I596" t="n">
        <v>1</v>
      </c>
      <c r="J596" s="3">
        <f>G596/I596</f>
        <v/>
      </c>
      <c r="K596">
        <f>IF(J596&gt;=5100,"ставка","мин.ставка")</f>
        <v/>
      </c>
      <c r="L596" s="3">
        <f>ROUND(IF(K596="мин.ставка",I596*100,G596/102*2),2)</f>
        <v/>
      </c>
      <c r="M596" s="5" t="n">
        <v>46229.5</v>
      </c>
      <c r="N596" t="inlineStr">
        <is>
          <t>TravelLine OTK</t>
        </is>
      </c>
      <c r="O596" s="2" t="inlineStr">
        <is>
          <t>СТАНДАРТНЫЙ ДВУХМЕСТНЫЙ НОМЕР (МАНСАРДА)</t>
        </is>
      </c>
      <c r="P596" s="6" t="n"/>
      <c r="R596" t="inlineStr"/>
      <c r="S596" t="inlineStr">
        <is>
          <t>Тариф с завтраком</t>
        </is>
      </c>
      <c r="T596" t="n">
        <v>0</v>
      </c>
      <c r="U596" t="n">
        <v>6715</v>
      </c>
    </row>
    <row r="597">
      <c r="A597" t="inlineStr">
        <is>
          <t>20260906-8186-464002736</t>
        </is>
      </c>
      <c r="B597" t="n">
        <v>1</v>
      </c>
      <c r="C597" s="2" t="inlineStr">
        <is>
          <t>МАГОМЕД РАМАЗАНОВ, НАДИЯ ГАДЖИМАГОМЕДОВА</t>
        </is>
      </c>
      <c r="D597" s="3" t="n">
        <v>22428</v>
      </c>
      <c r="E597" s="4" t="n">
        <v>16</v>
      </c>
      <c r="F597" t="inlineStr">
        <is>
          <t>ООО "БРОНИРОВАНИЕ ГОСТИНИЦ" (OSTROVOK) [Чайковский]</t>
        </is>
      </c>
      <c r="G597" s="3">
        <f>ROUND(D597/(100-E597)*100,2)</f>
        <v/>
      </c>
      <c r="H597" s="5" t="n">
        <v>46271.58333333334</v>
      </c>
      <c r="I597" t="n">
        <v>2</v>
      </c>
      <c r="J597" s="3">
        <f>G597/I597</f>
        <v/>
      </c>
      <c r="K597">
        <f>IF(J597&gt;=5100,"ставка","мин.ставка")</f>
        <v/>
      </c>
      <c r="L597" s="3">
        <f>ROUND(IF(K597="мин.ставка",I597*100,G597/102*2),2)</f>
        <v/>
      </c>
      <c r="M597" s="5" t="n">
        <v>46273.5</v>
      </c>
      <c r="N597" t="inlineStr">
        <is>
          <t>TravelLine OTK</t>
        </is>
      </c>
      <c r="O597" s="2" t="inlineStr">
        <is>
          <t>СТАНДАРТНЫЙ ДВУХМЕСТНЫЙ НОМЕР</t>
        </is>
      </c>
      <c r="P597" s="6" t="n"/>
      <c r="R597" t="inlineStr"/>
      <c r="S597" t="inlineStr">
        <is>
          <t>Тариф с завтраком</t>
        </is>
      </c>
      <c r="T597" t="n">
        <v>0</v>
      </c>
      <c r="U597" t="n">
        <v>22428</v>
      </c>
    </row>
    <row r="598">
      <c r="A598" t="inlineStr">
        <is>
          <t>20260826-8186-461708578</t>
        </is>
      </c>
      <c r="B598" t="n">
        <v>1</v>
      </c>
      <c r="C598" s="2" t="inlineStr">
        <is>
          <t>МАКСИМ АБДУРАЗАКОВ</t>
        </is>
      </c>
      <c r="D598" s="3" t="n">
        <v>9080</v>
      </c>
      <c r="E598" s="4" t="n">
        <v>20</v>
      </c>
      <c r="F598" t="inlineStr">
        <is>
          <t>ООО "ХБ-ПРО" [Чайковский]</t>
        </is>
      </c>
      <c r="G598" s="3">
        <f>ROUND(D598/(100-E598)*100,2)</f>
        <v/>
      </c>
      <c r="H598" s="5" t="n">
        <v>46260.58333333334</v>
      </c>
      <c r="I598" t="n">
        <v>1</v>
      </c>
      <c r="J598" s="3">
        <f>G598/I598</f>
        <v/>
      </c>
      <c r="K598">
        <f>IF(J598&gt;=5100,"ставка","мин.ставка")</f>
        <v/>
      </c>
      <c r="L598" s="3">
        <f>ROUND(IF(K598="мин.ставка",I598*100,G598/102*2),2)</f>
        <v/>
      </c>
      <c r="M598" s="5" t="n">
        <v>46261.5</v>
      </c>
      <c r="N598" t="inlineStr">
        <is>
          <t>TravelLine UTS</t>
        </is>
      </c>
      <c r="O598" s="2" t="inlineStr">
        <is>
          <t>ПОЛУЛЮКС</t>
        </is>
      </c>
      <c r="P598" s="6" t="n"/>
      <c r="R598" t="inlineStr"/>
      <c r="S598" t="inlineStr">
        <is>
          <t>Тариф с завтраком</t>
        </is>
      </c>
      <c r="T598" t="n">
        <v>0</v>
      </c>
      <c r="U598" t="n">
        <v>9080</v>
      </c>
    </row>
    <row r="599">
      <c r="A599" t="inlineStr">
        <is>
          <t>20260812-8186-456611452</t>
        </is>
      </c>
      <c r="B599" t="n">
        <v>1</v>
      </c>
      <c r="C599" s="2" t="inlineStr">
        <is>
          <t>Максим Акентьев</t>
        </is>
      </c>
      <c r="D599" s="3" t="n">
        <v>6545</v>
      </c>
      <c r="E599" s="4" t="n">
        <v>15</v>
      </c>
      <c r="F599" t="inlineStr">
        <is>
          <t>ООО «СБО» (Ростелеком) [Чайковский]</t>
        </is>
      </c>
      <c r="G599" s="3">
        <f>ROUND(D599/(100-E599)*100,2)</f>
        <v/>
      </c>
      <c r="H599" s="5" t="n">
        <v>46246.58333333334</v>
      </c>
      <c r="I599" t="n">
        <v>1</v>
      </c>
      <c r="J599" s="3">
        <f>G599/I599</f>
        <v/>
      </c>
      <c r="K599">
        <f>IF(J599&gt;=5100,"ставка","мин.ставка")</f>
        <v/>
      </c>
      <c r="L599" s="3">
        <f>ROUND(IF(K599="мин.ставка",I599*100,G599/102*2),2)</f>
        <v/>
      </c>
      <c r="M599" s="5" t="n">
        <v>46247.5</v>
      </c>
      <c r="N599" t="inlineStr">
        <is>
          <t>TravelLine RTT</t>
        </is>
      </c>
      <c r="O599" s="2" t="inlineStr">
        <is>
          <t>СТАНДАРТНЫЙ ОДНОМЕСТНЫЙ НОМЕР</t>
        </is>
      </c>
      <c r="P599" s="6" t="n"/>
      <c r="R599" t="inlineStr"/>
      <c r="S599" t="inlineStr">
        <is>
          <t>Тариф с завтраком</t>
        </is>
      </c>
      <c r="T599" t="n">
        <v>0</v>
      </c>
      <c r="U599" t="n">
        <v>6545</v>
      </c>
    </row>
    <row r="600">
      <c r="A600" t="inlineStr">
        <is>
          <t>20260828-8186-462043143</t>
        </is>
      </c>
      <c r="B600" t="n">
        <v>1</v>
      </c>
      <c r="C600" s="2" t="inlineStr">
        <is>
          <t>Максим Бумагин, Екатерина Небогатова</t>
        </is>
      </c>
      <c r="D600" s="3" t="n">
        <v>24640</v>
      </c>
      <c r="E600" s="4" t="n">
        <v>20</v>
      </c>
      <c r="F600" t="inlineStr">
        <is>
          <t>ООО «Дубль Гис» (OTELLO) [Чайковский]</t>
        </is>
      </c>
      <c r="G600" s="3">
        <f>ROUND(D600/(100-E600)*100,2)</f>
        <v/>
      </c>
      <c r="H600" s="5" t="n">
        <v>46262.58333333334</v>
      </c>
      <c r="I600" t="n">
        <v>2</v>
      </c>
      <c r="J600" s="3">
        <f>G600/I600</f>
        <v/>
      </c>
      <c r="K600">
        <f>IF(J600&gt;=5100,"ставка","мин.ставка")</f>
        <v/>
      </c>
      <c r="L600" s="3">
        <f>ROUND(IF(K600="мин.ставка",I600*100,G600/102*2),2)</f>
        <v/>
      </c>
      <c r="M600" s="5" t="n">
        <v>46264.5</v>
      </c>
      <c r="N600" t="inlineStr">
        <is>
          <t>TravelLine OL2</t>
        </is>
      </c>
      <c r="O600" s="2" t="inlineStr">
        <is>
          <t>ЛЮКС ВТОРОЙ КОРПУС</t>
        </is>
      </c>
      <c r="P600" s="6" t="n"/>
      <c r="R600" t="inlineStr"/>
      <c r="S600" t="inlineStr">
        <is>
          <t>Тариф с завтраком</t>
        </is>
      </c>
      <c r="T600" t="n">
        <v>0</v>
      </c>
      <c r="U600" t="n">
        <v>24640</v>
      </c>
    </row>
    <row r="601">
      <c r="A601" t="inlineStr">
        <is>
          <t>20260814-8186-435423092</t>
        </is>
      </c>
      <c r="B601" t="n">
        <v>1</v>
      </c>
      <c r="C601" s="2" t="inlineStr">
        <is>
          <t>Максим Головенко, Анна Минакова</t>
        </is>
      </c>
      <c r="D601" s="3" t="n">
        <v>26400</v>
      </c>
      <c r="E601" s="4" t="n">
        <v>18</v>
      </c>
      <c r="F601" t="inlineStr">
        <is>
          <t>Яндекс.Путешествия [Чайковский]</t>
        </is>
      </c>
      <c r="G601" s="3">
        <f>ROUND(D601/(100-E601)*100,2)</f>
        <v/>
      </c>
      <c r="H601" s="5" t="n">
        <v>46248.58333333334</v>
      </c>
      <c r="I601" t="n">
        <v>2</v>
      </c>
      <c r="J601" s="3">
        <f>G601/I601</f>
        <v/>
      </c>
      <c r="K601">
        <f>IF(J601&gt;=5100,"ставка","мин.ставка")</f>
        <v/>
      </c>
      <c r="L601" s="3">
        <f>ROUND(IF(K601="мин.ставка",I601*100,G601/102*2),2)</f>
        <v/>
      </c>
      <c r="M601" s="5" t="n">
        <v>46250.5</v>
      </c>
      <c r="N601" t="inlineStr">
        <is>
          <t>TravelLine YAX</t>
        </is>
      </c>
      <c r="O601" s="2" t="inlineStr">
        <is>
          <t>ПОЛУЛЮКС</t>
        </is>
      </c>
      <c r="P601" s="6" t="n"/>
      <c r="R601" t="inlineStr"/>
      <c r="S601" t="inlineStr">
        <is>
          <t>Тариф с завтраком</t>
        </is>
      </c>
      <c r="T601" t="n">
        <v>0</v>
      </c>
      <c r="U601" t="n">
        <v>26400</v>
      </c>
    </row>
    <row r="602">
      <c r="A602" t="inlineStr">
        <is>
          <t>20260808-8186-450140561</t>
        </is>
      </c>
      <c r="B602" t="n">
        <v>1</v>
      </c>
      <c r="C602" s="2" t="inlineStr">
        <is>
          <t>Максим Густайтис, Анна Шинкаренко</t>
        </is>
      </c>
      <c r="D602" s="3" t="n">
        <v>13860</v>
      </c>
      <c r="E602" s="4" t="n">
        <v>0</v>
      </c>
      <c r="F602" t="inlineStr">
        <is>
          <t>Прямые бронирования (стойка) [Чайковский]</t>
        </is>
      </c>
      <c r="G602" s="3">
        <f>ROUND(D602/(100-E602)*100,2)</f>
        <v/>
      </c>
      <c r="H602" s="5" t="n">
        <v>46242.58333333334</v>
      </c>
      <c r="I602" t="n">
        <v>1</v>
      </c>
      <c r="J602" s="3">
        <f>G602/I602</f>
        <v/>
      </c>
      <c r="K602">
        <f>IF(J602&gt;=5100,"ставка","мин.ставка")</f>
        <v/>
      </c>
      <c r="L602" s="3">
        <f>ROUND(IF(K602="мин.ставка",I602*100,G602/102*2),2)</f>
        <v/>
      </c>
      <c r="M602" s="5" t="n">
        <v>46243.5</v>
      </c>
      <c r="N602" t="inlineStr">
        <is>
          <t>TravelLine ресепшн</t>
        </is>
      </c>
      <c r="O602" s="2" t="inlineStr">
        <is>
          <t>УЛУЧШЕННЫЙ ДВУХМЕСТНЫЙ НОМЕР</t>
        </is>
      </c>
      <c r="P602" s="6" t="n"/>
      <c r="R602" t="inlineStr"/>
      <c r="S602" t="inlineStr">
        <is>
          <t>Тариф с завтраком</t>
        </is>
      </c>
      <c r="T602" t="n">
        <v>0</v>
      </c>
      <c r="U602" t="n">
        <v>13860</v>
      </c>
    </row>
    <row r="603">
      <c r="A603" t="inlineStr">
        <is>
          <t>20260712-8186-429226347</t>
        </is>
      </c>
      <c r="B603" t="n">
        <v>1</v>
      </c>
      <c r="C603" s="2" t="inlineStr">
        <is>
          <t>Максим Дербеденев, Юлия Папина</t>
        </is>
      </c>
      <c r="D603" s="3" t="n">
        <v>73920</v>
      </c>
      <c r="E603" s="4" t="n">
        <v>18</v>
      </c>
      <c r="F603" t="inlineStr">
        <is>
          <t>Яндекс.Путешествия [Чайковский]</t>
        </is>
      </c>
      <c r="G603" s="3">
        <f>ROUND(D603/(100-E603)*100,2)</f>
        <v/>
      </c>
      <c r="H603" s="5" t="n">
        <v>46215.58333333334</v>
      </c>
      <c r="I603" t="n">
        <v>6</v>
      </c>
      <c r="J603" s="3">
        <f>G603/I603</f>
        <v/>
      </c>
      <c r="K603">
        <f>IF(J603&gt;=5100,"ставка","мин.ставка")</f>
        <v/>
      </c>
      <c r="L603" s="3">
        <f>ROUND(IF(K603="мин.ставка",I603*100,G603/102*2),2)</f>
        <v/>
      </c>
      <c r="M603" s="5" t="n">
        <v>46221.5</v>
      </c>
      <c r="N603" t="inlineStr">
        <is>
          <t>TravelLine YAX</t>
        </is>
      </c>
      <c r="O603" s="2" t="inlineStr">
        <is>
          <t>УЛУЧШЕННЫЙ ДВУХМЕСТНЫЙ НОМЕР</t>
        </is>
      </c>
      <c r="P603" s="6" t="n"/>
      <c r="R603" t="inlineStr"/>
      <c r="S603" t="inlineStr">
        <is>
          <t>Тариф с завтраком</t>
        </is>
      </c>
      <c r="T603" t="n">
        <v>0</v>
      </c>
      <c r="U603" t="n">
        <v>73920</v>
      </c>
    </row>
    <row r="604">
      <c r="A604" t="inlineStr">
        <is>
          <t>20260927-8186-468959350</t>
        </is>
      </c>
      <c r="B604" t="n">
        <v>1</v>
      </c>
      <c r="C604" s="2" t="inlineStr">
        <is>
          <t>МАКСИМ ДРОЗДОВИЧ</t>
        </is>
      </c>
      <c r="D604" s="3" t="n">
        <v>11850</v>
      </c>
      <c r="E604" s="4" t="n">
        <v>0</v>
      </c>
      <c r="F604" t="inlineStr">
        <is>
          <t>Прямые бронирования (стойка) [Чайковский]</t>
        </is>
      </c>
      <c r="G604" s="3">
        <f>ROUND(D604/(100-E604)*100,2)</f>
        <v/>
      </c>
      <c r="H604" s="5" t="n">
        <v>46292.58333333334</v>
      </c>
      <c r="I604" t="n">
        <v>1</v>
      </c>
      <c r="J604" s="3">
        <f>G604/I604</f>
        <v/>
      </c>
      <c r="K604">
        <f>IF(J604&gt;=5100,"ставка","мин.ставка")</f>
        <v/>
      </c>
      <c r="L604" s="3">
        <f>ROUND(IF(K604="мин.ставка",I604*100,G604/102*2),2)</f>
        <v/>
      </c>
      <c r="M604" s="5" t="n">
        <v>46293.5</v>
      </c>
      <c r="N604" t="inlineStr">
        <is>
          <t>TravelLine ресепшн</t>
        </is>
      </c>
      <c r="O604" s="2" t="inlineStr">
        <is>
          <t>СТАНДАРТНЫЙ ДВУХМЕСТНЫЙ НОМЕР</t>
        </is>
      </c>
      <c r="P604" s="6" t="n"/>
      <c r="R604" t="inlineStr"/>
      <c r="S604" t="inlineStr">
        <is>
          <t>Основной тариф без завтрака</t>
        </is>
      </c>
      <c r="T604" t="n">
        <v>0</v>
      </c>
      <c r="U604" t="n">
        <v>11850</v>
      </c>
    </row>
    <row r="605">
      <c r="A605" t="inlineStr">
        <is>
          <t>20260727-8186-453507191</t>
        </is>
      </c>
      <c r="B605" t="n">
        <v>1</v>
      </c>
      <c r="C605" s="2" t="inlineStr">
        <is>
          <t>Максим Залывский</t>
        </is>
      </c>
      <c r="D605" s="3" t="n">
        <v>15130</v>
      </c>
      <c r="E605" s="4" t="n">
        <v>15</v>
      </c>
      <c r="F605" t="inlineStr">
        <is>
          <t>ООО "БРОНИРОВАНИЕ ГОСТИНИЦ" (OSTROVOK) [Чайковский]</t>
        </is>
      </c>
      <c r="G605" s="3">
        <f>ROUND(D605/(100-E605)*100,2)</f>
        <v/>
      </c>
      <c r="H605" s="5" t="n">
        <v>46230.58333333334</v>
      </c>
      <c r="I605" t="n">
        <v>2</v>
      </c>
      <c r="J605" s="3">
        <f>G605/I605</f>
        <v/>
      </c>
      <c r="K605">
        <f>IF(J605&gt;=5100,"ставка","мин.ставка")</f>
        <v/>
      </c>
      <c r="L605" s="3">
        <f>ROUND(IF(K605="мин.ставка",I605*100,G605/102*2),2)</f>
        <v/>
      </c>
      <c r="M605" s="5" t="n">
        <v>46232.5</v>
      </c>
      <c r="N605" t="inlineStr">
        <is>
          <t>TravelLine OTK</t>
        </is>
      </c>
      <c r="O605" s="2" t="inlineStr">
        <is>
          <t>СТАНДАРТНЫЙ ДВУХМЕСТНЫЙ НОМЕР</t>
        </is>
      </c>
      <c r="P605" s="6" t="n"/>
      <c r="R605" t="inlineStr"/>
      <c r="S605" t="inlineStr">
        <is>
          <t>Тариф с завтраком</t>
        </is>
      </c>
      <c r="T605" t="n">
        <v>0</v>
      </c>
      <c r="U605" t="n">
        <v>15130</v>
      </c>
    </row>
    <row r="606">
      <c r="A606" t="inlineStr">
        <is>
          <t>20260907-8186-463782784</t>
        </is>
      </c>
      <c r="B606" t="n">
        <v>1</v>
      </c>
      <c r="C606" s="2" t="inlineStr">
        <is>
          <t>Максим Королев, Кристина Теркачева</t>
        </is>
      </c>
      <c r="D606" s="3" t="n">
        <v>22161</v>
      </c>
      <c r="E606" s="4" t="n">
        <v>17</v>
      </c>
      <c r="F606" t="inlineStr">
        <is>
          <t>ООО «Интернет Трэвел» (OZON) [Чайковский]</t>
        </is>
      </c>
      <c r="G606" s="3">
        <f>ROUND(D606/(100-E606)*100,2)</f>
        <v/>
      </c>
      <c r="H606" s="5" t="n">
        <v>46272.58333333334</v>
      </c>
      <c r="I606" t="n">
        <v>2</v>
      </c>
      <c r="J606" s="3">
        <f>G606/I606</f>
        <v/>
      </c>
      <c r="K606">
        <f>IF(J606&gt;=5100,"ставка","мин.ставка")</f>
        <v/>
      </c>
      <c r="L606" s="3">
        <f>ROUND(IF(K606="мин.ставка",I606*100,G606/102*2),2)</f>
        <v/>
      </c>
      <c r="M606" s="5" t="n">
        <v>46274.5</v>
      </c>
      <c r="N606" t="inlineStr">
        <is>
          <t>TravelLine OZ2</t>
        </is>
      </c>
      <c r="O606" s="2" t="inlineStr">
        <is>
          <t>ЛЮКС ВТОРОЙ КОРПУС</t>
        </is>
      </c>
      <c r="P606" s="6" t="n"/>
      <c r="R606" t="inlineStr"/>
      <c r="S606" t="inlineStr">
        <is>
          <t>Тариф с завтраком</t>
        </is>
      </c>
      <c r="T606" t="n">
        <v>0</v>
      </c>
      <c r="U606" t="n">
        <v>22161</v>
      </c>
    </row>
    <row r="607">
      <c r="A607" t="inlineStr">
        <is>
          <t>20260901-8186-427494727</t>
        </is>
      </c>
      <c r="B607" t="n">
        <v>1</v>
      </c>
      <c r="C607" s="2" t="inlineStr">
        <is>
          <t>Максим Мусарин, Анастасия Михайлова</t>
        </is>
      </c>
      <c r="D607" s="3" t="n">
        <v>47520</v>
      </c>
      <c r="E607" s="4" t="n">
        <v>20</v>
      </c>
      <c r="F607" t="inlineStr">
        <is>
          <t>ООО "КОМПАНИЯ БРОНЕВИК" [Чайковский]</t>
        </is>
      </c>
      <c r="G607" s="3">
        <f>ROUND(D607/(100-E607)*100,2)</f>
        <v/>
      </c>
      <c r="H607" s="5" t="n">
        <v>46266.58333333334</v>
      </c>
      <c r="I607" t="n">
        <v>6</v>
      </c>
      <c r="J607" s="3">
        <f>G607/I607</f>
        <v/>
      </c>
      <c r="K607">
        <f>IF(J607&gt;=5100,"ставка","мин.ставка")</f>
        <v/>
      </c>
      <c r="L607" s="3">
        <f>ROUND(IF(K607="мин.ставка",I607*100,G607/102*2),2)</f>
        <v/>
      </c>
      <c r="M607" s="5" t="n">
        <v>46272.5</v>
      </c>
      <c r="N607" t="inlineStr">
        <is>
          <t>TravelLine BR2</t>
        </is>
      </c>
      <c r="O607" s="2" t="inlineStr">
        <is>
          <t>СТАНДАРТНЫЙ ДВУХМЕСТНЫЙ НОМЕР (МАНСАРДА)</t>
        </is>
      </c>
      <c r="P607" s="6" t="n"/>
      <c r="R607" t="inlineStr"/>
      <c r="S607" t="inlineStr">
        <is>
          <t>Тариф с завтраком</t>
        </is>
      </c>
      <c r="T607" t="n">
        <v>0</v>
      </c>
      <c r="U607" t="n">
        <v>47520</v>
      </c>
    </row>
    <row r="608">
      <c r="A608" t="inlineStr">
        <is>
          <t>20260822-8186-451850888</t>
        </is>
      </c>
      <c r="B608" t="n">
        <v>1</v>
      </c>
      <c r="C608" s="2" t="inlineStr">
        <is>
          <t>МАКСИМ Панов, ЕКАТЕРИНА Панова</t>
        </is>
      </c>
      <c r="D608" s="3" t="n">
        <v>53400</v>
      </c>
      <c r="E608" s="4" t="n">
        <v>20</v>
      </c>
      <c r="F608" t="inlineStr">
        <is>
          <t>ООО "КОМПАНИЯ БРОНЕВИК" [Чайковский]</t>
        </is>
      </c>
      <c r="G608" s="3">
        <f>ROUND(D608/(100-E608)*100,2)</f>
        <v/>
      </c>
      <c r="H608" s="5" t="n">
        <v>46256.58333333334</v>
      </c>
      <c r="I608" t="n">
        <v>5</v>
      </c>
      <c r="J608" s="3">
        <f>G608/I608</f>
        <v/>
      </c>
      <c r="K608">
        <f>IF(J608&gt;=5100,"ставка","мин.ставка")</f>
        <v/>
      </c>
      <c r="L608" s="3">
        <f>ROUND(IF(K608="мин.ставка",I608*100,G608/102*2),2)</f>
        <v/>
      </c>
      <c r="M608" s="5" t="n">
        <v>46261.5</v>
      </c>
      <c r="N608" t="inlineStr">
        <is>
          <t>TravelLine BR2</t>
        </is>
      </c>
      <c r="O608" s="2" t="inlineStr">
        <is>
          <t>СТАНДАРТНЫЙ ДВУХМЕСТНЫЙ НОМЕР</t>
        </is>
      </c>
      <c r="P608" s="6" t="n"/>
      <c r="R608" t="inlineStr"/>
      <c r="S608" t="inlineStr">
        <is>
          <t>Тариф с завтраком</t>
        </is>
      </c>
      <c r="T608" t="n">
        <v>720</v>
      </c>
      <c r="U608" t="n">
        <v>54120</v>
      </c>
    </row>
    <row r="609">
      <c r="A609" t="inlineStr">
        <is>
          <t>20260827-8186-457788846</t>
        </is>
      </c>
      <c r="B609" t="n">
        <v>1</v>
      </c>
      <c r="C609" s="2" t="inlineStr">
        <is>
          <t>Максим Пономарев</t>
        </is>
      </c>
      <c r="D609" s="3" t="n">
        <v>34050</v>
      </c>
      <c r="E609" s="4" t="n">
        <v>0</v>
      </c>
      <c r="F609" t="inlineStr">
        <is>
          <t>Прямые бронирования (стойка) [Чайковский]</t>
        </is>
      </c>
      <c r="G609" s="3">
        <f>ROUND(D609/(100-E609)*100,2)</f>
        <v/>
      </c>
      <c r="H609" s="5" t="n">
        <v>46261.58333333334</v>
      </c>
      <c r="I609" t="n">
        <v>3</v>
      </c>
      <c r="J609" s="3">
        <f>G609/I609</f>
        <v/>
      </c>
      <c r="K609">
        <f>IF(J609&gt;=5100,"ставка","мин.ставка")</f>
        <v/>
      </c>
      <c r="L609" s="3">
        <f>ROUND(IF(K609="мин.ставка",I609*100,G609/102*2),2)</f>
        <v/>
      </c>
      <c r="M609" s="5" t="n">
        <v>46264.5</v>
      </c>
      <c r="N609" t="inlineStr">
        <is>
          <t>TravelLine ресепшн</t>
        </is>
      </c>
      <c r="O609" s="2" t="inlineStr">
        <is>
          <t>СТАНДАРТНЫЙ ДВУХМЕСТНЫЙ НОМЕР</t>
        </is>
      </c>
      <c r="P609" s="6" t="n"/>
      <c r="R609" t="inlineStr"/>
      <c r="S609" t="inlineStr">
        <is>
          <t>Тариф с завтраком</t>
        </is>
      </c>
      <c r="T609" t="n">
        <v>0</v>
      </c>
      <c r="U609" t="n">
        <v>34050</v>
      </c>
    </row>
    <row r="610">
      <c r="A610" t="inlineStr">
        <is>
          <t>20260905-8186-463791547</t>
        </is>
      </c>
      <c r="B610" t="n">
        <v>1</v>
      </c>
      <c r="C610" s="2" t="inlineStr">
        <is>
          <t>Максим Сачков</t>
        </is>
      </c>
      <c r="D610" s="3" t="n">
        <v>5775</v>
      </c>
      <c r="E610" s="4" t="n">
        <v>18</v>
      </c>
      <c r="F610" t="inlineStr">
        <is>
          <t>Яндекс.Путешествия [Чайковский]</t>
        </is>
      </c>
      <c r="G610" s="3">
        <f>ROUND(D610/(100-E610)*100,2)</f>
        <v/>
      </c>
      <c r="H610" s="5" t="n">
        <v>46270.58333333334</v>
      </c>
      <c r="I610" t="n">
        <v>1</v>
      </c>
      <c r="J610" s="3">
        <f>G610/I610</f>
        <v/>
      </c>
      <c r="K610">
        <f>IF(J610&gt;=5100,"ставка","мин.ставка")</f>
        <v/>
      </c>
      <c r="L610" s="3">
        <f>ROUND(IF(K610="мин.ставка",I610*100,G610/102*2),2)</f>
        <v/>
      </c>
      <c r="M610" s="5" t="n">
        <v>46271.5</v>
      </c>
      <c r="N610" t="inlineStr">
        <is>
          <t>TravelLine YAX</t>
        </is>
      </c>
      <c r="O610" s="2" t="inlineStr">
        <is>
          <t>СТАНДАРТНЫЙ ОДНОМЕСТНЫЙ НОМЕР</t>
        </is>
      </c>
      <c r="P610" s="6" t="n"/>
      <c r="R610" t="inlineStr"/>
      <c r="S610" t="inlineStr">
        <is>
          <t>Тариф с завтраком</t>
        </is>
      </c>
      <c r="T610" t="n">
        <v>0</v>
      </c>
      <c r="U610" t="n">
        <v>5775</v>
      </c>
    </row>
    <row r="611">
      <c r="A611" t="inlineStr">
        <is>
          <t>20260802-8186-454751117</t>
        </is>
      </c>
      <c r="B611" t="n">
        <v>1</v>
      </c>
      <c r="C611" s="2" t="inlineStr">
        <is>
          <t>Максим Серов, АННА СЕРОВА</t>
        </is>
      </c>
      <c r="D611" s="3" t="n">
        <v>7920</v>
      </c>
      <c r="E611" s="4" t="n">
        <v>18</v>
      </c>
      <c r="F611" t="inlineStr">
        <is>
          <t>Яндекс.Путешествия [Чайковский]</t>
        </is>
      </c>
      <c r="G611" s="3">
        <f>ROUND(D611/(100-E611)*100,2)</f>
        <v/>
      </c>
      <c r="H611" s="5" t="n">
        <v>46236.58333333334</v>
      </c>
      <c r="I611" t="n">
        <v>1</v>
      </c>
      <c r="J611" s="3">
        <f>G611/I611</f>
        <v/>
      </c>
      <c r="K611">
        <f>IF(J611&gt;=5100,"ставка","мин.ставка")</f>
        <v/>
      </c>
      <c r="L611" s="3">
        <f>ROUND(IF(K611="мин.ставка",I611*100,G611/102*2),2)</f>
        <v/>
      </c>
      <c r="M611" s="5" t="n">
        <v>46237.5</v>
      </c>
      <c r="N611" t="inlineStr">
        <is>
          <t>TravelLine YAX</t>
        </is>
      </c>
      <c r="O611" s="2" t="inlineStr">
        <is>
          <t>СТАНДАРТНЫЙ ДВУХМЕСТНЫЙ НОМЕР (МАНСАРДА)</t>
        </is>
      </c>
      <c r="P611" s="6" t="n"/>
      <c r="R611" t="inlineStr"/>
      <c r="S611" t="inlineStr">
        <is>
          <t>Тариф с завтраком</t>
        </is>
      </c>
      <c r="T611" t="n">
        <v>0</v>
      </c>
      <c r="U611" t="n">
        <v>7920</v>
      </c>
    </row>
    <row r="612">
      <c r="A612" t="inlineStr">
        <is>
          <t>20260920-8186-467279770</t>
        </is>
      </c>
      <c r="B612" t="n">
        <v>1</v>
      </c>
      <c r="C612" s="2" t="inlineStr">
        <is>
          <t>Максим Симоненко, Софья Курдяева</t>
        </is>
      </c>
      <c r="D612" s="3" t="n">
        <v>10012.5</v>
      </c>
      <c r="E612" s="4" t="n">
        <v>18</v>
      </c>
      <c r="F612" t="inlineStr">
        <is>
          <t>Яндекс.Путешествия [Чайковский]</t>
        </is>
      </c>
      <c r="G612" s="3">
        <f>ROUND(D612/(100-E612)*100,2)</f>
        <v/>
      </c>
      <c r="H612" s="5" t="n">
        <v>46285.58333333334</v>
      </c>
      <c r="I612" t="n">
        <v>1</v>
      </c>
      <c r="J612" s="3">
        <f>G612/I612</f>
        <v/>
      </c>
      <c r="K612">
        <f>IF(J612&gt;=5100,"ставка","мин.ставка")</f>
        <v/>
      </c>
      <c r="L612" s="3">
        <f>ROUND(IF(K612="мин.ставка",I612*100,G612/102*2),2)</f>
        <v/>
      </c>
      <c r="M612" s="5" t="n">
        <v>46286.5</v>
      </c>
      <c r="N612" t="inlineStr">
        <is>
          <t>TravelLine YAX</t>
        </is>
      </c>
      <c r="O612" s="2" t="inlineStr">
        <is>
          <t>СТАНДАРТНЫЙ ДВУХМЕСТНЫЙ НОМЕР</t>
        </is>
      </c>
      <c r="P612" s="6" t="n"/>
      <c r="R612" t="inlineStr"/>
      <c r="S612" t="inlineStr">
        <is>
          <t>Тариф с завтраком</t>
        </is>
      </c>
      <c r="T612" t="n">
        <v>0</v>
      </c>
      <c r="U612" t="n">
        <v>10012.5</v>
      </c>
    </row>
    <row r="613">
      <c r="A613" t="inlineStr">
        <is>
          <t>20260919-8186-452147983</t>
        </is>
      </c>
      <c r="B613" t="n">
        <v>1</v>
      </c>
      <c r="C613" s="2" t="inlineStr">
        <is>
          <t>Максим Ступин, АННА СТУПИНА</t>
        </is>
      </c>
      <c r="D613" s="3" t="n">
        <v>66549.75</v>
      </c>
      <c r="E613" s="4" t="n">
        <v>4</v>
      </c>
      <c r="F613" t="inlineStr">
        <is>
          <t>TravelLine Booking Engine [Чайковский]</t>
        </is>
      </c>
      <c r="G613" s="3">
        <f>ROUND(D613/(100-E613)*100,2)</f>
        <v/>
      </c>
      <c r="H613" s="5" t="n">
        <v>46284.58333333334</v>
      </c>
      <c r="I613" t="n">
        <v>5</v>
      </c>
      <c r="J613" s="3">
        <f>G613/I613</f>
        <v/>
      </c>
      <c r="K613">
        <f>IF(J613&gt;=5100,"ставка","мин.ставка")</f>
        <v/>
      </c>
      <c r="L613" s="3">
        <f>ROUND(IF(K613="мин.ставка",I613*100,G613/102*2),2)</f>
        <v/>
      </c>
      <c r="M613" s="5" t="n">
        <v>46289.5</v>
      </c>
      <c r="N613" t="inlineStr">
        <is>
          <t>TravelLine сайт</t>
        </is>
      </c>
      <c r="O613" s="2" t="inlineStr">
        <is>
          <t>СТАНДАРТНЫЙ ДВУХМЕСТНЫЙ НОМЕР</t>
        </is>
      </c>
      <c r="P613" s="6" t="n"/>
      <c r="R613" t="inlineStr"/>
      <c r="S613" t="inlineStr">
        <is>
          <t>Тариф с завтраком</t>
        </is>
      </c>
      <c r="T613" t="n">
        <v>0</v>
      </c>
      <c r="U613" t="n">
        <v>66549.75</v>
      </c>
    </row>
    <row r="614">
      <c r="A614" t="inlineStr">
        <is>
          <t>20260715-8186-440834544</t>
        </is>
      </c>
      <c r="B614" t="n">
        <v>1</v>
      </c>
      <c r="C614" s="2" t="inlineStr">
        <is>
          <t>Максим Трофимов, Анастасия Трофимова</t>
        </is>
      </c>
      <c r="D614" s="3" t="n">
        <v>32040</v>
      </c>
      <c r="E614" s="4" t="n">
        <v>20</v>
      </c>
      <c r="F614" t="inlineStr">
        <is>
          <t>ООО "КОМПАНИЯ БРОНЕВИК" [Чайковский]</t>
        </is>
      </c>
      <c r="G614" s="3">
        <f>ROUND(D614/(100-E614)*100,2)</f>
        <v/>
      </c>
      <c r="H614" s="5" t="n">
        <v>46218.58333333334</v>
      </c>
      <c r="I614" t="n">
        <v>3</v>
      </c>
      <c r="J614" s="3">
        <f>G614/I614</f>
        <v/>
      </c>
      <c r="K614">
        <f>IF(J614&gt;=5100,"ставка","мин.ставка")</f>
        <v/>
      </c>
      <c r="L614" s="3">
        <f>ROUND(IF(K614="мин.ставка",I614*100,G614/102*2),2)</f>
        <v/>
      </c>
      <c r="M614" s="5" t="n">
        <v>46221.5</v>
      </c>
      <c r="N614" t="inlineStr">
        <is>
          <t>TravelLine BR2</t>
        </is>
      </c>
      <c r="O614" s="2" t="inlineStr">
        <is>
          <t>СТАНДАРТНЫЙ ДВУХМЕСТНЫЙ НОМЕР</t>
        </is>
      </c>
      <c r="P614" s="6" t="n"/>
      <c r="R614" t="inlineStr"/>
      <c r="S614" t="inlineStr">
        <is>
          <t>Тариф с завтраком</t>
        </is>
      </c>
      <c r="T614" t="n">
        <v>0</v>
      </c>
      <c r="U614" t="n">
        <v>32040</v>
      </c>
    </row>
    <row r="615">
      <c r="A615" t="inlineStr">
        <is>
          <t>20260808-8186-455879576</t>
        </is>
      </c>
      <c r="B615" t="n">
        <v>1</v>
      </c>
      <c r="C615" s="2" t="inlineStr">
        <is>
          <t>Максим Чиркин</t>
        </is>
      </c>
      <c r="D615" s="3" t="n">
        <v>17533</v>
      </c>
      <c r="E615" s="4" t="n">
        <v>4</v>
      </c>
      <c r="F615" t="inlineStr">
        <is>
          <t>TravelLine Booking Engine [Чайковский]</t>
        </is>
      </c>
      <c r="G615" s="3">
        <f>ROUND(D615/(100-E615)*100,2)</f>
        <v/>
      </c>
      <c r="H615" s="5" t="n">
        <v>46242.8125</v>
      </c>
      <c r="I615" t="n">
        <v>1</v>
      </c>
      <c r="J615" s="3">
        <f>G615/I615</f>
        <v/>
      </c>
      <c r="K615">
        <f>IF(J615&gt;=5100,"ставка","мин.ставка")</f>
        <v/>
      </c>
      <c r="L615" s="3">
        <f>ROUND(IF(K615="мин.ставка",I615*100,G615/102*2),2)</f>
        <v/>
      </c>
      <c r="M615" s="5" t="n">
        <v>46243.5</v>
      </c>
      <c r="N615" t="inlineStr">
        <is>
          <t>TravelLine сайт</t>
        </is>
      </c>
      <c r="O615" s="2" t="inlineStr">
        <is>
          <t>ЛЮКС ВТОРОЙ КОРПУС</t>
        </is>
      </c>
      <c r="P615" s="6" t="n"/>
      <c r="R615" t="inlineStr"/>
      <c r="S615" t="inlineStr">
        <is>
          <t>Тариф с завтраком</t>
        </is>
      </c>
      <c r="T615" t="n">
        <v>0</v>
      </c>
      <c r="U615" t="n">
        <v>17533</v>
      </c>
    </row>
    <row r="616">
      <c r="A616" t="inlineStr">
        <is>
          <t>20260715-8186-448563252</t>
        </is>
      </c>
      <c r="B616" t="n">
        <v>1</v>
      </c>
      <c r="C616" s="2" t="inlineStr">
        <is>
          <t>Марат Швайцер</t>
        </is>
      </c>
      <c r="D616" s="3" t="n">
        <v>6320</v>
      </c>
      <c r="E616" s="4" t="n">
        <v>20</v>
      </c>
      <c r="F616" t="inlineStr">
        <is>
          <t>ООО "ХБ-ПРО" [Чайковский]</t>
        </is>
      </c>
      <c r="G616" s="3">
        <f>ROUND(D616/(100-E616)*100,2)</f>
        <v/>
      </c>
      <c r="H616" s="5" t="n">
        <v>46218.58333333334</v>
      </c>
      <c r="I616" t="n">
        <v>1</v>
      </c>
      <c r="J616" s="3">
        <f>G616/I616</f>
        <v/>
      </c>
      <c r="K616">
        <f>IF(J616&gt;=5100,"ставка","мин.ставка")</f>
        <v/>
      </c>
      <c r="L616" s="3">
        <f>ROUND(IF(K616="мин.ставка",I616*100,G616/102*2),2)</f>
        <v/>
      </c>
      <c r="M616" s="5" t="n">
        <v>46219.5</v>
      </c>
      <c r="N616" t="inlineStr">
        <is>
          <t>TravelLine UTS</t>
        </is>
      </c>
      <c r="O616" s="2" t="inlineStr">
        <is>
          <t>СТАНДАРТНЫЙ ДВУХМЕСТНЫЙ НОМЕР (МАНСАРДА)</t>
        </is>
      </c>
      <c r="P616" s="6" t="n"/>
      <c r="R616" t="inlineStr"/>
      <c r="S616" t="inlineStr">
        <is>
          <t>Тариф с завтраком</t>
        </is>
      </c>
      <c r="T616" t="n">
        <v>0</v>
      </c>
      <c r="U616" t="n">
        <v>6320</v>
      </c>
    </row>
    <row r="617">
      <c r="A617" t="inlineStr">
        <is>
          <t>20260814-8186-458217555</t>
        </is>
      </c>
      <c r="B617" t="n">
        <v>1</v>
      </c>
      <c r="C617" s="2" t="inlineStr">
        <is>
          <t>МАРГАРИТА АНИСИМОВА</t>
        </is>
      </c>
      <c r="D617" s="3" t="n">
        <v>23200</v>
      </c>
      <c r="E617" s="4" t="n">
        <v>20</v>
      </c>
      <c r="F617" t="inlineStr">
        <is>
          <t>ООО "КОМПАНИЯ БРОНЕВИК" [Чайковский]</t>
        </is>
      </c>
      <c r="G617" s="3">
        <f>ROUND(D617/(100-E617)*100,2)</f>
        <v/>
      </c>
      <c r="H617" s="5" t="n">
        <v>46248.58333333334</v>
      </c>
      <c r="I617" t="n">
        <v>2</v>
      </c>
      <c r="J617" s="3">
        <f>G617/I617</f>
        <v/>
      </c>
      <c r="K617">
        <f>IF(J617&gt;=5100,"ставка","мин.ставка")</f>
        <v/>
      </c>
      <c r="L617" s="3">
        <f>ROUND(IF(K617="мин.ставка",I617*100,G617/102*2),2)</f>
        <v/>
      </c>
      <c r="M617" s="5" t="n">
        <v>46250.5</v>
      </c>
      <c r="N617" t="inlineStr">
        <is>
          <t>TravelLine BR2</t>
        </is>
      </c>
      <c r="O617" s="2" t="inlineStr">
        <is>
          <t>ПОЛУЛЮКС</t>
        </is>
      </c>
      <c r="P617" s="6" t="n"/>
      <c r="R617" t="inlineStr"/>
      <c r="S617" t="inlineStr">
        <is>
          <t>Тариф с завтраком</t>
        </is>
      </c>
      <c r="T617" t="n">
        <v>0</v>
      </c>
      <c r="U617" t="n">
        <v>23200</v>
      </c>
    </row>
    <row r="618">
      <c r="A618" t="inlineStr">
        <is>
          <t>20260907-8186-434979583</t>
        </is>
      </c>
      <c r="B618" t="n">
        <v>1</v>
      </c>
      <c r="C618" s="2" t="inlineStr">
        <is>
          <t>Маргарита Михина</t>
        </is>
      </c>
      <c r="D618" s="3" t="n">
        <v>31600</v>
      </c>
      <c r="E618" s="4" t="n">
        <v>0</v>
      </c>
      <c r="F618" t="inlineStr">
        <is>
          <t>Прямые бронирования (стойка) [Чайковский]</t>
        </is>
      </c>
      <c r="G618" s="3">
        <f>ROUND(D618/(100-E618)*100,2)</f>
        <v/>
      </c>
      <c r="H618" s="5" t="n">
        <v>46272.58333333334</v>
      </c>
      <c r="I618" t="n">
        <v>4</v>
      </c>
      <c r="J618" s="3">
        <f>G618/I618</f>
        <v/>
      </c>
      <c r="K618">
        <f>IF(J618&gt;=5100,"ставка","мин.ставка")</f>
        <v/>
      </c>
      <c r="L618" s="3">
        <f>ROUND(IF(K618="мин.ставка",I618*100,G618/102*2),2)</f>
        <v/>
      </c>
      <c r="M618" s="5" t="n">
        <v>46276.5</v>
      </c>
      <c r="N618" t="inlineStr">
        <is>
          <t>TravelLine ресепшн</t>
        </is>
      </c>
      <c r="O618" s="2" t="inlineStr">
        <is>
          <t>СТАНДАРТНЫЙ ДВУХМЕСТНЫЙ НОМЕР (МАНСАРДА)</t>
        </is>
      </c>
      <c r="P618" s="6" t="n"/>
      <c r="R618" t="inlineStr"/>
      <c r="S618" t="inlineStr">
        <is>
          <t>Тариф с завтраком</t>
        </is>
      </c>
      <c r="T618" t="n">
        <v>0</v>
      </c>
      <c r="U618" t="n">
        <v>31600</v>
      </c>
    </row>
    <row r="619">
      <c r="A619" t="inlineStr">
        <is>
          <t>20260715-8186-425955806</t>
        </is>
      </c>
      <c r="B619" t="n">
        <v>1</v>
      </c>
      <c r="C619" s="2" t="inlineStr">
        <is>
          <t>Маргарита Петрова</t>
        </is>
      </c>
      <c r="D619" s="3" t="n">
        <v>24640</v>
      </c>
      <c r="E619" s="4" t="n">
        <v>18</v>
      </c>
      <c r="F619" t="inlineStr">
        <is>
          <t>Яндекс.Путешествия [Чайковский]</t>
        </is>
      </c>
      <c r="G619" s="3">
        <f>ROUND(D619/(100-E619)*100,2)</f>
        <v/>
      </c>
      <c r="H619" s="5" t="n">
        <v>46218.58333333334</v>
      </c>
      <c r="I619" t="n">
        <v>4</v>
      </c>
      <c r="J619" s="3">
        <f>G619/I619</f>
        <v/>
      </c>
      <c r="K619">
        <f>IF(J619&gt;=5100,"ставка","мин.ставка")</f>
        <v/>
      </c>
      <c r="L619" s="3">
        <f>ROUND(IF(K619="мин.ставка",I619*100,G619/102*2),2)</f>
        <v/>
      </c>
      <c r="M619" s="5" t="n">
        <v>46222.5</v>
      </c>
      <c r="N619" t="inlineStr">
        <is>
          <t>TravelLine YAX</t>
        </is>
      </c>
      <c r="O619" s="2" t="inlineStr">
        <is>
          <t>СТАНДАРТНЫЙ ОДНОМЕСТНЫЙ НОМЕР</t>
        </is>
      </c>
      <c r="P619" s="6" t="n"/>
      <c r="R619" t="inlineStr"/>
      <c r="S619" t="inlineStr">
        <is>
          <t>Тариф с завтраком</t>
        </is>
      </c>
      <c r="T619" t="n">
        <v>0</v>
      </c>
      <c r="U619" t="n">
        <v>24640</v>
      </c>
    </row>
    <row r="620">
      <c r="A620" t="inlineStr">
        <is>
          <t>20260706-8186-420338941</t>
        </is>
      </c>
      <c r="B620" t="n">
        <v>1</v>
      </c>
      <c r="C620" s="2" t="inlineStr">
        <is>
          <t>Марина Бурова</t>
        </is>
      </c>
      <c r="D620" s="3" t="n">
        <v>13090</v>
      </c>
      <c r="E620" s="4" t="n">
        <v>17</v>
      </c>
      <c r="F620" t="inlineStr">
        <is>
          <t>ООО «Дубль Гис» (OTELLO) [Чайковский]</t>
        </is>
      </c>
      <c r="G620" s="3">
        <f>ROUND(D620/(100-E620)*100,2)</f>
        <v/>
      </c>
      <c r="H620" s="5" t="n">
        <v>46209.58333333334</v>
      </c>
      <c r="I620" t="n">
        <v>2</v>
      </c>
      <c r="J620" s="3">
        <f>G620/I620</f>
        <v/>
      </c>
      <c r="K620">
        <f>IF(J620&gt;=5100,"ставка","мин.ставка")</f>
        <v/>
      </c>
      <c r="L620" s="3">
        <f>ROUND(IF(K620="мин.ставка",I620*100,G620/102*2),2)</f>
        <v/>
      </c>
      <c r="M620" s="5" t="n">
        <v>46211.5</v>
      </c>
      <c r="N620" t="inlineStr">
        <is>
          <t>TravelLine OL2</t>
        </is>
      </c>
      <c r="O620" s="2" t="inlineStr">
        <is>
          <t>СТАНДАРТНЫЙ ОДНОМЕСТНЫЙ НОМЕР</t>
        </is>
      </c>
      <c r="P620" s="6" t="n"/>
      <c r="R620" t="inlineStr"/>
      <c r="S620" t="inlineStr">
        <is>
          <t>Тариф с завтраком</t>
        </is>
      </c>
      <c r="T620" t="n">
        <v>0</v>
      </c>
      <c r="U620" t="n">
        <v>13090</v>
      </c>
    </row>
    <row r="621">
      <c r="A621" t="inlineStr">
        <is>
          <t>20260708-8186-420258045</t>
        </is>
      </c>
      <c r="B621" t="n">
        <v>1</v>
      </c>
      <c r="C621" s="2" t="inlineStr">
        <is>
          <t>Марина Бурова</t>
        </is>
      </c>
      <c r="D621" s="3" t="n">
        <v>13090</v>
      </c>
      <c r="E621" s="4" t="n">
        <v>17</v>
      </c>
      <c r="F621" t="inlineStr">
        <is>
          <t>ООО «Дубль Гис» (OTELLO) [Чайковский]</t>
        </is>
      </c>
      <c r="G621" s="3">
        <f>ROUND(D621/(100-E621)*100,2)</f>
        <v/>
      </c>
      <c r="H621" s="5" t="n">
        <v>46211.58333333334</v>
      </c>
      <c r="I621" t="n">
        <v>2</v>
      </c>
      <c r="J621" s="3">
        <f>G621/I621</f>
        <v/>
      </c>
      <c r="K621">
        <f>IF(J621&gt;=5100,"ставка","мин.ставка")</f>
        <v/>
      </c>
      <c r="L621" s="3">
        <f>ROUND(IF(K621="мин.ставка",I621*100,G621/102*2),2)</f>
        <v/>
      </c>
      <c r="M621" s="5" t="n">
        <v>46213.5</v>
      </c>
      <c r="N621" t="inlineStr">
        <is>
          <t>TravelLine OL2</t>
        </is>
      </c>
      <c r="O621" s="2" t="inlineStr">
        <is>
          <t>СТАНДАРТНЫЙ ОДНОМЕСТНЫЙ НОМЕР</t>
        </is>
      </c>
      <c r="P621" s="6" t="n"/>
      <c r="R621" t="inlineStr"/>
      <c r="S621" t="inlineStr">
        <is>
          <t>Тариф с завтраком</t>
        </is>
      </c>
      <c r="T621" t="n">
        <v>0</v>
      </c>
      <c r="U621" t="n">
        <v>13090</v>
      </c>
    </row>
    <row r="622">
      <c r="A622" t="inlineStr">
        <is>
          <t>20260915-8186-465509331</t>
        </is>
      </c>
      <c r="B622" t="n">
        <v>1</v>
      </c>
      <c r="C622" s="2" t="inlineStr">
        <is>
          <t>Марина Волкова, Александр Волков</t>
        </is>
      </c>
      <c r="D622" s="3" t="n">
        <v>118192</v>
      </c>
      <c r="E622" s="4" t="n">
        <v>17</v>
      </c>
      <c r="F622" t="inlineStr">
        <is>
          <t>ООО «Интернет Трэвел» (OZON) [Чайковский]</t>
        </is>
      </c>
      <c r="G622" s="3">
        <f>ROUND(D622/(100-E622)*100,2)</f>
        <v/>
      </c>
      <c r="H622" s="5" t="n">
        <v>46280.58333333334</v>
      </c>
      <c r="I622" t="n">
        <v>8</v>
      </c>
      <c r="J622" s="3">
        <f>G622/I622</f>
        <v/>
      </c>
      <c r="K622">
        <f>IF(J622&gt;=5100,"ставка","мин.ставка")</f>
        <v/>
      </c>
      <c r="L622" s="3">
        <f>ROUND(IF(K622="мин.ставка",I622*100,G622/102*2),2)</f>
        <v/>
      </c>
      <c r="M622" s="5" t="n">
        <v>46288.5</v>
      </c>
      <c r="N622" t="inlineStr">
        <is>
          <t>TravelLine OZ2</t>
        </is>
      </c>
      <c r="O622" s="2" t="inlineStr">
        <is>
          <t>ЛЮКС ВТОРОЙ КОРПУС</t>
        </is>
      </c>
      <c r="P622" s="6" t="n"/>
      <c r="R622" t="inlineStr"/>
      <c r="S622" t="inlineStr">
        <is>
          <t>Тариф с завтраком</t>
        </is>
      </c>
      <c r="T622" t="n">
        <v>0</v>
      </c>
      <c r="U622" t="n">
        <v>118192</v>
      </c>
    </row>
    <row r="623">
      <c r="A623" t="inlineStr">
        <is>
          <t>20260720-8186-434462277</t>
        </is>
      </c>
      <c r="B623" t="n">
        <v>1</v>
      </c>
      <c r="C623" s="2" t="inlineStr">
        <is>
          <t>МАРИНА ГОНЧАРОВА</t>
        </is>
      </c>
      <c r="D623" s="3" t="n">
        <v>45400</v>
      </c>
      <c r="E623" s="4" t="n">
        <v>20</v>
      </c>
      <c r="F623" t="inlineStr">
        <is>
          <t>ООО "ХБ-ПРО" [Чайковский]</t>
        </is>
      </c>
      <c r="G623" s="3">
        <f>ROUND(D623/(100-E623)*100,2)</f>
        <v/>
      </c>
      <c r="H623" s="5" t="n">
        <v>46223.58333333334</v>
      </c>
      <c r="I623" t="n">
        <v>5</v>
      </c>
      <c r="J623" s="3">
        <f>G623/I623</f>
        <v/>
      </c>
      <c r="K623">
        <f>IF(J623&gt;=5100,"ставка","мин.ставка")</f>
        <v/>
      </c>
      <c r="L623" s="3">
        <f>ROUND(IF(K623="мин.ставка",I623*100,G623/102*2),2)</f>
        <v/>
      </c>
      <c r="M623" s="5" t="n">
        <v>46228.75</v>
      </c>
      <c r="N623" t="inlineStr">
        <is>
          <t>TravelLine UTS</t>
        </is>
      </c>
      <c r="O623" s="2" t="inlineStr">
        <is>
          <t>СТАНДАРТНЫЙ ДВУХМЕСТНЫЙ НОМЕР</t>
        </is>
      </c>
      <c r="P623" s="6" t="n"/>
      <c r="R623" t="inlineStr"/>
      <c r="S623" t="inlineStr">
        <is>
          <t>Тариф с завтраком</t>
        </is>
      </c>
      <c r="T623" t="n">
        <v>5675</v>
      </c>
      <c r="U623" t="n">
        <v>51075</v>
      </c>
    </row>
    <row r="624">
      <c r="A624" t="inlineStr">
        <is>
          <t>20260718-8186-439204883</t>
        </is>
      </c>
      <c r="B624" t="n">
        <v>1</v>
      </c>
      <c r="C624" s="2" t="inlineStr">
        <is>
          <t>Марина Невзорова, Наталья Гайдай</t>
        </is>
      </c>
      <c r="D624" s="3" t="n">
        <v>53199.75</v>
      </c>
      <c r="E624" s="4" t="n">
        <v>4</v>
      </c>
      <c r="F624" t="inlineStr">
        <is>
          <t>TravelLine Booking Engine [Чайковский]</t>
        </is>
      </c>
      <c r="G624" s="3">
        <f>ROUND(D624/(100-E624)*100,2)</f>
        <v/>
      </c>
      <c r="H624" s="5" t="n">
        <v>46221.58333333334</v>
      </c>
      <c r="I624" t="n">
        <v>4</v>
      </c>
      <c r="J624" s="3">
        <f>G624/I624</f>
        <v/>
      </c>
      <c r="K624">
        <f>IF(J624&gt;=5100,"ставка","мин.ставка")</f>
        <v/>
      </c>
      <c r="L624" s="3">
        <f>ROUND(IF(K624="мин.ставка",I624*100,G624/102*2),2)</f>
        <v/>
      </c>
      <c r="M624" s="5" t="n">
        <v>46225.5</v>
      </c>
      <c r="N624" t="inlineStr">
        <is>
          <t>TravelLine сайт</t>
        </is>
      </c>
      <c r="O624" s="2" t="inlineStr">
        <is>
          <t>СТАНДАРТНЫЙ ДВУХМЕСТНЫЙ НОМЕР</t>
        </is>
      </c>
      <c r="P624" s="6" t="n"/>
      <c r="R624" t="inlineStr"/>
      <c r="S624" t="inlineStr">
        <is>
          <t>Тариф с завтраком</t>
        </is>
      </c>
      <c r="T624" t="n">
        <v>0</v>
      </c>
      <c r="U624" t="n">
        <v>53199.75</v>
      </c>
    </row>
    <row r="625">
      <c r="A625" t="inlineStr">
        <is>
          <t>20260730-8186-438491467</t>
        </is>
      </c>
      <c r="B625" t="n">
        <v>1</v>
      </c>
      <c r="C625" s="2" t="inlineStr">
        <is>
          <t>Марина Немова, Лариса Немова</t>
        </is>
      </c>
      <c r="D625" s="3" t="n">
        <v>17533</v>
      </c>
      <c r="E625" s="4" t="n">
        <v>4</v>
      </c>
      <c r="F625" t="inlineStr">
        <is>
          <t>TravelLine Booking Engine [Чайковский]</t>
        </is>
      </c>
      <c r="G625" s="3">
        <f>ROUND(D625/(100-E625)*100,2)</f>
        <v/>
      </c>
      <c r="H625" s="5" t="n">
        <v>46233.58333333334</v>
      </c>
      <c r="I625" t="n">
        <v>1</v>
      </c>
      <c r="J625" s="3">
        <f>G625/I625</f>
        <v/>
      </c>
      <c r="K625">
        <f>IF(J625&gt;=5100,"ставка","мин.ставка")</f>
        <v/>
      </c>
      <c r="L625" s="3">
        <f>ROUND(IF(K625="мин.ставка",I625*100,G625/102*2),2)</f>
        <v/>
      </c>
      <c r="M625" s="5" t="n">
        <v>46234.5</v>
      </c>
      <c r="N625" t="inlineStr">
        <is>
          <t>TravelLine сайт</t>
        </is>
      </c>
      <c r="O625" s="2" t="inlineStr">
        <is>
          <t>ЛЮКС ВТОРОЙ КОРПУС</t>
        </is>
      </c>
      <c r="P625" s="6" t="n"/>
      <c r="R625" t="inlineStr"/>
      <c r="S625" t="inlineStr">
        <is>
          <t>Тариф с завтраком</t>
        </is>
      </c>
      <c r="T625" t="n">
        <v>0</v>
      </c>
      <c r="U625" t="n">
        <v>17533</v>
      </c>
    </row>
    <row r="626">
      <c r="A626" t="inlineStr">
        <is>
          <t>20260721-8186-440916265</t>
        </is>
      </c>
      <c r="B626" t="n">
        <v>1</v>
      </c>
      <c r="C626" s="2" t="inlineStr">
        <is>
          <t>Марина Непомнящая</t>
        </is>
      </c>
      <c r="D626" s="3" t="n">
        <v>22700</v>
      </c>
      <c r="E626" s="4" t="n">
        <v>0</v>
      </c>
      <c r="F626" t="inlineStr">
        <is>
          <t>Прямые бронирования (стойка) [Чайковский]</t>
        </is>
      </c>
      <c r="G626" s="3">
        <f>ROUND(D626/(100-E626)*100,2)</f>
        <v/>
      </c>
      <c r="H626" s="5" t="n">
        <v>46224.58333333334</v>
      </c>
      <c r="I626" t="n">
        <v>2</v>
      </c>
      <c r="J626" s="3">
        <f>G626/I626</f>
        <v/>
      </c>
      <c r="K626">
        <f>IF(J626&gt;=5100,"ставка","мин.ставка")</f>
        <v/>
      </c>
      <c r="L626" s="3">
        <f>ROUND(IF(K626="мин.ставка",I626*100,G626/102*2),2)</f>
        <v/>
      </c>
      <c r="M626" s="5" t="n">
        <v>46226.5</v>
      </c>
      <c r="N626" t="inlineStr">
        <is>
          <t>TravelLine ресепшн</t>
        </is>
      </c>
      <c r="O626" s="2" t="inlineStr">
        <is>
          <t>СТАНДАРТНЫЙ ДВУХМЕСТНЫЙ НОМЕР</t>
        </is>
      </c>
      <c r="P626" s="6" t="n"/>
      <c r="R626" t="inlineStr"/>
      <c r="S626" t="inlineStr">
        <is>
          <t>Тариф с завтраком</t>
        </is>
      </c>
      <c r="T626" t="n">
        <v>0</v>
      </c>
      <c r="U626" t="n">
        <v>22700</v>
      </c>
    </row>
    <row r="627">
      <c r="A627" t="inlineStr">
        <is>
          <t>20260908-8186-464538528</t>
        </is>
      </c>
      <c r="B627" t="n">
        <v>1</v>
      </c>
      <c r="C627" s="2" t="inlineStr">
        <is>
          <t>Марина Павшенко, Елена Павшенко</t>
        </is>
      </c>
      <c r="D627" s="3" t="n">
        <v>11347.5</v>
      </c>
      <c r="E627" s="4" t="n">
        <v>15</v>
      </c>
      <c r="F627" t="inlineStr">
        <is>
          <t>Trip.com Group [Чайковский]</t>
        </is>
      </c>
      <c r="G627" s="3">
        <f>ROUND(D627/(100-E627)*100,2)</f>
        <v/>
      </c>
      <c r="H627" s="5" t="n">
        <v>46273.58333333334</v>
      </c>
      <c r="I627" t="n">
        <v>1</v>
      </c>
      <c r="J627" s="3">
        <f>G627/I627</f>
        <v/>
      </c>
      <c r="K627">
        <f>IF(J627&gt;=5100,"ставка","мин.ставка")</f>
        <v/>
      </c>
      <c r="L627" s="3">
        <f>ROUND(IF(K627="мин.ставка",I627*100,G627/102*2),2)</f>
        <v/>
      </c>
      <c r="M627" s="5" t="n">
        <v>46274.5</v>
      </c>
      <c r="N627" t="inlineStr">
        <is>
          <t>TravelLine CTP</t>
        </is>
      </c>
      <c r="O627" s="2" t="inlineStr">
        <is>
          <t>СТАНДАРТНЫЙ ДВУХМЕСТНЫЙ НОМЕР</t>
        </is>
      </c>
      <c r="P627" s="6" t="n"/>
      <c r="R627" t="inlineStr"/>
      <c r="S627" t="inlineStr">
        <is>
          <t>Тариф с завтраком</t>
        </is>
      </c>
      <c r="T627" t="n">
        <v>0</v>
      </c>
      <c r="U627" t="n">
        <v>11347.5</v>
      </c>
    </row>
    <row r="628">
      <c r="A628" t="inlineStr">
        <is>
          <t>20260908-8186-450576410</t>
        </is>
      </c>
      <c r="B628" t="n">
        <v>1</v>
      </c>
      <c r="C628" s="2" t="inlineStr">
        <is>
          <t>Марина Пономаренко</t>
        </is>
      </c>
      <c r="D628" s="3" t="n">
        <v>33698.15</v>
      </c>
      <c r="E628" s="4" t="n">
        <v>4</v>
      </c>
      <c r="F628" t="inlineStr">
        <is>
          <t>TravelLine Booking Engine [Чайковский]</t>
        </is>
      </c>
      <c r="G628" s="3">
        <f>ROUND(D628/(100-E628)*100,2)</f>
        <v/>
      </c>
      <c r="H628" s="5" t="n">
        <v>46273.58333333334</v>
      </c>
      <c r="I628" t="n">
        <v>3</v>
      </c>
      <c r="J628" s="3">
        <f>G628/I628</f>
        <v/>
      </c>
      <c r="K628">
        <f>IF(J628&gt;=5100,"ставка","мин.ставка")</f>
        <v/>
      </c>
      <c r="L628" s="3">
        <f>ROUND(IF(K628="мин.ставка",I628*100,G628/102*2),2)</f>
        <v/>
      </c>
      <c r="M628" s="5" t="n">
        <v>46276.5</v>
      </c>
      <c r="N628" t="inlineStr">
        <is>
          <t>TravelLine сайт</t>
        </is>
      </c>
      <c r="O628" s="2" t="inlineStr">
        <is>
          <t>СТАНДАРТНЫЙ ДВУХМЕСТНЫЙ НОМЕР</t>
        </is>
      </c>
      <c r="P628" s="6" t="n"/>
      <c r="R628" t="inlineStr"/>
      <c r="S628" t="inlineStr">
        <is>
          <t>Тариф с завтраком</t>
        </is>
      </c>
      <c r="T628" t="n">
        <v>0</v>
      </c>
      <c r="U628" t="n">
        <v>33698.15</v>
      </c>
    </row>
    <row r="629">
      <c r="A629" t="inlineStr">
        <is>
          <t>20260822-8186-412015169</t>
        </is>
      </c>
      <c r="B629" t="n">
        <v>1</v>
      </c>
      <c r="C629" s="2" t="inlineStr">
        <is>
          <t>МАРИНА РОСТНИКОВА, Александр Попов</t>
        </is>
      </c>
      <c r="D629" s="3" t="n">
        <v>15988.5</v>
      </c>
      <c r="E629" s="4" t="n">
        <v>4</v>
      </c>
      <c r="F629" t="inlineStr">
        <is>
          <t>TravelLine Booking Engine [Чайковский]</t>
        </is>
      </c>
      <c r="G629" s="3">
        <f>ROUND(D629/(100-E629)*100,2)</f>
        <v/>
      </c>
      <c r="H629" s="5" t="n">
        <v>46256.58333333334</v>
      </c>
      <c r="I629" t="n">
        <v>1</v>
      </c>
      <c r="J629" s="3">
        <f>G629/I629</f>
        <v/>
      </c>
      <c r="K629">
        <f>IF(J629&gt;=5100,"ставка","мин.ставка")</f>
        <v/>
      </c>
      <c r="L629" s="3">
        <f>ROUND(IF(K629="мин.ставка",I629*100,G629/102*2),2)</f>
        <v/>
      </c>
      <c r="M629" s="5" t="n">
        <v>46257.5</v>
      </c>
      <c r="N629" t="inlineStr">
        <is>
          <t>TravelLine сайт</t>
        </is>
      </c>
      <c r="O629" s="2" t="inlineStr">
        <is>
          <t>ПОЛУЛЮКС</t>
        </is>
      </c>
      <c r="P629" s="6" t="n"/>
      <c r="R629" t="inlineStr"/>
      <c r="S629" t="inlineStr">
        <is>
          <t>Тариф с завтраком</t>
        </is>
      </c>
      <c r="T629" t="n">
        <v>0</v>
      </c>
      <c r="U629" t="n">
        <v>15988.5</v>
      </c>
    </row>
    <row r="630">
      <c r="A630" t="inlineStr">
        <is>
          <t>20260803-8186-421031747</t>
        </is>
      </c>
      <c r="B630" t="n">
        <v>1</v>
      </c>
      <c r="C630" s="2" t="inlineStr">
        <is>
          <t>Марина Хрусталева, Екатерина Хрусталева</t>
        </is>
      </c>
      <c r="D630" s="3" t="n">
        <v>39849.75</v>
      </c>
      <c r="E630" s="4" t="n">
        <v>4</v>
      </c>
      <c r="F630" t="inlineStr">
        <is>
          <t>TravelLine Booking Engine [Чайковский]</t>
        </is>
      </c>
      <c r="G630" s="3">
        <f>ROUND(D630/(100-E630)*100,2)</f>
        <v/>
      </c>
      <c r="H630" s="5" t="n">
        <v>46237.58333333334</v>
      </c>
      <c r="I630" t="n">
        <v>3</v>
      </c>
      <c r="J630" s="3">
        <f>G630/I630</f>
        <v/>
      </c>
      <c r="K630">
        <f>IF(J630&gt;=5100,"ставка","мин.ставка")</f>
        <v/>
      </c>
      <c r="L630" s="3">
        <f>ROUND(IF(K630="мин.ставка",I630*100,G630/102*2),2)</f>
        <v/>
      </c>
      <c r="M630" s="5" t="n">
        <v>46240.5</v>
      </c>
      <c r="N630" t="inlineStr">
        <is>
          <t>TravelLine сайт</t>
        </is>
      </c>
      <c r="O630" s="2" t="inlineStr">
        <is>
          <t>СТАНДАРТНЫЙ ДВУХМЕСТНЫЙ НОМЕР</t>
        </is>
      </c>
      <c r="P630" s="6" t="n"/>
      <c r="R630" t="inlineStr"/>
      <c r="S630" t="inlineStr">
        <is>
          <t>Тариф с завтраком</t>
        </is>
      </c>
      <c r="T630" t="n">
        <v>0</v>
      </c>
      <c r="U630" t="n">
        <v>73729.5</v>
      </c>
    </row>
    <row r="631">
      <c r="A631" t="inlineStr">
        <is>
          <t>20260821-8186-448701128</t>
        </is>
      </c>
      <c r="B631" t="n">
        <v>1</v>
      </c>
      <c r="C631" s="2" t="inlineStr">
        <is>
          <t>МАРИНА ШВЕЦОВА, ДАНИЛА ДРОЖЖИН</t>
        </is>
      </c>
      <c r="D631" s="3" t="n">
        <v>8415</v>
      </c>
      <c r="E631" s="4" t="n">
        <v>16</v>
      </c>
      <c r="F631" t="inlineStr">
        <is>
          <t>ООО "БРОНИРОВАНИЕ ГОСТИНИЦ" (OSTROVOK) [Чайковский]</t>
        </is>
      </c>
      <c r="G631" s="3">
        <f>ROUND(D631/(100-E631)*100,2)</f>
        <v/>
      </c>
      <c r="H631" s="5" t="n">
        <v>46255.58333333334</v>
      </c>
      <c r="I631" t="n">
        <v>1</v>
      </c>
      <c r="J631" s="3">
        <f>G631/I631</f>
        <v/>
      </c>
      <c r="K631">
        <f>IF(J631&gt;=5100,"ставка","мин.ставка")</f>
        <v/>
      </c>
      <c r="L631" s="3">
        <f>ROUND(IF(K631="мин.ставка",I631*100,G631/102*2),2)</f>
        <v/>
      </c>
      <c r="M631" s="5" t="n">
        <v>46256.5</v>
      </c>
      <c r="N631" t="inlineStr">
        <is>
          <t>TravelLine OTK</t>
        </is>
      </c>
      <c r="O631" s="2" t="inlineStr">
        <is>
          <t>СТАНДАРТНЫЙ ДВУХМЕСТНЫЙ НОМЕР (МАНСАРДА)</t>
        </is>
      </c>
      <c r="P631" s="6" t="n"/>
      <c r="R631" t="inlineStr"/>
      <c r="S631" t="inlineStr">
        <is>
          <t>Тариф с завтраком</t>
        </is>
      </c>
      <c r="T631" t="n">
        <v>0</v>
      </c>
      <c r="U631" t="n">
        <v>8415</v>
      </c>
    </row>
    <row r="632">
      <c r="A632" t="inlineStr">
        <is>
          <t>20260928-8186-467819293</t>
        </is>
      </c>
      <c r="B632" t="n">
        <v>1</v>
      </c>
      <c r="C632" s="2" t="inlineStr">
        <is>
          <t>МАРИЯ АВАНЕСОВА</t>
        </is>
      </c>
      <c r="D632" s="3" t="n">
        <v>11257.5</v>
      </c>
      <c r="E632" s="4" t="n">
        <v>18</v>
      </c>
      <c r="F632" t="inlineStr">
        <is>
          <t>Яндекс.Путешествия [Чайковский]</t>
        </is>
      </c>
      <c r="G632" s="3">
        <f>ROUND(D632/(100-E632)*100,2)</f>
        <v/>
      </c>
      <c r="H632" s="5" t="n">
        <v>46293.58333333334</v>
      </c>
      <c r="I632" t="n">
        <v>2</v>
      </c>
      <c r="J632" s="3">
        <f>G632/I632</f>
        <v/>
      </c>
      <c r="K632">
        <f>IF(J632&gt;=5100,"ставка","мин.ставка")</f>
        <v/>
      </c>
      <c r="L632" s="3">
        <f>ROUND(IF(K632="мин.ставка",I632*100,G632/102*2),2)</f>
        <v/>
      </c>
      <c r="M632" s="5" t="n">
        <v>46295.5</v>
      </c>
      <c r="N632" t="inlineStr">
        <is>
          <t>TravelLine YAX</t>
        </is>
      </c>
      <c r="O632" s="2" t="inlineStr">
        <is>
          <t>СТАНДАРТНЫЙ ДВУХМЕСТНЫЙ НОМЕР (МАНСАРДА)</t>
        </is>
      </c>
      <c r="P632" s="6" t="n"/>
      <c r="R632" t="inlineStr"/>
      <c r="S632" t="inlineStr">
        <is>
          <t>Тариф с завтраком</t>
        </is>
      </c>
      <c r="T632" t="n">
        <v>0</v>
      </c>
      <c r="U632" t="n">
        <v>11257.5</v>
      </c>
    </row>
    <row r="633">
      <c r="A633" t="inlineStr">
        <is>
          <t>20260827-8186-438982348</t>
        </is>
      </c>
      <c r="B633" t="n">
        <v>1</v>
      </c>
      <c r="C633" s="2" t="inlineStr">
        <is>
          <t>Мария Астахова</t>
        </is>
      </c>
      <c r="D633" s="3" t="n">
        <v>52360</v>
      </c>
      <c r="E633" s="4" t="n">
        <v>16</v>
      </c>
      <c r="F633" t="inlineStr">
        <is>
          <t>ООО "БРОНИРОВАНИЕ ГОСТИНИЦ" (OSTROVOK) [Чайковский]</t>
        </is>
      </c>
      <c r="G633" s="3">
        <f>ROUND(D633/(100-E633)*100,2)</f>
        <v/>
      </c>
      <c r="H633" s="5" t="n">
        <v>46261.58333333334</v>
      </c>
      <c r="I633" t="n">
        <v>8</v>
      </c>
      <c r="J633" s="3">
        <f>G633/I633</f>
        <v/>
      </c>
      <c r="K633">
        <f>IF(J633&gt;=5100,"ставка","мин.ставка")</f>
        <v/>
      </c>
      <c r="L633" s="3">
        <f>ROUND(IF(K633="мин.ставка",I633*100,G633/102*2),2)</f>
        <v/>
      </c>
      <c r="M633" s="5" t="n">
        <v>46269.5</v>
      </c>
      <c r="N633" t="inlineStr">
        <is>
          <t>TravelLine OTK</t>
        </is>
      </c>
      <c r="O633" s="2" t="inlineStr">
        <is>
          <t>СТАНДАРТНЫЙ ОДНОМЕСТНЫЙ НОМЕР</t>
        </is>
      </c>
      <c r="P633" s="6" t="n"/>
      <c r="R633" t="inlineStr"/>
      <c r="S633" t="inlineStr">
        <is>
          <t>Тариф с завтраком</t>
        </is>
      </c>
      <c r="T633" t="n">
        <v>0</v>
      </c>
      <c r="U633" t="n">
        <v>52360</v>
      </c>
    </row>
    <row r="634">
      <c r="A634" t="inlineStr">
        <is>
          <t>20260925-8186-464901936</t>
        </is>
      </c>
      <c r="B634" t="n">
        <v>1</v>
      </c>
      <c r="C634" s="2" t="inlineStr">
        <is>
          <t>Мария Ашихмина</t>
        </is>
      </c>
      <c r="D634" s="3" t="n">
        <v>34800</v>
      </c>
      <c r="E634" s="4" t="n">
        <v>18</v>
      </c>
      <c r="F634" t="inlineStr">
        <is>
          <t>Яндекс.Путешествия [Чайковский]</t>
        </is>
      </c>
      <c r="G634" s="3">
        <f>ROUND(D634/(100-E634)*100,2)</f>
        <v/>
      </c>
      <c r="H634" s="5" t="n">
        <v>46290.58333333334</v>
      </c>
      <c r="I634" t="n">
        <v>3</v>
      </c>
      <c r="J634" s="3">
        <f>G634/I634</f>
        <v/>
      </c>
      <c r="K634">
        <f>IF(J634&gt;=5100,"ставка","мин.ставка")</f>
        <v/>
      </c>
      <c r="L634" s="3">
        <f>ROUND(IF(K634="мин.ставка",I634*100,G634/102*2),2)</f>
        <v/>
      </c>
      <c r="M634" s="5" t="n">
        <v>46293.5</v>
      </c>
      <c r="N634" t="inlineStr">
        <is>
          <t>TravelLine YAX</t>
        </is>
      </c>
      <c r="O634" s="2" t="inlineStr">
        <is>
          <t>ПОЛУЛЮКС</t>
        </is>
      </c>
      <c r="P634" s="6" t="n"/>
      <c r="R634" t="inlineStr"/>
      <c r="S634" t="inlineStr">
        <is>
          <t>Тариф с завтраком</t>
        </is>
      </c>
      <c r="T634" t="n">
        <v>0</v>
      </c>
      <c r="U634" t="n">
        <v>34800</v>
      </c>
    </row>
    <row r="635">
      <c r="A635" t="inlineStr">
        <is>
          <t>20260729-8186-400177699</t>
        </is>
      </c>
      <c r="B635" t="n">
        <v>1</v>
      </c>
      <c r="C635" s="2" t="inlineStr">
        <is>
          <t>МАРИЯ БЕЛЕЕВСКАЯ, ЕВГЕНИЙ БЕЛЕЕВСКИЙ</t>
        </is>
      </c>
      <c r="D635" s="3" t="n">
        <v>52020</v>
      </c>
      <c r="E635" s="4" t="n">
        <v>0</v>
      </c>
      <c r="F635" t="inlineStr">
        <is>
          <t>Прямые бронирования (стойка) [Чайковский]</t>
        </is>
      </c>
      <c r="G635" s="3">
        <f>ROUND(D635/(100-E635)*100,2)</f>
        <v/>
      </c>
      <c r="H635" s="5" t="n">
        <v>46232.58333333334</v>
      </c>
      <c r="I635" t="n">
        <v>4</v>
      </c>
      <c r="J635" s="3">
        <f>G635/I635</f>
        <v/>
      </c>
      <c r="K635">
        <f>IF(J635&gt;=5100,"ставка","мин.ставка")</f>
        <v/>
      </c>
      <c r="L635" s="3">
        <f>ROUND(IF(K635="мин.ставка",I635*100,G635/102*2),2)</f>
        <v/>
      </c>
      <c r="M635" s="5" t="n">
        <v>46236.8125</v>
      </c>
      <c r="N635" t="inlineStr">
        <is>
          <t>TravelLine ресепшн</t>
        </is>
      </c>
      <c r="O635" s="2" t="inlineStr">
        <is>
          <t>семейный номер категории "стандарт"</t>
        </is>
      </c>
      <c r="P635" s="6" t="n"/>
      <c r="R635" t="inlineStr"/>
      <c r="S635" t="inlineStr">
        <is>
          <t>Тариф с завтраком</t>
        </is>
      </c>
      <c r="T635" t="n">
        <v>28625</v>
      </c>
      <c r="U635" t="n">
        <v>80645</v>
      </c>
    </row>
    <row r="636">
      <c r="A636" t="inlineStr">
        <is>
          <t>20260711-8186-440445654</t>
        </is>
      </c>
      <c r="B636" t="n">
        <v>1</v>
      </c>
      <c r="C636" s="2" t="inlineStr">
        <is>
          <t>Мария Евгенова</t>
        </is>
      </c>
      <c r="D636" s="3" t="n">
        <v>18841</v>
      </c>
      <c r="E636" s="4" t="n">
        <v>0</v>
      </c>
      <c r="F636" t="inlineStr">
        <is>
          <t>Прямые бронирования (стойка) [Чайковский]</t>
        </is>
      </c>
      <c r="G636" s="3">
        <f>ROUND(D636/(100-E636)*100,2)</f>
        <v/>
      </c>
      <c r="H636" s="5" t="n">
        <v>46214.58333333334</v>
      </c>
      <c r="I636" t="n">
        <v>2</v>
      </c>
      <c r="J636" s="3">
        <f>G636/I636</f>
        <v/>
      </c>
      <c r="K636">
        <f>IF(J636&gt;=5100,"ставка","мин.ставка")</f>
        <v/>
      </c>
      <c r="L636" s="3">
        <f>ROUND(IF(K636="мин.ставка",I636*100,G636/102*2),2)</f>
        <v/>
      </c>
      <c r="M636" s="5" t="n">
        <v>46216.5</v>
      </c>
      <c r="N636" t="inlineStr">
        <is>
          <t>TravelLine CMB</t>
        </is>
      </c>
      <c r="O636" s="2" t="inlineStr">
        <is>
          <t>СТАНДАРТНЫЙ ДВУХМЕСТНЫЙ НОМЕР</t>
        </is>
      </c>
      <c r="P636" s="6" t="n"/>
      <c r="R636" t="inlineStr"/>
      <c r="S636" t="inlineStr">
        <is>
          <t>Тариф с завтраком</t>
        </is>
      </c>
      <c r="T636" t="n">
        <v>0</v>
      </c>
      <c r="U636" t="n">
        <v>18841</v>
      </c>
    </row>
    <row r="637">
      <c r="A637" t="inlineStr">
        <is>
          <t>20260702-8186-443240661</t>
        </is>
      </c>
      <c r="B637" t="n">
        <v>1</v>
      </c>
      <c r="C637" s="2" t="inlineStr">
        <is>
          <t>Мария Еремеева, Альбина Зуева</t>
        </is>
      </c>
      <c r="D637" s="3" t="n">
        <v>33241.5</v>
      </c>
      <c r="E637" s="4" t="n">
        <v>17</v>
      </c>
      <c r="F637" t="inlineStr">
        <is>
          <t>ООО «Интернет Трэвел» (OZON) [Чайковский]</t>
        </is>
      </c>
      <c r="G637" s="3">
        <f>ROUND(D637/(100-E637)*100,2)</f>
        <v/>
      </c>
      <c r="H637" s="5" t="n">
        <v>46205.58333333334</v>
      </c>
      <c r="I637" t="n">
        <v>3</v>
      </c>
      <c r="J637" s="3">
        <f>G637/I637</f>
        <v/>
      </c>
      <c r="K637">
        <f>IF(J637&gt;=5100,"ставка","мин.ставка")</f>
        <v/>
      </c>
      <c r="L637" s="3">
        <f>ROUND(IF(K637="мин.ставка",I637*100,G637/102*2),2)</f>
        <v/>
      </c>
      <c r="M637" s="5" t="n">
        <v>46208.5</v>
      </c>
      <c r="N637" t="inlineStr">
        <is>
          <t>TravelLine OZ2</t>
        </is>
      </c>
      <c r="O637" s="2" t="inlineStr">
        <is>
          <t>СТАНДАРТНЫЙ ДВУХМЕСТНЫЙ НОМЕР</t>
        </is>
      </c>
      <c r="P637" s="6" t="n"/>
      <c r="R637" t="inlineStr"/>
      <c r="S637" t="inlineStr">
        <is>
          <t>Тариф с завтраком</t>
        </is>
      </c>
      <c r="T637" t="n">
        <v>0</v>
      </c>
      <c r="U637" t="n">
        <v>33241.5</v>
      </c>
    </row>
    <row r="638">
      <c r="A638" t="inlineStr">
        <is>
          <t>20260707-8186-427987036</t>
        </is>
      </c>
      <c r="B638" t="n">
        <v>1</v>
      </c>
      <c r="C638" s="2" t="inlineStr">
        <is>
          <t>Мария Журина, Степан Ртищев</t>
        </is>
      </c>
      <c r="D638" s="3" t="n">
        <v>11347.5</v>
      </c>
      <c r="E638" s="4" t="n">
        <v>15</v>
      </c>
      <c r="F638" t="inlineStr">
        <is>
          <t>ООО "БРОНИРОВАНИЕ ГОСТИНИЦ" (OSTROVOK) [Чайковский]</t>
        </is>
      </c>
      <c r="G638" s="3">
        <f>ROUND(D638/(100-E638)*100,2)</f>
        <v/>
      </c>
      <c r="H638" s="5" t="n">
        <v>46210.58333333334</v>
      </c>
      <c r="I638" t="n">
        <v>1</v>
      </c>
      <c r="J638" s="3">
        <f>G638/I638</f>
        <v/>
      </c>
      <c r="K638">
        <f>IF(J638&gt;=5100,"ставка","мин.ставка")</f>
        <v/>
      </c>
      <c r="L638" s="3">
        <f>ROUND(IF(K638="мин.ставка",I638*100,G638/102*2),2)</f>
        <v/>
      </c>
      <c r="M638" s="5" t="n">
        <v>46211.5</v>
      </c>
      <c r="N638" t="inlineStr">
        <is>
          <t>TravelLine OTK</t>
        </is>
      </c>
      <c r="O638" s="2" t="inlineStr">
        <is>
          <t>СТАНДАРТНЫЙ ДВУХМЕСТНЫЙ НОМЕР</t>
        </is>
      </c>
      <c r="P638" s="6" t="n"/>
      <c r="R638" t="inlineStr"/>
      <c r="S638" t="inlineStr">
        <is>
          <t>Тариф с завтраком</t>
        </is>
      </c>
      <c r="T638" t="n">
        <v>0</v>
      </c>
      <c r="U638" t="n">
        <v>11347.5</v>
      </c>
    </row>
    <row r="639">
      <c r="A639" t="inlineStr">
        <is>
          <t>20260927-8186-463737797</t>
        </is>
      </c>
      <c r="B639" t="n">
        <v>1</v>
      </c>
      <c r="C639" s="2" t="inlineStr">
        <is>
          <t>МАРИЯ Исакова</t>
        </is>
      </c>
      <c r="D639" s="3" t="n">
        <v>6320</v>
      </c>
      <c r="E639" s="4" t="n">
        <v>18</v>
      </c>
      <c r="F639" t="inlineStr">
        <is>
          <t>Яндекс.Путешествия [Чайковский]</t>
        </is>
      </c>
      <c r="G639" s="3">
        <f>ROUND(D639/(100-E639)*100,2)</f>
        <v/>
      </c>
      <c r="H639" s="5" t="n">
        <v>46292.58333333334</v>
      </c>
      <c r="I639" t="n">
        <v>1</v>
      </c>
      <c r="J639" s="3">
        <f>G639/I639</f>
        <v/>
      </c>
      <c r="K639">
        <f>IF(J639&gt;=5100,"ставка","мин.ставка")</f>
        <v/>
      </c>
      <c r="L639" s="3">
        <f>ROUND(IF(K639="мин.ставка",I639*100,G639/102*2),2)</f>
        <v/>
      </c>
      <c r="M639" s="5" t="n">
        <v>46293.5</v>
      </c>
      <c r="N639" t="inlineStr">
        <is>
          <t>TravelLine YAX</t>
        </is>
      </c>
      <c r="O639" s="2" t="inlineStr">
        <is>
          <t>СТАНДАРТНЫЙ ДВУХМЕСТНЫЙ НОМЕР (МАНСАРДА)</t>
        </is>
      </c>
      <c r="P639" s="6" t="n"/>
      <c r="R639" t="inlineStr"/>
      <c r="S639" t="inlineStr">
        <is>
          <t>Тариф с завтраком</t>
        </is>
      </c>
      <c r="T639" t="n">
        <v>0</v>
      </c>
      <c r="U639" t="n">
        <v>6320</v>
      </c>
    </row>
    <row r="640">
      <c r="A640" t="inlineStr">
        <is>
          <t>20260812-8186-454218570</t>
        </is>
      </c>
      <c r="B640" t="n">
        <v>1</v>
      </c>
      <c r="C640" s="2" t="inlineStr">
        <is>
          <t>Мария Кондратьева</t>
        </is>
      </c>
      <c r="D640" s="3" t="n">
        <v>23780</v>
      </c>
      <c r="E640" s="4" t="n">
        <v>18</v>
      </c>
      <c r="F640" t="inlineStr">
        <is>
          <t>ООО "Эй энд Эй" [Чайковский]</t>
        </is>
      </c>
      <c r="G640" s="3">
        <f>ROUND(D640/(100-E640)*100,2)</f>
        <v/>
      </c>
      <c r="H640" s="5" t="n">
        <v>46246.58333333334</v>
      </c>
      <c r="I640" t="n">
        <v>2</v>
      </c>
      <c r="J640" s="3">
        <f>G640/I640</f>
        <v/>
      </c>
      <c r="K640">
        <f>IF(J640&gt;=5100,"ставка","мин.ставка")</f>
        <v/>
      </c>
      <c r="L640" s="3">
        <f>ROUND(IF(K640="мин.ставка",I640*100,G640/102*2),2)</f>
        <v/>
      </c>
      <c r="M640" s="5" t="n">
        <v>46248.5</v>
      </c>
      <c r="N640" t="inlineStr">
        <is>
          <t>TravelLine ANA</t>
        </is>
      </c>
      <c r="O640" s="2" t="inlineStr">
        <is>
          <t>ПОЛУЛЮКС</t>
        </is>
      </c>
      <c r="P640" s="6" t="n"/>
      <c r="R640" t="inlineStr"/>
      <c r="S640" t="inlineStr">
        <is>
          <t>Тариф с завтраком</t>
        </is>
      </c>
      <c r="T640" t="n">
        <v>0</v>
      </c>
      <c r="U640" t="n">
        <v>23780</v>
      </c>
    </row>
    <row r="641">
      <c r="A641" t="inlineStr">
        <is>
          <t>20260806-8186-452608643</t>
        </is>
      </c>
      <c r="B641" t="n">
        <v>1</v>
      </c>
      <c r="C641" s="2" t="inlineStr">
        <is>
          <t>Мария КОТОВА</t>
        </is>
      </c>
      <c r="D641" s="3" t="n">
        <v>31000.5</v>
      </c>
      <c r="E641" s="4" t="n">
        <v>20</v>
      </c>
      <c r="F641" t="inlineStr">
        <is>
          <t>ООО «Дубль Гис» (OTELLO) [Чайковский]</t>
        </is>
      </c>
      <c r="G641" s="3">
        <f>ROUND(D641/(100-E641)*100,2)</f>
        <v/>
      </c>
      <c r="H641" s="5" t="n">
        <v>46240.58333333334</v>
      </c>
      <c r="I641" t="n">
        <v>3</v>
      </c>
      <c r="J641" s="3">
        <f>G641/I641</f>
        <v/>
      </c>
      <c r="K641">
        <f>IF(J641&gt;=5100,"ставка","мин.ставка")</f>
        <v/>
      </c>
      <c r="L641" s="3">
        <f>ROUND(IF(K641="мин.ставка",I641*100,G641/102*2),2)</f>
        <v/>
      </c>
      <c r="M641" s="5" t="n">
        <v>46243.5</v>
      </c>
      <c r="N641" t="inlineStr">
        <is>
          <t>TravelLine OL2</t>
        </is>
      </c>
      <c r="O641" s="2" t="inlineStr">
        <is>
          <t>СЕМЕЙНЫЙ НОМЕР КАТЕГОРИИ "СТАНДАРТ" ВТОРОЙ КОРПУС</t>
        </is>
      </c>
      <c r="P641" s="6" t="n"/>
      <c r="R641" t="inlineStr"/>
      <c r="S641" t="inlineStr">
        <is>
          <t>Тариф с завтраком</t>
        </is>
      </c>
      <c r="T641" t="n">
        <v>0</v>
      </c>
      <c r="U641" t="n">
        <v>31000.5</v>
      </c>
    </row>
    <row r="642">
      <c r="A642" t="inlineStr">
        <is>
          <t>20260914-8186-463736656</t>
        </is>
      </c>
      <c r="B642" t="n">
        <v>1</v>
      </c>
      <c r="C642" s="2" t="inlineStr">
        <is>
          <t>МАРИЯ КУТЕПОВА</t>
        </is>
      </c>
      <c r="D642" s="3" t="n">
        <v>26544</v>
      </c>
      <c r="E642" s="4" t="n">
        <v>16</v>
      </c>
      <c r="F642" t="inlineStr">
        <is>
          <t>ООО "БРОНИРОВАНИЕ ГОСТИНИЦ" (OSTROVOK) [Чайковский]</t>
        </is>
      </c>
      <c r="G642" s="3">
        <f>ROUND(D642/(100-E642)*100,2)</f>
        <v/>
      </c>
      <c r="H642" s="5" t="n">
        <v>46279.58333333334</v>
      </c>
      <c r="I642" t="n">
        <v>2</v>
      </c>
      <c r="J642" s="3">
        <f>G642/I642</f>
        <v/>
      </c>
      <c r="K642">
        <f>IF(J642&gt;=5100,"ставка","мин.ставка")</f>
        <v/>
      </c>
      <c r="L642" s="3">
        <f>ROUND(IF(K642="мин.ставка",I642*100,G642/102*2),2)</f>
        <v/>
      </c>
      <c r="M642" s="5" t="n">
        <v>46281.5</v>
      </c>
      <c r="N642" t="inlineStr">
        <is>
          <t>TravelLine OTK</t>
        </is>
      </c>
      <c r="O642" s="2" t="inlineStr">
        <is>
          <t>ЛЮКС ВТОРОЙ КОРПУС</t>
        </is>
      </c>
      <c r="P642" s="6" t="n"/>
      <c r="R642" t="inlineStr"/>
      <c r="S642" t="inlineStr">
        <is>
          <t>Тариф с завтраком</t>
        </is>
      </c>
      <c r="T642" t="n">
        <v>0</v>
      </c>
      <c r="U642" t="n">
        <v>26544</v>
      </c>
    </row>
    <row r="643">
      <c r="A643" t="inlineStr">
        <is>
          <t>20260810-8186-395777109</t>
        </is>
      </c>
      <c r="B643" t="n">
        <v>1</v>
      </c>
      <c r="C643" s="2" t="inlineStr">
        <is>
          <t>Мария Моллот</t>
        </is>
      </c>
      <c r="D643" s="3" t="n">
        <v>56880</v>
      </c>
      <c r="E643" s="4" t="n">
        <v>0</v>
      </c>
      <c r="F643" t="inlineStr">
        <is>
          <t>Прямые бронирования (стойка) [Чайковский]</t>
        </is>
      </c>
      <c r="G643" s="3">
        <f>ROUND(D643/(100-E643)*100,2)</f>
        <v/>
      </c>
      <c r="H643" s="5" t="n">
        <v>46244.58333333334</v>
      </c>
      <c r="I643" t="n">
        <v>8</v>
      </c>
      <c r="J643" s="3">
        <f>G643/I643</f>
        <v/>
      </c>
      <c r="K643">
        <f>IF(J643&gt;=5100,"ставка","мин.ставка")</f>
        <v/>
      </c>
      <c r="L643" s="3">
        <f>ROUND(IF(K643="мин.ставка",I643*100,G643/102*2),2)</f>
        <v/>
      </c>
      <c r="M643" s="5" t="n">
        <v>46252.5</v>
      </c>
      <c r="N643" t="inlineStr">
        <is>
          <t>TravelLine ресепшн</t>
        </is>
      </c>
      <c r="O643" s="2" t="inlineStr">
        <is>
          <t>СТАНДАРТНЫЙ ОДНОМЕСТНЫЙ НОМЕР</t>
        </is>
      </c>
      <c r="P643" s="6" t="n"/>
      <c r="R643" t="inlineStr"/>
      <c r="S643" t="inlineStr">
        <is>
          <t>Тариф с завтраком</t>
        </is>
      </c>
      <c r="T643" t="n">
        <v>0</v>
      </c>
      <c r="U643" t="n">
        <v>56880</v>
      </c>
    </row>
    <row r="644">
      <c r="A644" t="inlineStr">
        <is>
          <t>20260920-8186-465332627</t>
        </is>
      </c>
      <c r="B644" t="n">
        <v>1</v>
      </c>
      <c r="C644" s="2" t="inlineStr">
        <is>
          <t>Мария Москаленко</t>
        </is>
      </c>
      <c r="D644" s="3" t="n">
        <v>79279.75</v>
      </c>
      <c r="E644" s="4" t="n">
        <v>4</v>
      </c>
      <c r="F644" t="inlineStr">
        <is>
          <t>TravelLine Booking Engine [Чайковский]</t>
        </is>
      </c>
      <c r="G644" s="3">
        <f>ROUND(D644/(100-E644)*100,2)</f>
        <v/>
      </c>
      <c r="H644" s="5" t="n">
        <v>46285.97916666666</v>
      </c>
      <c r="I644" t="n">
        <v>7</v>
      </c>
      <c r="J644" s="3">
        <f>G644/I644</f>
        <v/>
      </c>
      <c r="K644">
        <f>IF(J644&gt;=5100,"ставка","мин.ставка")</f>
        <v/>
      </c>
      <c r="L644" s="3">
        <f>ROUND(IF(K644="мин.ставка",I644*100,G644/102*2),2)</f>
        <v/>
      </c>
      <c r="M644" s="5" t="n">
        <v>46292.5</v>
      </c>
      <c r="N644" t="inlineStr">
        <is>
          <t>TravelLine сайт</t>
        </is>
      </c>
      <c r="O644" s="2" t="inlineStr">
        <is>
          <t>СТАНДАРТНЫЙ ДВУХМЕСТНЫЙ НОМЕР</t>
        </is>
      </c>
      <c r="P644" s="6" t="n"/>
      <c r="R644" t="inlineStr"/>
      <c r="S644" t="inlineStr">
        <is>
          <t>Тариф с завтраком</t>
        </is>
      </c>
      <c r="T644" t="n">
        <v>0</v>
      </c>
      <c r="U644" t="n">
        <v>79279.75</v>
      </c>
    </row>
    <row r="645">
      <c r="A645" t="inlineStr">
        <is>
          <t>20260930-8186-465412038</t>
        </is>
      </c>
      <c r="B645" t="n">
        <v>1</v>
      </c>
      <c r="C645" s="2" t="inlineStr">
        <is>
          <t>Мария Новосельцева</t>
        </is>
      </c>
      <c r="D645" s="3" t="n">
        <v>29920</v>
      </c>
      <c r="E645" s="4" t="n">
        <v>15</v>
      </c>
      <c r="F645" t="inlineStr">
        <is>
          <t>«ЖилиБыли» [Чайковский]</t>
        </is>
      </c>
      <c r="G645" s="3">
        <f>ROUND(D645/(100-E645)*100,2)</f>
        <v/>
      </c>
      <c r="H645" s="5" t="n">
        <v>46295.58333333334</v>
      </c>
      <c r="I645" t="n">
        <v>3</v>
      </c>
      <c r="J645" s="3">
        <f>G645/I645</f>
        <v/>
      </c>
      <c r="K645">
        <f>IF(J645&gt;=5100,"ставка","мин.ставка")</f>
        <v/>
      </c>
      <c r="L645" s="3">
        <f>ROUND(IF(K645="мин.ставка",I645*100,G645/102*2),2)</f>
        <v/>
      </c>
      <c r="M645" s="5" t="n">
        <v>46298.5</v>
      </c>
      <c r="N645" t="inlineStr">
        <is>
          <t>TravelLine JLB</t>
        </is>
      </c>
      <c r="O645" s="2" t="inlineStr">
        <is>
          <t>УЛУЧШЕННЫЙ ДВУХМЕСТНЫЙ НОМЕР</t>
        </is>
      </c>
      <c r="P645" s="6" t="n"/>
      <c r="R645" t="inlineStr"/>
      <c r="S645" t="inlineStr">
        <is>
          <t>Тариф с завтраком</t>
        </is>
      </c>
      <c r="T645" t="n">
        <v>0</v>
      </c>
      <c r="U645" t="n">
        <v>29920</v>
      </c>
    </row>
    <row r="646">
      <c r="A646" t="inlineStr">
        <is>
          <t>20260914-8186-420584796</t>
        </is>
      </c>
      <c r="B646" t="n">
        <v>1</v>
      </c>
      <c r="C646" s="2" t="inlineStr">
        <is>
          <t>МАРИЯ ПЕРЯТИНСКАЯ, АННА КАЗАНКОВА</t>
        </is>
      </c>
      <c r="D646" s="3" t="n">
        <v>42075</v>
      </c>
      <c r="E646" s="4" t="n">
        <v>0</v>
      </c>
      <c r="F646" t="inlineStr">
        <is>
          <t>ООО «ХОМЛИН ЛЭНД» (ПЕГАС) [Чайковский]</t>
        </is>
      </c>
      <c r="G646" s="3">
        <f>ROUND(D646/(100-E646)*100,2)</f>
        <v/>
      </c>
      <c r="H646" s="5" t="n">
        <v>46279.58333333334</v>
      </c>
      <c r="I646" t="n">
        <v>5</v>
      </c>
      <c r="J646" s="3">
        <f>G646/I646</f>
        <v/>
      </c>
      <c r="K646">
        <f>IF(J646&gt;=5100,"ставка","мин.ставка")</f>
        <v/>
      </c>
      <c r="L646" s="3">
        <f>ROUND(IF(K646="мин.ставка",I646*100,G646/102*2),2)</f>
        <v/>
      </c>
      <c r="M646" s="5" t="n">
        <v>46284.5</v>
      </c>
      <c r="N646" t="inlineStr">
        <is>
          <t>TravelLine PGS</t>
        </is>
      </c>
      <c r="O646" s="2" t="inlineStr">
        <is>
          <t>СТАНДАРТНЫЙ ДВУХМЕСТНЫЙ НОМЕР (МАНСАРДА)</t>
        </is>
      </c>
      <c r="P646" s="6" t="n"/>
      <c r="R646" t="inlineStr"/>
      <c r="S646" t="inlineStr">
        <is>
          <t>Тариф с завтраком</t>
        </is>
      </c>
      <c r="T646" t="n">
        <v>0</v>
      </c>
      <c r="U646" t="n">
        <v>42075</v>
      </c>
    </row>
    <row r="647">
      <c r="A647" t="inlineStr">
        <is>
          <t>20260803-8186-453610722</t>
        </is>
      </c>
      <c r="B647" t="n">
        <v>1</v>
      </c>
      <c r="C647" s="2" t="inlineStr">
        <is>
          <t>Мария Рознер</t>
        </is>
      </c>
      <c r="D647" s="3" t="n">
        <v>6320</v>
      </c>
      <c r="E647" s="4" t="n">
        <v>18</v>
      </c>
      <c r="F647" t="inlineStr">
        <is>
          <t>Яндекс.Путешествия [Чайковский]</t>
        </is>
      </c>
      <c r="G647" s="3">
        <f>ROUND(D647/(100-E647)*100,2)</f>
        <v/>
      </c>
      <c r="H647" s="5" t="n">
        <v>46237.58333333334</v>
      </c>
      <c r="I647" t="n">
        <v>1</v>
      </c>
      <c r="J647" s="3">
        <f>G647/I647</f>
        <v/>
      </c>
      <c r="K647">
        <f>IF(J647&gt;=5100,"ставка","мин.ставка")</f>
        <v/>
      </c>
      <c r="L647" s="3">
        <f>ROUND(IF(K647="мин.ставка",I647*100,G647/102*2),2)</f>
        <v/>
      </c>
      <c r="M647" s="5" t="n">
        <v>46238.5</v>
      </c>
      <c r="N647" t="inlineStr">
        <is>
          <t>TravelLine YAX</t>
        </is>
      </c>
      <c r="O647" s="2" t="inlineStr">
        <is>
          <t>СТАНДАРТНЫЙ ДВУХМЕСТНЫЙ НОМЕР (МАНСАРДА)</t>
        </is>
      </c>
      <c r="P647" s="6" t="n"/>
      <c r="R647" t="inlineStr"/>
      <c r="S647" t="inlineStr">
        <is>
          <t>Тариф с завтраком</t>
        </is>
      </c>
      <c r="T647" t="n">
        <v>0</v>
      </c>
      <c r="U647" t="n">
        <v>6320</v>
      </c>
    </row>
    <row r="648">
      <c r="A648" t="inlineStr">
        <is>
          <t>20260927-8186-468805448</t>
        </is>
      </c>
      <c r="B648" t="n">
        <v>1</v>
      </c>
      <c r="C648" s="2" t="inlineStr">
        <is>
          <t>Мария Сазонова</t>
        </is>
      </c>
      <c r="D648" s="3" t="n">
        <v>6160</v>
      </c>
      <c r="E648" s="4" t="n">
        <v>18</v>
      </c>
      <c r="F648" t="inlineStr">
        <is>
          <t>Яндекс.Путешествия [Чайковский]</t>
        </is>
      </c>
      <c r="G648" s="3">
        <f>ROUND(D648/(100-E648)*100,2)</f>
        <v/>
      </c>
      <c r="H648" s="5" t="n">
        <v>46292.58333333334</v>
      </c>
      <c r="I648" t="n">
        <v>1</v>
      </c>
      <c r="J648" s="3">
        <f>G648/I648</f>
        <v/>
      </c>
      <c r="K648">
        <f>IF(J648&gt;=5100,"ставка","мин.ставка")</f>
        <v/>
      </c>
      <c r="L648" s="3">
        <f>ROUND(IF(K648="мин.ставка",I648*100,G648/102*2),2)</f>
        <v/>
      </c>
      <c r="M648" s="5" t="n">
        <v>46293.5</v>
      </c>
      <c r="N648" t="inlineStr">
        <is>
          <t>TravelLine YAX</t>
        </is>
      </c>
      <c r="O648" s="2" t="inlineStr">
        <is>
          <t>СТАНДАРТНЫЙ ОДНОМЕСТНЫЙ НОМЕР</t>
        </is>
      </c>
      <c r="P648" s="6" t="n"/>
      <c r="R648" t="inlineStr"/>
      <c r="S648" t="inlineStr">
        <is>
          <t>Тариф с завтраком</t>
        </is>
      </c>
      <c r="T648" t="n">
        <v>0</v>
      </c>
      <c r="U648" t="n">
        <v>6160</v>
      </c>
    </row>
    <row r="649">
      <c r="A649" t="inlineStr">
        <is>
          <t>20260813-8186-436955349</t>
        </is>
      </c>
      <c r="B649" t="n">
        <v>1</v>
      </c>
      <c r="C649" s="2" t="inlineStr">
        <is>
          <t>МАРИЯ САММУТ КАБАНОВА, Аня САММУТ КАБАНОВА</t>
        </is>
      </c>
      <c r="D649" s="3" t="n">
        <v>23760</v>
      </c>
      <c r="E649" s="4" t="n">
        <v>18</v>
      </c>
      <c r="F649" t="inlineStr">
        <is>
          <t>Яндекс.Путешествия [Чайковский]</t>
        </is>
      </c>
      <c r="G649" s="3">
        <f>ROUND(D649/(100-E649)*100,2)</f>
        <v/>
      </c>
      <c r="H649" s="5" t="n">
        <v>46247.58333333334</v>
      </c>
      <c r="I649" t="n">
        <v>3</v>
      </c>
      <c r="J649" s="3">
        <f>G649/I649</f>
        <v/>
      </c>
      <c r="K649">
        <f>IF(J649&gt;=5100,"ставка","мин.ставка")</f>
        <v/>
      </c>
      <c r="L649" s="3">
        <f>ROUND(IF(K649="мин.ставка",I649*100,G649/102*2),2)</f>
        <v/>
      </c>
      <c r="M649" s="5" t="n">
        <v>46250.5</v>
      </c>
      <c r="N649" t="inlineStr">
        <is>
          <t>TravelLine YAX</t>
        </is>
      </c>
      <c r="O649" s="2" t="inlineStr">
        <is>
          <t>СТАНДАРТНЫЙ ДВУХМЕСТНЫЙ НОМЕР (МАНСАРДА)</t>
        </is>
      </c>
      <c r="P649" s="6" t="n"/>
      <c r="R649" t="inlineStr"/>
      <c r="S649" t="inlineStr">
        <is>
          <t>Тариф с завтраком</t>
        </is>
      </c>
      <c r="T649" t="n">
        <v>0</v>
      </c>
      <c r="U649" t="n">
        <v>23760</v>
      </c>
    </row>
    <row r="650">
      <c r="A650" t="inlineStr">
        <is>
          <t>20260723-8186-448963382</t>
        </is>
      </c>
      <c r="B650" t="n">
        <v>1</v>
      </c>
      <c r="C650" s="2" t="inlineStr">
        <is>
          <t>МАРИЯ СЕЛИВЕРСТОВА</t>
        </is>
      </c>
      <c r="D650" s="3" t="n">
        <v>40200</v>
      </c>
      <c r="E650" s="4" t="n">
        <v>0</v>
      </c>
      <c r="F650" t="inlineStr">
        <is>
          <t>Прямые бронирования (стойка) [Чайковский]</t>
        </is>
      </c>
      <c r="G650" s="3">
        <f>ROUND(D650/(100-E650)*100,2)</f>
        <v/>
      </c>
      <c r="H650" s="5" t="n">
        <v>46226.58333333334</v>
      </c>
      <c r="I650" t="n">
        <v>3</v>
      </c>
      <c r="J650" s="3">
        <f>G650/I650</f>
        <v/>
      </c>
      <c r="K650">
        <f>IF(J650&gt;=5100,"ставка","мин.ставка")</f>
        <v/>
      </c>
      <c r="L650" s="3">
        <f>ROUND(IF(K650="мин.ставка",I650*100,G650/102*2),2)</f>
        <v/>
      </c>
      <c r="M650" s="5" t="n">
        <v>46229.5</v>
      </c>
      <c r="N650" t="inlineStr">
        <is>
          <t>TravelLine ресепшн</t>
        </is>
      </c>
      <c r="O650" s="2" t="inlineStr">
        <is>
          <t>УЛУЧШЕННЫЙ ДВУХМЕСТНЫЙ НОМЕР</t>
        </is>
      </c>
      <c r="P650" s="6" t="n"/>
      <c r="R650" t="inlineStr"/>
      <c r="S650" t="inlineStr">
        <is>
          <t>Тариф с завтраком</t>
        </is>
      </c>
      <c r="T650" t="n">
        <v>0</v>
      </c>
      <c r="U650" t="n">
        <v>40200</v>
      </c>
    </row>
    <row r="651">
      <c r="A651" t="inlineStr">
        <is>
          <t>20260804-8186-455621888</t>
        </is>
      </c>
      <c r="B651" t="n">
        <v>1</v>
      </c>
      <c r="C651" s="2" t="inlineStr">
        <is>
          <t>Мария Семенова</t>
        </is>
      </c>
      <c r="D651" s="3" t="n">
        <v>6557</v>
      </c>
      <c r="E651" s="4" t="n">
        <v>18</v>
      </c>
      <c r="F651" t="inlineStr">
        <is>
          <t>Яндекс.Путешествия [Чайковский]</t>
        </is>
      </c>
      <c r="G651" s="3">
        <f>ROUND(D651/(100-E651)*100,2)</f>
        <v/>
      </c>
      <c r="H651" s="5" t="n">
        <v>46238.58333333334</v>
      </c>
      <c r="I651" t="n">
        <v>1</v>
      </c>
      <c r="J651" s="3">
        <f>G651/I651</f>
        <v/>
      </c>
      <c r="K651">
        <f>IF(J651&gt;=5100,"ставка","мин.ставка")</f>
        <v/>
      </c>
      <c r="L651" s="3">
        <f>ROUND(IF(K651="мин.ставка",I651*100,G651/102*2),2)</f>
        <v/>
      </c>
      <c r="M651" s="5" t="n">
        <v>46239.5</v>
      </c>
      <c r="N651" t="inlineStr">
        <is>
          <t>TravelLine YAX</t>
        </is>
      </c>
      <c r="O651" s="2" t="inlineStr">
        <is>
          <t>СТАНДАРТНЫЙ ДВУХМЕСТНЫЙ НОМЕР (МАНСАРДА)</t>
        </is>
      </c>
      <c r="P651" s="6" t="n"/>
      <c r="R651" t="inlineStr"/>
      <c r="S651" t="inlineStr">
        <is>
          <t>Тариф с завтраком</t>
        </is>
      </c>
      <c r="T651" t="n">
        <v>0</v>
      </c>
      <c r="U651" t="n">
        <v>6557</v>
      </c>
    </row>
    <row r="652">
      <c r="A652" t="inlineStr">
        <is>
          <t>20260701-8186-442331561</t>
        </is>
      </c>
      <c r="B652" t="n">
        <v>1</v>
      </c>
      <c r="C652" s="2" t="inlineStr">
        <is>
          <t>МАРИЯ ХРОМОВА, ВИКТОРИЯ СЕМЕНОВА</t>
        </is>
      </c>
      <c r="D652" s="3" t="n">
        <v>13350</v>
      </c>
      <c r="E652" s="4" t="n">
        <v>0</v>
      </c>
      <c r="F652" t="inlineStr">
        <is>
          <t>Прямые бронирования (стойка) [Чайковский]</t>
        </is>
      </c>
      <c r="G652" s="3">
        <f>ROUND(D652/(100-E652)*100,2)</f>
        <v/>
      </c>
      <c r="H652" s="5" t="n">
        <v>46204.58333333334</v>
      </c>
      <c r="I652" t="n">
        <v>1</v>
      </c>
      <c r="J652" s="3">
        <f>G652/I652</f>
        <v/>
      </c>
      <c r="K652">
        <f>IF(J652&gt;=5100,"ставка","мин.ставка")</f>
        <v/>
      </c>
      <c r="L652" s="3">
        <f>ROUND(IF(K652="мин.ставка",I652*100,G652/102*2),2)</f>
        <v/>
      </c>
      <c r="M652" s="5" t="n">
        <v>46205.5</v>
      </c>
      <c r="N652" t="inlineStr">
        <is>
          <t>TravelLine ресепшн</t>
        </is>
      </c>
      <c r="O652" s="2" t="inlineStr">
        <is>
          <t>СТАНДАРТНЫЙ ДВУХМЕСТНЫЙ НОМЕР</t>
        </is>
      </c>
      <c r="P652" s="6" t="n"/>
      <c r="R652" t="inlineStr"/>
      <c r="S652" t="inlineStr">
        <is>
          <t>Тариф с завтраком</t>
        </is>
      </c>
      <c r="T652" t="n">
        <v>0</v>
      </c>
      <c r="U652" t="n">
        <v>13350</v>
      </c>
    </row>
    <row r="653">
      <c r="A653" t="inlineStr">
        <is>
          <t>20260910-8186-427551341</t>
        </is>
      </c>
      <c r="B653" t="n">
        <v>1</v>
      </c>
      <c r="C653" s="2" t="inlineStr">
        <is>
          <t>Мария Штыркина, Ольга Мулдашева</t>
        </is>
      </c>
      <c r="D653" s="3" t="n">
        <v>36045</v>
      </c>
      <c r="E653" s="4" t="n">
        <v>0</v>
      </c>
      <c r="F653" t="inlineStr">
        <is>
          <t>Прямые бронирования (стойка) [Чайковский]</t>
        </is>
      </c>
      <c r="G653" s="3">
        <f>ROUND(D653/(100-E653)*100,2)</f>
        <v/>
      </c>
      <c r="H653" s="5" t="n">
        <v>46275.58333333334</v>
      </c>
      <c r="I653" t="n">
        <v>3</v>
      </c>
      <c r="J653" s="3">
        <f>G653/I653</f>
        <v/>
      </c>
      <c r="K653">
        <f>IF(J653&gt;=5100,"ставка","мин.ставка")</f>
        <v/>
      </c>
      <c r="L653" s="3">
        <f>ROUND(IF(K653="мин.ставка",I653*100,G653/102*2),2)</f>
        <v/>
      </c>
      <c r="M653" s="5" t="n">
        <v>46278.5</v>
      </c>
      <c r="N653" t="inlineStr">
        <is>
          <t>TravelLine ресепшн</t>
        </is>
      </c>
      <c r="O653" s="2" t="inlineStr">
        <is>
          <t>СТАНДАРТНЫЙ ДВУХМЕСТНЫЙ НОМЕР</t>
        </is>
      </c>
      <c r="P653" s="6" t="n"/>
      <c r="R653" t="inlineStr"/>
      <c r="S653" t="inlineStr">
        <is>
          <t>Тариф с завтраком</t>
        </is>
      </c>
      <c r="T653" t="n">
        <v>0</v>
      </c>
      <c r="U653" t="n">
        <v>216270</v>
      </c>
    </row>
    <row r="654">
      <c r="A654" t="inlineStr">
        <is>
          <t>20260813-8186-456350100</t>
        </is>
      </c>
      <c r="B654" t="n">
        <v>1</v>
      </c>
      <c r="C654" s="2" t="inlineStr">
        <is>
          <t>Матвей Фролов, Мария Фролова</t>
        </is>
      </c>
      <c r="D654" s="3" t="n">
        <v>64080</v>
      </c>
      <c r="E654" s="4" t="n">
        <v>20</v>
      </c>
      <c r="F654" t="inlineStr">
        <is>
          <t>ООО "КОМПАНИЯ БРОНЕВИК" [Чайковский]</t>
        </is>
      </c>
      <c r="G654" s="3">
        <f>ROUND(D654/(100-E654)*100,2)</f>
        <v/>
      </c>
      <c r="H654" s="5" t="n">
        <v>46247.58333333334</v>
      </c>
      <c r="I654" t="n">
        <v>6</v>
      </c>
      <c r="J654" s="3">
        <f>G654/I654</f>
        <v/>
      </c>
      <c r="K654">
        <f>IF(J654&gt;=5100,"ставка","мин.ставка")</f>
        <v/>
      </c>
      <c r="L654" s="3">
        <f>ROUND(IF(K654="мин.ставка",I654*100,G654/102*2),2)</f>
        <v/>
      </c>
      <c r="M654" s="5" t="n">
        <v>46253.5</v>
      </c>
      <c r="N654" t="inlineStr">
        <is>
          <t>TravelLine BR2</t>
        </is>
      </c>
      <c r="O654" s="2" t="inlineStr">
        <is>
          <t>СТАНДАРТНЫЙ ДВУХМЕСТНЫЙ НОМЕР</t>
        </is>
      </c>
      <c r="P654" s="6" t="n"/>
      <c r="R654" t="inlineStr"/>
      <c r="S654" t="inlineStr">
        <is>
          <t>Тариф с завтраком</t>
        </is>
      </c>
      <c r="T654" t="n">
        <v>0</v>
      </c>
      <c r="U654" t="n">
        <v>64080</v>
      </c>
    </row>
    <row r="655">
      <c r="A655" t="inlineStr">
        <is>
          <t>20260810-8186-457515494</t>
        </is>
      </c>
      <c r="B655" t="n">
        <v>1</v>
      </c>
      <c r="C655" s="2" t="inlineStr">
        <is>
          <t>Михаил Дворкин, Мария Леевик, Герман Дворкин</t>
        </is>
      </c>
      <c r="D655" s="3" t="n">
        <v>14317.5</v>
      </c>
      <c r="E655" s="4" t="n">
        <v>17</v>
      </c>
      <c r="F655" t="inlineStr">
        <is>
          <t>ООО «Интернет Трэвел» (OZON) [Чайковский]</t>
        </is>
      </c>
      <c r="G655" s="3">
        <f>ROUND(D655/(100-E655)*100,2)</f>
        <v/>
      </c>
      <c r="H655" s="5" t="n">
        <v>46244.58333333334</v>
      </c>
      <c r="I655" t="n">
        <v>1</v>
      </c>
      <c r="J655" s="3">
        <f>G655/I655</f>
        <v/>
      </c>
      <c r="K655">
        <f>IF(J655&gt;=5100,"ставка","мин.ставка")</f>
        <v/>
      </c>
      <c r="L655" s="3">
        <f>ROUND(IF(K655="мин.ставка",I655*100,G655/102*2),2)</f>
        <v/>
      </c>
      <c r="M655" s="5" t="n">
        <v>46245.5</v>
      </c>
      <c r="N655" t="inlineStr">
        <is>
          <t>TravelLine OZ2</t>
        </is>
      </c>
      <c r="O655" s="2" t="inlineStr">
        <is>
          <t>СЕМЕЙНЫЙ НОМЕР КАТЕГОРИИ "СТАНДАРТ" ВТОРОЙ КОРПУС</t>
        </is>
      </c>
      <c r="P655" s="6" t="n"/>
      <c r="R655" t="inlineStr"/>
      <c r="S655" t="inlineStr">
        <is>
          <t>Тариф с завтраком</t>
        </is>
      </c>
      <c r="T655" t="n">
        <v>0</v>
      </c>
      <c r="U655" t="n">
        <v>14317.5</v>
      </c>
    </row>
    <row r="656">
      <c r="A656" t="inlineStr">
        <is>
          <t>20260731-8186-450039766</t>
        </is>
      </c>
      <c r="B656" t="n">
        <v>1</v>
      </c>
      <c r="C656" s="2" t="inlineStr">
        <is>
          <t>Михаил Запальский</t>
        </is>
      </c>
      <c r="D656" s="3" t="n">
        <v>15555.1</v>
      </c>
      <c r="E656" s="4" t="n">
        <v>4</v>
      </c>
      <c r="F656" t="inlineStr">
        <is>
          <t>TravelLine Booking Engine [Чайковский]</t>
        </is>
      </c>
      <c r="G656" s="3">
        <f>ROUND(D656/(100-E656)*100,2)</f>
        <v/>
      </c>
      <c r="H656" s="5" t="n">
        <v>46234.58333333334</v>
      </c>
      <c r="I656" t="n">
        <v>2</v>
      </c>
      <c r="J656" s="3">
        <f>G656/I656</f>
        <v/>
      </c>
      <c r="K656">
        <f>IF(J656&gt;=5100,"ставка","мин.ставка")</f>
        <v/>
      </c>
      <c r="L656" s="3">
        <f>ROUND(IF(K656="мин.ставка",I656*100,G656/102*2),2)</f>
        <v/>
      </c>
      <c r="M656" s="5" t="n">
        <v>46236.5</v>
      </c>
      <c r="N656" t="inlineStr">
        <is>
          <t>TravelLine сайт</t>
        </is>
      </c>
      <c r="O656" s="2" t="inlineStr">
        <is>
          <t>СТАНДАРТНЫЙ ДВУХМЕСТНЫЙ НОМЕР (МАНСАРДА)</t>
        </is>
      </c>
      <c r="P656" s="6" t="n"/>
      <c r="R656" t="inlineStr"/>
      <c r="S656" t="inlineStr">
        <is>
          <t>Тариф с завтраком</t>
        </is>
      </c>
      <c r="T656" t="n">
        <v>0</v>
      </c>
      <c r="U656" t="n">
        <v>15555.1</v>
      </c>
    </row>
    <row r="657">
      <c r="A657" t="inlineStr">
        <is>
          <t>20260721-8186-421839122</t>
        </is>
      </c>
      <c r="B657" t="n">
        <v>1</v>
      </c>
      <c r="C657" s="2" t="inlineStr">
        <is>
          <t>МИХАИЛ ИНЯКИН, АЛЕКСАНДРА КОЗЛОВА</t>
        </is>
      </c>
      <c r="D657" s="3" t="n">
        <v>64080</v>
      </c>
      <c r="E657" s="4" t="n">
        <v>0</v>
      </c>
      <c r="F657" t="inlineStr">
        <is>
          <t>Прямые бронирования (стойка) [Чайковский]</t>
        </is>
      </c>
      <c r="G657" s="3">
        <f>ROUND(D657/(100-E657)*100,2)</f>
        <v/>
      </c>
      <c r="H657" s="5" t="n">
        <v>46224.58333333334</v>
      </c>
      <c r="I657" t="n">
        <v>6</v>
      </c>
      <c r="J657" s="3">
        <f>G657/I657</f>
        <v/>
      </c>
      <c r="K657">
        <f>IF(J657&gt;=5100,"ставка","мин.ставка")</f>
        <v/>
      </c>
      <c r="L657" s="3">
        <f>ROUND(IF(K657="мин.ставка",I657*100,G657/102*2),2)</f>
        <v/>
      </c>
      <c r="M657" s="5" t="n">
        <v>46230.5</v>
      </c>
      <c r="N657" t="inlineStr">
        <is>
          <t>TravelLine ресепшн</t>
        </is>
      </c>
      <c r="O657" s="2" t="inlineStr">
        <is>
          <t>СТАНДАРТНЫЙ ДВУХМЕСТНЫЙ НОМЕР</t>
        </is>
      </c>
      <c r="P657" s="6" t="n"/>
      <c r="R657" t="inlineStr"/>
      <c r="S657" t="inlineStr">
        <is>
          <t>Тариф с завтраком</t>
        </is>
      </c>
      <c r="T657" t="n">
        <v>0</v>
      </c>
      <c r="U657" t="n">
        <v>64080</v>
      </c>
    </row>
    <row r="658">
      <c r="A658" t="inlineStr">
        <is>
          <t>20260824-8186-450244783</t>
        </is>
      </c>
      <c r="B658" t="n">
        <v>1</v>
      </c>
      <c r="C658" s="2" t="inlineStr">
        <is>
          <t>Михаил Каюмов</t>
        </is>
      </c>
      <c r="D658" s="3" t="n">
        <v>6160</v>
      </c>
      <c r="E658" s="4" t="n">
        <v>20</v>
      </c>
      <c r="F658" t="inlineStr">
        <is>
          <t>ООО "КОМПАНИЯ БРОНЕВИК" [Чайковский]</t>
        </is>
      </c>
      <c r="G658" s="3">
        <f>ROUND(D658/(100-E658)*100,2)</f>
        <v/>
      </c>
      <c r="H658" s="5" t="n">
        <v>46258.58333333334</v>
      </c>
      <c r="I658" t="n">
        <v>1</v>
      </c>
      <c r="J658" s="3">
        <f>G658/I658</f>
        <v/>
      </c>
      <c r="K658">
        <f>IF(J658&gt;=5100,"ставка","мин.ставка")</f>
        <v/>
      </c>
      <c r="L658" s="3">
        <f>ROUND(IF(K658="мин.ставка",I658*100,G658/102*2),2)</f>
        <v/>
      </c>
      <c r="M658" s="5" t="n">
        <v>46259.5</v>
      </c>
      <c r="N658" t="inlineStr">
        <is>
          <t>TravelLine BR2</t>
        </is>
      </c>
      <c r="O658" s="2" t="inlineStr">
        <is>
          <t>СТАНДАРТНЫЙ ОДНОМЕСТНЫЙ НОМЕР</t>
        </is>
      </c>
      <c r="P658" s="6" t="n"/>
      <c r="R658" t="inlineStr"/>
      <c r="S658" t="inlineStr">
        <is>
          <t>Тариф с завтраком</t>
        </is>
      </c>
      <c r="T658" t="n">
        <v>0</v>
      </c>
      <c r="U658" t="n">
        <v>6160</v>
      </c>
    </row>
    <row r="659">
      <c r="A659" t="inlineStr">
        <is>
          <t>20260705-8186-420485306</t>
        </is>
      </c>
      <c r="B659" t="n">
        <v>1</v>
      </c>
      <c r="C659" s="2" t="inlineStr">
        <is>
          <t>МИХАИЛ КОРСАКОВ, ЕЛЕНА Осипова</t>
        </is>
      </c>
      <c r="D659" s="3" t="n">
        <v>13350</v>
      </c>
      <c r="E659" s="4" t="n">
        <v>0</v>
      </c>
      <c r="F659" t="inlineStr">
        <is>
          <t>Прямые бронирования (стойка) [Чайковский]</t>
        </is>
      </c>
      <c r="G659" s="3">
        <f>ROUND(D659/(100-E659)*100,2)</f>
        <v/>
      </c>
      <c r="H659" s="5" t="n">
        <v>46208.58333333334</v>
      </c>
      <c r="I659" t="n">
        <v>1</v>
      </c>
      <c r="J659" s="3">
        <f>G659/I659</f>
        <v/>
      </c>
      <c r="K659">
        <f>IF(J659&gt;=5100,"ставка","мин.ставка")</f>
        <v/>
      </c>
      <c r="L659" s="3">
        <f>ROUND(IF(K659="мин.ставка",I659*100,G659/102*2),2)</f>
        <v/>
      </c>
      <c r="M659" s="5" t="n">
        <v>46209.5</v>
      </c>
      <c r="N659" t="inlineStr">
        <is>
          <t>TravelLine ресепшн</t>
        </is>
      </c>
      <c r="O659" s="2" t="inlineStr">
        <is>
          <t>СТАНДАРТНЫЙ ДВУХМЕСТНЫЙ НОМЕР</t>
        </is>
      </c>
      <c r="P659" s="6" t="n"/>
      <c r="R659" t="inlineStr"/>
      <c r="S659" t="inlineStr">
        <is>
          <t>Тариф с завтраком</t>
        </is>
      </c>
      <c r="T659" t="n">
        <v>0</v>
      </c>
      <c r="U659" t="n">
        <v>13350</v>
      </c>
    </row>
    <row r="660">
      <c r="A660" t="inlineStr">
        <is>
          <t>20260707-8186-438267525</t>
        </is>
      </c>
      <c r="B660" t="n">
        <v>1</v>
      </c>
      <c r="C660" s="2" t="inlineStr">
        <is>
          <t>МИХАИЛ МОРОЗОВ, Полина Морозова</t>
        </is>
      </c>
      <c r="D660" s="3" t="n">
        <v>66750</v>
      </c>
      <c r="E660" s="4" t="n">
        <v>0</v>
      </c>
      <c r="F660" t="inlineStr">
        <is>
          <t>Прямые бронирования (стойка) [Чайковский]</t>
        </is>
      </c>
      <c r="G660" s="3">
        <f>ROUND(D660/(100-E660)*100,2)</f>
        <v/>
      </c>
      <c r="H660" s="5" t="n">
        <v>46210.58333333334</v>
      </c>
      <c r="I660" t="n">
        <v>5</v>
      </c>
      <c r="J660" s="3">
        <f>G660/I660</f>
        <v/>
      </c>
      <c r="K660">
        <f>IF(J660&gt;=5100,"ставка","мин.ставка")</f>
        <v/>
      </c>
      <c r="L660" s="3">
        <f>ROUND(IF(K660="мин.ставка",I660*100,G660/102*2),2)</f>
        <v/>
      </c>
      <c r="M660" s="5" t="n">
        <v>46215.5</v>
      </c>
      <c r="N660" t="inlineStr">
        <is>
          <t>TravelLine ресепшн</t>
        </is>
      </c>
      <c r="O660" s="2" t="inlineStr">
        <is>
          <t>СТАНДАРТНЫЙ ДВУХМЕСТНЫЙ НОМЕР</t>
        </is>
      </c>
      <c r="P660" s="6" t="n"/>
      <c r="R660" t="inlineStr"/>
      <c r="S660" t="inlineStr">
        <is>
          <t>Тариф с завтраком</t>
        </is>
      </c>
      <c r="T660" t="n">
        <v>400</v>
      </c>
      <c r="U660" t="n">
        <v>67150</v>
      </c>
    </row>
    <row r="661">
      <c r="A661" t="inlineStr">
        <is>
          <t>20260817-8186-435147824</t>
        </is>
      </c>
      <c r="B661" t="n">
        <v>1</v>
      </c>
      <c r="C661" s="2" t="inlineStr">
        <is>
          <t>Михаил Полежаев, МАРИЯ ПОЛЕЖАЕВА</t>
        </is>
      </c>
      <c r="D661" s="3" t="n">
        <v>40460</v>
      </c>
      <c r="E661" s="4" t="n">
        <v>0</v>
      </c>
      <c r="F661" t="inlineStr">
        <is>
          <t>Прямые бронирования (стойка) [Чайковский]</t>
        </is>
      </c>
      <c r="G661" s="3">
        <f>ROUND(D661/(100-E661)*100,2)</f>
        <v/>
      </c>
      <c r="H661" s="5" t="n">
        <v>46251.58333333334</v>
      </c>
      <c r="I661" t="n">
        <v>3</v>
      </c>
      <c r="J661" s="3">
        <f>G661/I661</f>
        <v/>
      </c>
      <c r="K661">
        <f>IF(J661&gt;=5100,"ставка","мин.ставка")</f>
        <v/>
      </c>
      <c r="L661" s="3">
        <f>ROUND(IF(K661="мин.ставка",I661*100,G661/102*2),2)</f>
        <v/>
      </c>
      <c r="M661" s="5" t="n">
        <v>46254.5</v>
      </c>
      <c r="N661" t="inlineStr">
        <is>
          <t>TravelLine ресепшн</t>
        </is>
      </c>
      <c r="O661" s="2" t="inlineStr">
        <is>
          <t>СЕМЕЙНЫЙ НОМЕР КАТЕГОРИИ "СТАНДАРТ" ВТОРОЙ КОРПУС</t>
        </is>
      </c>
      <c r="P661" s="6" t="n"/>
      <c r="R661" t="inlineStr"/>
      <c r="S661" t="inlineStr">
        <is>
          <t>Тариф с завтраком</t>
        </is>
      </c>
      <c r="T661" t="n">
        <v>19800</v>
      </c>
      <c r="U661" t="n">
        <v>60260</v>
      </c>
    </row>
    <row r="662">
      <c r="A662" t="inlineStr">
        <is>
          <t>20260817-8186-459136649</t>
        </is>
      </c>
      <c r="B662" t="n">
        <v>1</v>
      </c>
      <c r="C662" s="2" t="inlineStr">
        <is>
          <t>МИХАИЛ ПРОНИН</t>
        </is>
      </c>
      <c r="D662" s="3" t="n">
        <v>23100</v>
      </c>
      <c r="E662" s="4" t="n">
        <v>0</v>
      </c>
      <c r="F662" t="inlineStr">
        <is>
          <t>Прямые бронирования (стойка) [Чайковский]</t>
        </is>
      </c>
      <c r="G662" s="3">
        <f>ROUND(D662/(100-E662)*100,2)</f>
        <v/>
      </c>
      <c r="H662" s="5" t="n">
        <v>46251.58333333334</v>
      </c>
      <c r="I662" t="n">
        <v>3</v>
      </c>
      <c r="J662" s="3">
        <f>G662/I662</f>
        <v/>
      </c>
      <c r="K662">
        <f>IF(J662&gt;=5100,"ставка","мин.ставка")</f>
        <v/>
      </c>
      <c r="L662" s="3">
        <f>ROUND(IF(K662="мин.ставка",I662*100,G662/102*2),2)</f>
        <v/>
      </c>
      <c r="M662" s="5" t="n">
        <v>46254.5</v>
      </c>
      <c r="N662" t="inlineStr">
        <is>
          <t>TravelLine ресепшн</t>
        </is>
      </c>
      <c r="O662" s="2" t="inlineStr">
        <is>
          <t>СТАНДАРТНЫЙ ОДНОМЕСТНЫЙ НОМЕР</t>
        </is>
      </c>
      <c r="P662" s="6" t="n"/>
      <c r="R662" t="inlineStr"/>
      <c r="S662" t="inlineStr">
        <is>
          <t>Тариф с завтраком</t>
        </is>
      </c>
      <c r="T662" t="n">
        <v>0</v>
      </c>
      <c r="U662" t="n">
        <v>23100</v>
      </c>
    </row>
    <row r="663">
      <c r="A663" t="inlineStr">
        <is>
          <t>20260803-8186-429997810</t>
        </is>
      </c>
      <c r="B663" t="n">
        <v>1</v>
      </c>
      <c r="C663" s="2" t="inlineStr">
        <is>
          <t>Михаил Селецкий, Анна Гордеева</t>
        </is>
      </c>
      <c r="D663" s="3" t="n">
        <v>39270</v>
      </c>
      <c r="E663" s="4" t="n">
        <v>16</v>
      </c>
      <c r="F663" t="inlineStr">
        <is>
          <t>ООО "БРОНИРОВАНИЕ ГОСТИНИЦ" (OSTROVOK) [Чайковский]</t>
        </is>
      </c>
      <c r="G663" s="3">
        <f>ROUND(D663/(100-E663)*100,2)</f>
        <v/>
      </c>
      <c r="H663" s="5" t="n">
        <v>46237.58333333334</v>
      </c>
      <c r="I663" t="n">
        <v>3</v>
      </c>
      <c r="J663" s="3">
        <f>G663/I663</f>
        <v/>
      </c>
      <c r="K663">
        <f>IF(J663&gt;=5100,"ставка","мин.ставка")</f>
        <v/>
      </c>
      <c r="L663" s="3">
        <f>ROUND(IF(K663="мин.ставка",I663*100,G663/102*2),2)</f>
        <v/>
      </c>
      <c r="M663" s="5" t="n">
        <v>46240.5</v>
      </c>
      <c r="N663" t="inlineStr">
        <is>
          <t>TravelLine OTK</t>
        </is>
      </c>
      <c r="O663" s="2" t="inlineStr">
        <is>
          <t>УЛУЧШЕННЫЙ ДВУХМЕСТНЫЙ НОМЕР</t>
        </is>
      </c>
      <c r="P663" s="6" t="n"/>
      <c r="R663" t="inlineStr"/>
      <c r="S663" t="inlineStr">
        <is>
          <t>Тариф с завтраком</t>
        </is>
      </c>
      <c r="T663" t="n">
        <v>0</v>
      </c>
      <c r="U663" t="n">
        <v>39270</v>
      </c>
    </row>
    <row r="664">
      <c r="A664" t="inlineStr">
        <is>
          <t>20260924-8186-447704409</t>
        </is>
      </c>
      <c r="B664" t="n">
        <v>1</v>
      </c>
      <c r="C664" s="2" t="inlineStr">
        <is>
          <t>Михаил Терехов, Алена Терехова</t>
        </is>
      </c>
      <c r="D664" s="3" t="n">
        <v>23760</v>
      </c>
      <c r="E664" s="4" t="n">
        <v>18</v>
      </c>
      <c r="F664" t="inlineStr">
        <is>
          <t>Яндекс.Путешествия [Чайковский]</t>
        </is>
      </c>
      <c r="G664" s="3">
        <f>ROUND(D664/(100-E664)*100,2)</f>
        <v/>
      </c>
      <c r="H664" s="5" t="n">
        <v>46289.58333333334</v>
      </c>
      <c r="I664" t="n">
        <v>3</v>
      </c>
      <c r="J664" s="3">
        <f>G664/I664</f>
        <v/>
      </c>
      <c r="K664">
        <f>IF(J664&gt;=5100,"ставка","мин.ставка")</f>
        <v/>
      </c>
      <c r="L664" s="3">
        <f>ROUND(IF(K664="мин.ставка",I664*100,G664/102*2),2)</f>
        <v/>
      </c>
      <c r="M664" s="5" t="n">
        <v>46292.5</v>
      </c>
      <c r="N664" t="inlineStr">
        <is>
          <t>TravelLine YAX</t>
        </is>
      </c>
      <c r="O664" s="2" t="inlineStr">
        <is>
          <t>СТАНДАРТНЫЙ ДВУХМЕСТНЫЙ НОМЕР (МАНСАРДА)</t>
        </is>
      </c>
      <c r="P664" s="6" t="n"/>
      <c r="R664" t="inlineStr"/>
      <c r="S664" t="inlineStr">
        <is>
          <t>Тариф с завтраком</t>
        </is>
      </c>
      <c r="T664" t="n">
        <v>0</v>
      </c>
      <c r="U664" t="n">
        <v>23760</v>
      </c>
    </row>
    <row r="665">
      <c r="A665" t="inlineStr">
        <is>
          <t>20260905-8186-460961015</t>
        </is>
      </c>
      <c r="B665" t="n">
        <v>1</v>
      </c>
      <c r="C665" s="2" t="inlineStr">
        <is>
          <t>Михаил Фролов, Оксана Фролова</t>
        </is>
      </c>
      <c r="D665" s="3" t="n">
        <v>88644</v>
      </c>
      <c r="E665" s="4" t="n">
        <v>17</v>
      </c>
      <c r="F665" t="inlineStr">
        <is>
          <t>ООО «Интернет Трэвел» (OZON) [Чайковский]</t>
        </is>
      </c>
      <c r="G665" s="3">
        <f>ROUND(D665/(100-E665)*100,2)</f>
        <v/>
      </c>
      <c r="H665" s="5" t="n">
        <v>46270.58333333334</v>
      </c>
      <c r="I665" t="n">
        <v>8</v>
      </c>
      <c r="J665" s="3">
        <f>G665/I665</f>
        <v/>
      </c>
      <c r="K665">
        <f>IF(J665&gt;=5100,"ставка","мин.ставка")</f>
        <v/>
      </c>
      <c r="L665" s="3">
        <f>ROUND(IF(K665="мин.ставка",I665*100,G665/102*2),2)</f>
        <v/>
      </c>
      <c r="M665" s="5" t="n">
        <v>46278.5</v>
      </c>
      <c r="N665" t="inlineStr">
        <is>
          <t>TravelLine OZ2</t>
        </is>
      </c>
      <c r="O665" s="2" t="inlineStr">
        <is>
          <t>СТАНДАРТНЫЙ ДВУХМЕСТНЫЙ НОМЕР</t>
        </is>
      </c>
      <c r="P665" s="6" t="n"/>
      <c r="R665" t="inlineStr"/>
      <c r="S665" t="inlineStr">
        <is>
          <t>Тариф с завтраком</t>
        </is>
      </c>
      <c r="T665" t="n">
        <v>0</v>
      </c>
      <c r="U665" t="n">
        <v>88644</v>
      </c>
    </row>
    <row r="666">
      <c r="A666" t="inlineStr">
        <is>
          <t>20260720-8186-410208436</t>
        </is>
      </c>
      <c r="B666" t="n">
        <v>1</v>
      </c>
      <c r="C666" s="2" t="inlineStr">
        <is>
          <t>Михаил Чистяков, Алексей Чистяков</t>
        </is>
      </c>
      <c r="D666" s="3" t="n">
        <v>56826</v>
      </c>
      <c r="E666" s="4" t="n">
        <v>18</v>
      </c>
      <c r="F666" t="inlineStr">
        <is>
          <t>Яндекс.Путешествия [Чайковский]</t>
        </is>
      </c>
      <c r="G666" s="3">
        <f>ROUND(D666/(100-E666)*100,2)</f>
        <v/>
      </c>
      <c r="H666" s="5" t="n">
        <v>46223.58333333334</v>
      </c>
      <c r="I666" t="n">
        <v>7</v>
      </c>
      <c r="J666" s="3">
        <f>G666/I666</f>
        <v/>
      </c>
      <c r="K666">
        <f>IF(J666&gt;=5100,"ставка","мин.ставка")</f>
        <v/>
      </c>
      <c r="L666" s="3">
        <f>ROUND(IF(K666="мин.ставка",I666*100,G666/102*2),2)</f>
        <v/>
      </c>
      <c r="M666" s="5" t="n">
        <v>46230.5</v>
      </c>
      <c r="N666" t="inlineStr">
        <is>
          <t>TravelLine YAX</t>
        </is>
      </c>
      <c r="O666" s="2" t="inlineStr">
        <is>
          <t>СТАНДАРТНЫЙ ДВУХМЕСТНЫЙ НОМЕР (МАНСАРДА)</t>
        </is>
      </c>
      <c r="P666" s="6" t="n"/>
      <c r="R666" t="inlineStr"/>
      <c r="S666" t="inlineStr">
        <is>
          <t>Тариф с завтраком</t>
        </is>
      </c>
      <c r="T666" t="n">
        <v>0</v>
      </c>
      <c r="U666" t="n">
        <v>113652</v>
      </c>
    </row>
    <row r="667">
      <c r="A667" t="inlineStr">
        <is>
          <t>20260702-8186-446408397</t>
        </is>
      </c>
      <c r="B667" t="n">
        <v>1</v>
      </c>
      <c r="C667" s="2" t="inlineStr">
        <is>
          <t>мохнов мохнов</t>
        </is>
      </c>
      <c r="D667" s="3" t="n">
        <v>14240</v>
      </c>
      <c r="E667" s="4" t="n">
        <v>0</v>
      </c>
      <c r="F667" t="inlineStr">
        <is>
          <t>Прямые бронирования (стойка) [Чайковский]</t>
        </is>
      </c>
      <c r="G667" s="3">
        <f>ROUND(D667/(100-E667)*100,2)</f>
        <v/>
      </c>
      <c r="H667" s="5" t="n">
        <v>46205.58333333334</v>
      </c>
      <c r="I667" t="n">
        <v>1</v>
      </c>
      <c r="J667" s="3">
        <f>G667/I667</f>
        <v/>
      </c>
      <c r="K667">
        <f>IF(J667&gt;=5100,"ставка","мин.ставка")</f>
        <v/>
      </c>
      <c r="L667" s="3">
        <f>ROUND(IF(K667="мин.ставка",I667*100,G667/102*2),2)</f>
        <v/>
      </c>
      <c r="M667" s="5" t="n">
        <v>46206.5</v>
      </c>
      <c r="N667" t="inlineStr">
        <is>
          <t>TravelLine ресепшн</t>
        </is>
      </c>
      <c r="O667" s="2" t="inlineStr">
        <is>
          <t>ЛЮКС ВТОРОЙ КОРПУС</t>
        </is>
      </c>
      <c r="P667" s="6" t="n"/>
      <c r="R667" t="inlineStr"/>
      <c r="S667" t="inlineStr">
        <is>
          <t>Тариф с завтраком</t>
        </is>
      </c>
      <c r="T667" t="n">
        <v>0</v>
      </c>
      <c r="U667" t="n">
        <v>14240</v>
      </c>
    </row>
    <row r="668">
      <c r="A668" t="inlineStr">
        <is>
          <t>20260822-8186-427442163</t>
        </is>
      </c>
      <c r="B668" t="n">
        <v>1</v>
      </c>
      <c r="C668" s="2" t="inlineStr">
        <is>
          <t>МУРАТ ГАНЕЕВ, ИРИНА АБРАМОВА</t>
        </is>
      </c>
      <c r="D668" s="3" t="n">
        <v>68174</v>
      </c>
      <c r="E668" s="4" t="n">
        <v>17</v>
      </c>
      <c r="F668" t="inlineStr">
        <is>
          <t>ООО "ОНЛАЙН ИННОВАЦИИ" (101 Отель) [Чайковский]</t>
        </is>
      </c>
      <c r="G668" s="3">
        <f>ROUND(D668/(100-E668)*100,2)</f>
        <v/>
      </c>
      <c r="H668" s="5" t="n">
        <v>46256.58333333334</v>
      </c>
      <c r="I668" t="n">
        <v>4</v>
      </c>
      <c r="J668" s="3">
        <f>G668/I668</f>
        <v/>
      </c>
      <c r="K668">
        <f>IF(J668&gt;=5100,"ставка","мин.ставка")</f>
        <v/>
      </c>
      <c r="L668" s="3">
        <f>ROUND(IF(K668="мин.ставка",I668*100,G668/102*2),2)</f>
        <v/>
      </c>
      <c r="M668" s="5" t="n">
        <v>46260.5</v>
      </c>
      <c r="N668" t="inlineStr">
        <is>
          <t>TravelLine H1C</t>
        </is>
      </c>
      <c r="O668" s="2" t="inlineStr">
        <is>
          <t>ЛЮКС</t>
        </is>
      </c>
      <c r="P668" s="6" t="n"/>
      <c r="R668" t="inlineStr"/>
      <c r="S668" t="inlineStr">
        <is>
          <t>Тариф с завтраком</t>
        </is>
      </c>
      <c r="T668" t="n">
        <v>0</v>
      </c>
      <c r="U668" t="n">
        <v>68174</v>
      </c>
    </row>
    <row r="669">
      <c r="A669" t="inlineStr">
        <is>
          <t>20260730-8186-437645974</t>
        </is>
      </c>
      <c r="B669" t="n">
        <v>1</v>
      </c>
      <c r="C669" s="2" t="inlineStr">
        <is>
          <t>Надежда Великанова</t>
        </is>
      </c>
      <c r="D669" s="3" t="n">
        <v>13149.75</v>
      </c>
      <c r="E669" s="4" t="n">
        <v>4</v>
      </c>
      <c r="F669" t="inlineStr">
        <is>
          <t>TravelLine Booking Engine [Чайковский]</t>
        </is>
      </c>
      <c r="G669" s="3">
        <f>ROUND(D669/(100-E669)*100,2)</f>
        <v/>
      </c>
      <c r="H669" s="5" t="n">
        <v>46233.58333333334</v>
      </c>
      <c r="I669" t="n">
        <v>1</v>
      </c>
      <c r="J669" s="3">
        <f>G669/I669</f>
        <v/>
      </c>
      <c r="K669">
        <f>IF(J669&gt;=5100,"ставка","мин.ставка")</f>
        <v/>
      </c>
      <c r="L669" s="3">
        <f>ROUND(IF(K669="мин.ставка",I669*100,G669/102*2),2)</f>
        <v/>
      </c>
      <c r="M669" s="5" t="n">
        <v>46234.5</v>
      </c>
      <c r="N669" t="inlineStr">
        <is>
          <t>TravelLine сайт</t>
        </is>
      </c>
      <c r="O669" s="2" t="inlineStr">
        <is>
          <t>СТАНДАРТНЫЙ ДВУХМЕСТНЫЙ НОМЕР</t>
        </is>
      </c>
      <c r="P669" s="6" t="n"/>
      <c r="R669" t="inlineStr"/>
      <c r="S669" t="inlineStr">
        <is>
          <t>Тариф с завтраком</t>
        </is>
      </c>
      <c r="T669" t="n">
        <v>0</v>
      </c>
      <c r="U669" t="n">
        <v>13149.75</v>
      </c>
    </row>
    <row r="670">
      <c r="A670" t="inlineStr">
        <is>
          <t>20260630-8186-444909188</t>
        </is>
      </c>
      <c r="B670" t="n">
        <v>1</v>
      </c>
      <c r="C670" s="2" t="inlineStr">
        <is>
          <t>Надежда Еремеева</t>
        </is>
      </c>
      <c r="D670" s="3" t="n">
        <v>21440</v>
      </c>
      <c r="E670" s="4" t="n">
        <v>20</v>
      </c>
      <c r="F670" t="inlineStr">
        <is>
          <t>ООО "УК ГЦБ и Т" [Чайковский]</t>
        </is>
      </c>
      <c r="G670" s="3">
        <f>ROUND(D670/(100-E670)*100,2)</f>
        <v/>
      </c>
      <c r="H670" s="5" t="n">
        <v>46203.58333333334</v>
      </c>
      <c r="I670" t="n">
        <v>2</v>
      </c>
      <c r="J670" s="3">
        <f>G670/I670</f>
        <v/>
      </c>
      <c r="K670">
        <f>IF(J670&gt;=5100,"ставка","мин.ставка")</f>
        <v/>
      </c>
      <c r="L670" s="3">
        <f>ROUND(IF(K670="мин.ставка",I670*100,G670/102*2),2)</f>
        <v/>
      </c>
      <c r="M670" s="5" t="n">
        <v>46205.5</v>
      </c>
      <c r="N670" t="inlineStr">
        <is>
          <t>TravelLine CBC</t>
        </is>
      </c>
      <c r="O670" s="2" t="inlineStr">
        <is>
          <t>УЛУЧШЕННЫЙ ДВУХМЕСТНЫЙ НОМЕР</t>
        </is>
      </c>
      <c r="P670" s="6" t="n"/>
      <c r="R670" t="inlineStr"/>
      <c r="S670" t="inlineStr">
        <is>
          <t>Тариф с завтраком</t>
        </is>
      </c>
      <c r="T670" t="n">
        <v>0</v>
      </c>
      <c r="U670" t="n">
        <v>21440</v>
      </c>
    </row>
    <row r="671">
      <c r="A671" t="inlineStr">
        <is>
          <t>20260805-8186-436895950</t>
        </is>
      </c>
      <c r="B671" t="n">
        <v>1</v>
      </c>
      <c r="C671" s="2" t="inlineStr">
        <is>
          <t>НАДЕЖДА ЛЕВЕНКОВА, Мария Гущина</t>
        </is>
      </c>
      <c r="D671" s="3" t="n">
        <v>19651.5</v>
      </c>
      <c r="E671" s="4" t="n">
        <v>4</v>
      </c>
      <c r="F671" t="inlineStr">
        <is>
          <t>TravelLine Booking Engine [Чайковский]</t>
        </is>
      </c>
      <c r="G671" s="3">
        <f>ROUND(D671/(100-E671)*100,2)</f>
        <v/>
      </c>
      <c r="H671" s="5" t="n">
        <v>46239.58333333334</v>
      </c>
      <c r="I671" t="n">
        <v>2</v>
      </c>
      <c r="J671" s="3">
        <f>G671/I671</f>
        <v/>
      </c>
      <c r="K671">
        <f>IF(J671&gt;=5100,"ставка","мин.ставка")</f>
        <v/>
      </c>
      <c r="L671" s="3">
        <f>ROUND(IF(K671="мин.ставка",I671*100,G671/102*2),2)</f>
        <v/>
      </c>
      <c r="M671" s="5" t="n">
        <v>46241.5</v>
      </c>
      <c r="N671" t="inlineStr">
        <is>
          <t>TravelLine сайт</t>
        </is>
      </c>
      <c r="O671" s="2" t="inlineStr">
        <is>
          <t>СТАНДАРТНЫЙ ДВУХМЕСТНЫЙ НОМЕР (МАНСАРДА)</t>
        </is>
      </c>
      <c r="P671" s="6" t="n"/>
      <c r="R671" t="inlineStr"/>
      <c r="S671" t="inlineStr">
        <is>
          <t>Тариф с завтраком</t>
        </is>
      </c>
      <c r="T671" t="n">
        <v>0</v>
      </c>
      <c r="U671" t="n">
        <v>19651.5</v>
      </c>
    </row>
    <row r="672">
      <c r="A672" t="inlineStr">
        <is>
          <t>20260822-8186-425651545</t>
        </is>
      </c>
      <c r="B672" t="n">
        <v>1</v>
      </c>
      <c r="C672" s="2" t="inlineStr">
        <is>
          <t>Надежда Шведова, Даниил Шведов</t>
        </is>
      </c>
      <c r="D672" s="3" t="n">
        <v>60876</v>
      </c>
      <c r="E672" s="4" t="n">
        <v>18</v>
      </c>
      <c r="F672" t="inlineStr">
        <is>
          <t>Яндекс.Путешествия [Чайковский]</t>
        </is>
      </c>
      <c r="G672" s="3">
        <f>ROUND(D672/(100-E672)*100,2)</f>
        <v/>
      </c>
      <c r="H672" s="5" t="n">
        <v>46256.58333333334</v>
      </c>
      <c r="I672" t="n">
        <v>6</v>
      </c>
      <c r="J672" s="3">
        <f>G672/I672</f>
        <v/>
      </c>
      <c r="K672">
        <f>IF(J672&gt;=5100,"ставка","мин.ставка")</f>
        <v/>
      </c>
      <c r="L672" s="3">
        <f>ROUND(IF(K672="мин.ставка",I672*100,G672/102*2),2)</f>
        <v/>
      </c>
      <c r="M672" s="5" t="n">
        <v>46262.5</v>
      </c>
      <c r="N672" t="inlineStr">
        <is>
          <t>TravelLine YAX</t>
        </is>
      </c>
      <c r="O672" s="2" t="inlineStr">
        <is>
          <t>СТАНДАРТНЫЙ ДВУХМЕСТНЫЙ НОМЕР</t>
        </is>
      </c>
      <c r="P672" s="6" t="n"/>
      <c r="R672" t="inlineStr"/>
      <c r="S672" t="inlineStr">
        <is>
          <t>Тариф с завтраком</t>
        </is>
      </c>
      <c r="T672" t="n">
        <v>300</v>
      </c>
      <c r="U672" t="n">
        <v>182928</v>
      </c>
    </row>
    <row r="673">
      <c r="A673" t="inlineStr">
        <is>
          <t>20260813-8186-450552757</t>
        </is>
      </c>
      <c r="B673" t="n">
        <v>1</v>
      </c>
      <c r="C673" s="2" t="inlineStr">
        <is>
          <t>Надежда Шевырина, Владимир Юмашев</t>
        </is>
      </c>
      <c r="D673" s="3" t="n">
        <v>40584</v>
      </c>
      <c r="E673" s="4" t="n">
        <v>18</v>
      </c>
      <c r="F673" t="inlineStr">
        <is>
          <t>Яндекс.Путешествия [Чайковский]</t>
        </is>
      </c>
      <c r="G673" s="3">
        <f>ROUND(D673/(100-E673)*100,2)</f>
        <v/>
      </c>
      <c r="H673" s="5" t="n">
        <v>46247.58333333334</v>
      </c>
      <c r="I673" t="n">
        <v>4</v>
      </c>
      <c r="J673" s="3">
        <f>G673/I673</f>
        <v/>
      </c>
      <c r="K673">
        <f>IF(J673&gt;=5100,"ставка","мин.ставка")</f>
        <v/>
      </c>
      <c r="L673" s="3">
        <f>ROUND(IF(K673="мин.ставка",I673*100,G673/102*2),2)</f>
        <v/>
      </c>
      <c r="M673" s="5" t="n">
        <v>46251.5</v>
      </c>
      <c r="N673" t="inlineStr">
        <is>
          <t>TravelLine YAX</t>
        </is>
      </c>
      <c r="O673" s="2" t="inlineStr">
        <is>
          <t>СТАНДАРТНЫЙ ДВУХМЕСТНЫЙ НОМЕР</t>
        </is>
      </c>
      <c r="P673" s="6" t="n"/>
      <c r="R673" t="inlineStr"/>
      <c r="S673" t="inlineStr">
        <is>
          <t>Тариф с завтраком</t>
        </is>
      </c>
      <c r="T673" t="n">
        <v>0</v>
      </c>
      <c r="U673" t="n">
        <v>40584</v>
      </c>
    </row>
    <row r="674">
      <c r="A674" t="inlineStr">
        <is>
          <t>20260826-8186-447063291</t>
        </is>
      </c>
      <c r="B674" t="n">
        <v>1</v>
      </c>
      <c r="C674" s="2" t="inlineStr">
        <is>
          <t>Наталия Золотарева</t>
        </is>
      </c>
      <c r="D674" s="3" t="n">
        <v>18960</v>
      </c>
      <c r="E674" s="4" t="n">
        <v>20</v>
      </c>
      <c r="F674" t="inlineStr">
        <is>
          <t>ООО "КОМПАНИЯ БРОНЕВИК" [Чайковский]</t>
        </is>
      </c>
      <c r="G674" s="3">
        <f>ROUND(D674/(100-E674)*100,2)</f>
        <v/>
      </c>
      <c r="H674" s="5" t="n">
        <v>46260.58333333334</v>
      </c>
      <c r="I674" t="n">
        <v>3</v>
      </c>
      <c r="J674" s="3">
        <f>G674/I674</f>
        <v/>
      </c>
      <c r="K674">
        <f>IF(J674&gt;=5100,"ставка","мин.ставка")</f>
        <v/>
      </c>
      <c r="L674" s="3">
        <f>ROUND(IF(K674="мин.ставка",I674*100,G674/102*2),2)</f>
        <v/>
      </c>
      <c r="M674" s="5" t="n">
        <v>46263.5</v>
      </c>
      <c r="N674" t="inlineStr">
        <is>
          <t>TravelLine BR2</t>
        </is>
      </c>
      <c r="O674" s="2" t="inlineStr">
        <is>
          <t>СТАНДАРТНЫЙ ДВУХМЕСТНЫЙ НОМЕР (МАНСАРДА)</t>
        </is>
      </c>
      <c r="P674" s="6" t="n"/>
      <c r="R674" t="inlineStr"/>
      <c r="S674" t="inlineStr">
        <is>
          <t>Тариф с завтраком</t>
        </is>
      </c>
      <c r="T674" t="n">
        <v>0</v>
      </c>
      <c r="U674" t="n">
        <v>18960</v>
      </c>
    </row>
    <row r="675">
      <c r="A675" t="inlineStr">
        <is>
          <t>20260908-8186-464310952</t>
        </is>
      </c>
      <c r="B675" t="n">
        <v>1</v>
      </c>
      <c r="C675" s="2" t="inlineStr">
        <is>
          <t>Наталия Купцова</t>
        </is>
      </c>
      <c r="D675" s="3" t="n">
        <v>19908</v>
      </c>
      <c r="E675" s="4" t="n">
        <v>16</v>
      </c>
      <c r="F675" t="inlineStr">
        <is>
          <t>ООО "БРОНИРОВАНИЕ ГОСТИНИЦ" (OSTROVOK) [Чайковский]</t>
        </is>
      </c>
      <c r="G675" s="3">
        <f>ROUND(D675/(100-E675)*100,2)</f>
        <v/>
      </c>
      <c r="H675" s="5" t="n">
        <v>46273.58333333334</v>
      </c>
      <c r="I675" t="n">
        <v>3</v>
      </c>
      <c r="J675" s="3">
        <f>G675/I675</f>
        <v/>
      </c>
      <c r="K675">
        <f>IF(J675&gt;=5100,"ставка","мин.ставка")</f>
        <v/>
      </c>
      <c r="L675" s="3">
        <f>ROUND(IF(K675="мин.ставка",I675*100,G675/102*2),2)</f>
        <v/>
      </c>
      <c r="M675" s="5" t="n">
        <v>46276.5</v>
      </c>
      <c r="N675" t="inlineStr">
        <is>
          <t>TravelLine OTK</t>
        </is>
      </c>
      <c r="O675" s="2" t="inlineStr">
        <is>
          <t>СТАНДАРТНЫЙ ДВУХМЕСТНЫЙ НОМЕР (МАНСАРДА)</t>
        </is>
      </c>
      <c r="P675" s="6" t="n"/>
      <c r="R675" t="inlineStr"/>
      <c r="S675" t="inlineStr">
        <is>
          <t>Тариф с завтраком</t>
        </is>
      </c>
      <c r="T675" t="n">
        <v>0</v>
      </c>
      <c r="U675" t="n">
        <v>19908</v>
      </c>
    </row>
    <row r="676">
      <c r="A676" t="inlineStr">
        <is>
          <t>20260809-8186-451680118</t>
        </is>
      </c>
      <c r="B676" t="n">
        <v>1</v>
      </c>
      <c r="C676" s="2" t="inlineStr">
        <is>
          <t>НАТАЛИЯ СЛОБОДЯНЮК, ЕЛЕНА БЕЛОВА</t>
        </is>
      </c>
      <c r="D676" s="3" t="n">
        <v>48060</v>
      </c>
      <c r="E676" s="4" t="n">
        <v>0</v>
      </c>
      <c r="F676" t="inlineStr">
        <is>
          <t>Прямые бронирования (стойка) [Чайковский]</t>
        </is>
      </c>
      <c r="G676" s="3">
        <f>ROUND(D676/(100-E676)*100,2)</f>
        <v/>
      </c>
      <c r="H676" s="5" t="n">
        <v>46243.58333333334</v>
      </c>
      <c r="I676" t="n">
        <v>4</v>
      </c>
      <c r="J676" s="3">
        <f>G676/I676</f>
        <v/>
      </c>
      <c r="K676">
        <f>IF(J676&gt;=5100,"ставка","мин.ставка")</f>
        <v/>
      </c>
      <c r="L676" s="3">
        <f>ROUND(IF(K676="мин.ставка",I676*100,G676/102*2),2)</f>
        <v/>
      </c>
      <c r="M676" s="5" t="n">
        <v>46247.5</v>
      </c>
      <c r="N676" t="inlineStr">
        <is>
          <t>TravelLine ресепшн</t>
        </is>
      </c>
      <c r="O676" s="2" t="inlineStr">
        <is>
          <t>СТАНДАРТНЫЙ ДВУХМЕСТНЫЙ НОМЕР</t>
        </is>
      </c>
      <c r="P676" s="6" t="n"/>
      <c r="R676" t="inlineStr"/>
      <c r="S676" t="inlineStr">
        <is>
          <t>Тариф с завтраком</t>
        </is>
      </c>
      <c r="T676" t="n">
        <v>0</v>
      </c>
      <c r="U676" t="n">
        <v>48060</v>
      </c>
    </row>
    <row r="677">
      <c r="A677" t="inlineStr">
        <is>
          <t>20260915-8186-456399111</t>
        </is>
      </c>
      <c r="B677" t="n">
        <v>1</v>
      </c>
      <c r="C677" s="2" t="inlineStr">
        <is>
          <t>Наталия Титова</t>
        </is>
      </c>
      <c r="D677" s="3" t="n">
        <v>22700</v>
      </c>
      <c r="E677" s="4" t="n">
        <v>0</v>
      </c>
      <c r="F677" t="inlineStr">
        <is>
          <t>Прямые бронирования (стойка) [Чайковский]</t>
        </is>
      </c>
      <c r="G677" s="3">
        <f>ROUND(D677/(100-E677)*100,2)</f>
        <v/>
      </c>
      <c r="H677" s="5" t="n">
        <v>46280.58333333334</v>
      </c>
      <c r="I677" t="n">
        <v>2</v>
      </c>
      <c r="J677" s="3">
        <f>G677/I677</f>
        <v/>
      </c>
      <c r="K677">
        <f>IF(J677&gt;=5100,"ставка","мин.ставка")</f>
        <v/>
      </c>
      <c r="L677" s="3">
        <f>ROUND(IF(K677="мин.ставка",I677*100,G677/102*2),2)</f>
        <v/>
      </c>
      <c r="M677" s="5" t="n">
        <v>46282.5</v>
      </c>
      <c r="N677" t="inlineStr">
        <is>
          <t>TravelLine ресепшн</t>
        </is>
      </c>
      <c r="O677" s="2" t="inlineStr">
        <is>
          <t>СТАНДАРТНЫЙ ДВУХМЕСТНЫЙ НОМЕР</t>
        </is>
      </c>
      <c r="P677" s="6" t="n"/>
      <c r="R677" t="inlineStr"/>
      <c r="S677" t="inlineStr">
        <is>
          <t>Тариф с завтраком</t>
        </is>
      </c>
      <c r="T677" t="n">
        <v>0</v>
      </c>
      <c r="U677" t="n">
        <v>22700</v>
      </c>
    </row>
    <row r="678">
      <c r="A678" t="inlineStr">
        <is>
          <t>20260726-8186-423278923</t>
        </is>
      </c>
      <c r="B678" t="n">
        <v>1</v>
      </c>
      <c r="C678" s="2" t="inlineStr">
        <is>
          <t>Наталия Шлеёнкова, Сергей Щлеёнков</t>
        </is>
      </c>
      <c r="D678" s="3" t="n">
        <v>45390</v>
      </c>
      <c r="E678" s="4" t="n">
        <v>0</v>
      </c>
      <c r="F678" t="inlineStr">
        <is>
          <t>ООО «ХОМЛИН ЛЭНД» (ПЕГАС) [Чайковский]</t>
        </is>
      </c>
      <c r="G678" s="3">
        <f>ROUND(D678/(100-E678)*100,2)</f>
        <v/>
      </c>
      <c r="H678" s="5" t="n">
        <v>46229.58333333334</v>
      </c>
      <c r="I678" t="n">
        <v>4</v>
      </c>
      <c r="J678" s="3">
        <f>G678/I678</f>
        <v/>
      </c>
      <c r="K678">
        <f>IF(J678&gt;=5100,"ставка","мин.ставка")</f>
        <v/>
      </c>
      <c r="L678" s="3">
        <f>ROUND(IF(K678="мин.ставка",I678*100,G678/102*2),2)</f>
        <v/>
      </c>
      <c r="M678" s="5" t="n">
        <v>46233.5</v>
      </c>
      <c r="N678" t="inlineStr">
        <is>
          <t>TravelLine PGS</t>
        </is>
      </c>
      <c r="O678" s="2" t="inlineStr">
        <is>
          <t>СТАНДАРТНЫЙ ДВУХМЕСТНЫЙ НОМЕР</t>
        </is>
      </c>
      <c r="P678" s="6" t="n"/>
      <c r="R678" t="inlineStr"/>
      <c r="S678" t="inlineStr">
        <is>
          <t>Тариф с завтраком</t>
        </is>
      </c>
      <c r="T678" t="n">
        <v>0</v>
      </c>
      <c r="U678" t="n">
        <v>45390</v>
      </c>
    </row>
    <row r="679">
      <c r="A679" t="inlineStr">
        <is>
          <t>20260910-8186-427551341</t>
        </is>
      </c>
      <c r="B679" t="n">
        <v>1</v>
      </c>
      <c r="C679" s="2" t="inlineStr">
        <is>
          <t>НАТАЛИЯ ШТЕРКЕЛЬ, Екатерина Мигуля</t>
        </is>
      </c>
      <c r="D679" s="3" t="n">
        <v>36045</v>
      </c>
      <c r="E679" s="4" t="n">
        <v>0</v>
      </c>
      <c r="F679" t="inlineStr">
        <is>
          <t>Прямые бронирования (стойка) [Чайковский]</t>
        </is>
      </c>
      <c r="G679" s="3">
        <f>ROUND(D679/(100-E679)*100,2)</f>
        <v/>
      </c>
      <c r="H679" s="5" t="n">
        <v>46275.58333333334</v>
      </c>
      <c r="I679" t="n">
        <v>3</v>
      </c>
      <c r="J679" s="3">
        <f>G679/I679</f>
        <v/>
      </c>
      <c r="K679">
        <f>IF(J679&gt;=5100,"ставка","мин.ставка")</f>
        <v/>
      </c>
      <c r="L679" s="3">
        <f>ROUND(IF(K679="мин.ставка",I679*100,G679/102*2),2)</f>
        <v/>
      </c>
      <c r="M679" s="5" t="n">
        <v>46278.5</v>
      </c>
      <c r="N679" t="inlineStr">
        <is>
          <t>TravelLine ресепшн</t>
        </is>
      </c>
      <c r="O679" s="2" t="inlineStr">
        <is>
          <t>СТАНДАРТНЫЙ ДВУХМЕСТНЫЙ НОМЕР</t>
        </is>
      </c>
      <c r="P679" s="6" t="n"/>
      <c r="R679" t="inlineStr"/>
      <c r="S679" t="inlineStr">
        <is>
          <t>Тариф с завтраком</t>
        </is>
      </c>
      <c r="T679" t="n">
        <v>0</v>
      </c>
      <c r="U679" t="n">
        <v>216270</v>
      </c>
    </row>
    <row r="680">
      <c r="A680" t="inlineStr">
        <is>
          <t>20260815-8186-458640858</t>
        </is>
      </c>
      <c r="B680" t="n">
        <v>1</v>
      </c>
      <c r="C680" s="2" t="inlineStr">
        <is>
          <t>Наталия Элуашвили</t>
        </is>
      </c>
      <c r="D680" s="3" t="n">
        <v>10215</v>
      </c>
      <c r="E680" s="4" t="n">
        <v>0</v>
      </c>
      <c r="F680" t="inlineStr">
        <is>
          <t>Прямые бронирования (стойка) [Чайковский]</t>
        </is>
      </c>
      <c r="G680" s="3">
        <f>ROUND(D680/(100-E680)*100,2)</f>
        <v/>
      </c>
      <c r="H680" s="5" t="n">
        <v>46249.58333333334</v>
      </c>
      <c r="I680" t="n">
        <v>1</v>
      </c>
      <c r="J680" s="3">
        <f>G680/I680</f>
        <v/>
      </c>
      <c r="K680">
        <f>IF(J680&gt;=5100,"ставка","мин.ставка")</f>
        <v/>
      </c>
      <c r="L680" s="3">
        <f>ROUND(IF(K680="мин.ставка",I680*100,G680/102*2),2)</f>
        <v/>
      </c>
      <c r="M680" s="5" t="n">
        <v>46250.5</v>
      </c>
      <c r="N680" t="inlineStr">
        <is>
          <t>TravelLine ресепшн</t>
        </is>
      </c>
      <c r="O680" s="2" t="inlineStr">
        <is>
          <t>СТАНДАРТНЫЙ ДВУХМЕСТНЫЙ НОМЕР</t>
        </is>
      </c>
      <c r="P680" s="6" t="n"/>
      <c r="R680" t="inlineStr"/>
      <c r="S680" t="inlineStr">
        <is>
          <t>Тариф с завтраком</t>
        </is>
      </c>
      <c r="T680" t="n">
        <v>0</v>
      </c>
      <c r="U680" t="n">
        <v>10215</v>
      </c>
    </row>
    <row r="681">
      <c r="A681" t="inlineStr">
        <is>
          <t>20260710-8186-442591146</t>
        </is>
      </c>
      <c r="B681" t="n">
        <v>1</v>
      </c>
      <c r="C681" s="2" t="inlineStr">
        <is>
          <t>Наталья Анохина, Анна Анохина</t>
        </is>
      </c>
      <c r="D681" s="3" t="n">
        <v>15988.5</v>
      </c>
      <c r="E681" s="4" t="n">
        <v>4</v>
      </c>
      <c r="F681" t="inlineStr">
        <is>
          <t>TravelLine Booking Engine [Чайковский]</t>
        </is>
      </c>
      <c r="G681" s="3">
        <f>ROUND(D681/(100-E681)*100,2)</f>
        <v/>
      </c>
      <c r="H681" s="5" t="n">
        <v>46213.58333333334</v>
      </c>
      <c r="I681" t="n">
        <v>1</v>
      </c>
      <c r="J681" s="3">
        <f>G681/I681</f>
        <v/>
      </c>
      <c r="K681">
        <f>IF(J681&gt;=5100,"ставка","мин.ставка")</f>
        <v/>
      </c>
      <c r="L681" s="3">
        <f>ROUND(IF(K681="мин.ставка",I681*100,G681/102*2),2)</f>
        <v/>
      </c>
      <c r="M681" s="5" t="n">
        <v>46214.5</v>
      </c>
      <c r="N681" t="inlineStr">
        <is>
          <t>TravelLine сайт</t>
        </is>
      </c>
      <c r="O681" s="2" t="inlineStr">
        <is>
          <t>ПОЛУЛЮКС</t>
        </is>
      </c>
      <c r="P681" s="6" t="n"/>
      <c r="R681" t="inlineStr"/>
      <c r="S681" t="inlineStr">
        <is>
          <t>Тариф с завтраком</t>
        </is>
      </c>
      <c r="T681" t="n">
        <v>0</v>
      </c>
      <c r="U681" t="n">
        <v>15988.5</v>
      </c>
    </row>
    <row r="682">
      <c r="A682" t="inlineStr">
        <is>
          <t>20260904-8186-459092255</t>
        </is>
      </c>
      <c r="B682" t="n">
        <v>1</v>
      </c>
      <c r="C682" s="2" t="inlineStr">
        <is>
          <t>Наталья Бехтерева, Антон Бехтерев</t>
        </is>
      </c>
      <c r="D682" s="3" t="n">
        <v>98488.5</v>
      </c>
      <c r="E682" s="4" t="n">
        <v>4</v>
      </c>
      <c r="F682" t="inlineStr">
        <is>
          <t>TravelLine Booking Engine [Чайковский]</t>
        </is>
      </c>
      <c r="G682" s="3">
        <f>ROUND(D682/(100-E682)*100,2)</f>
        <v/>
      </c>
      <c r="H682" s="5" t="n">
        <v>46269.58333333334</v>
      </c>
      <c r="I682" t="n">
        <v>6</v>
      </c>
      <c r="J682" s="3">
        <f>G682/I682</f>
        <v/>
      </c>
      <c r="K682">
        <f>IF(J682&gt;=5100,"ставка","мин.ставка")</f>
        <v/>
      </c>
      <c r="L682" s="3">
        <f>ROUND(IF(K682="мин.ставка",I682*100,G682/102*2),2)</f>
        <v/>
      </c>
      <c r="M682" s="5" t="n">
        <v>46275.5</v>
      </c>
      <c r="N682" t="inlineStr">
        <is>
          <t>TravelLine сайт</t>
        </is>
      </c>
      <c r="O682" s="2" t="inlineStr">
        <is>
          <t>ПОЛУЛЮКС</t>
        </is>
      </c>
      <c r="P682" s="6" t="n"/>
      <c r="R682" t="inlineStr"/>
      <c r="S682" t="inlineStr">
        <is>
          <t>Тариф с завтраком</t>
        </is>
      </c>
      <c r="T682" t="n">
        <v>0</v>
      </c>
      <c r="U682" t="n">
        <v>98488.5</v>
      </c>
    </row>
    <row r="683">
      <c r="A683" t="inlineStr">
        <is>
          <t>20260807-8186-402291252</t>
        </is>
      </c>
      <c r="B683" t="n">
        <v>1</v>
      </c>
      <c r="C683" s="2" t="inlineStr">
        <is>
          <t>НАТАЛЬЯ БОРИСОВА</t>
        </is>
      </c>
      <c r="D683" s="3" t="n">
        <v>20790</v>
      </c>
      <c r="E683" s="4" t="n">
        <v>0</v>
      </c>
      <c r="F683" t="inlineStr">
        <is>
          <t>Прямые бронирования (стойка) [Чайковский]</t>
        </is>
      </c>
      <c r="G683" s="3">
        <f>ROUND(D683/(100-E683)*100,2)</f>
        <v/>
      </c>
      <c r="H683" s="5" t="n">
        <v>46241.58333333334</v>
      </c>
      <c r="I683" t="n">
        <v>3</v>
      </c>
      <c r="J683" s="3">
        <f>G683/I683</f>
        <v/>
      </c>
      <c r="K683">
        <f>IF(J683&gt;=5100,"ставка","мин.ставка")</f>
        <v/>
      </c>
      <c r="L683" s="3">
        <f>ROUND(IF(K683="мин.ставка",I683*100,G683/102*2),2)</f>
        <v/>
      </c>
      <c r="M683" s="5" t="n">
        <v>46244.5</v>
      </c>
      <c r="N683" t="inlineStr">
        <is>
          <t>TravelLine ресепшн</t>
        </is>
      </c>
      <c r="O683" s="2" t="inlineStr">
        <is>
          <t>СТАНДАРТНЫЙ ОДНОМЕСТНЫЙ НОМЕР</t>
        </is>
      </c>
      <c r="P683" s="6" t="n"/>
      <c r="R683" t="inlineStr"/>
      <c r="S683" t="inlineStr">
        <is>
          <t>Тариф с завтраком</t>
        </is>
      </c>
      <c r="T683" t="n">
        <v>0</v>
      </c>
      <c r="U683" t="n">
        <v>20790</v>
      </c>
    </row>
    <row r="684">
      <c r="A684" t="inlineStr">
        <is>
          <t>20260906-8186-464058568</t>
        </is>
      </c>
      <c r="B684" t="n">
        <v>1</v>
      </c>
      <c r="C684" s="2" t="inlineStr">
        <is>
          <t>Наталья Волнянская, ВИКТОР ПРОЦЕНКО</t>
        </is>
      </c>
      <c r="D684" s="3" t="n">
        <v>27720</v>
      </c>
      <c r="E684" s="4" t="n">
        <v>0</v>
      </c>
      <c r="F684" t="inlineStr">
        <is>
          <t>Прямые бронирования (стойка) [Чайковский]</t>
        </is>
      </c>
      <c r="G684" s="3">
        <f>ROUND(D684/(100-E684)*100,2)</f>
        <v/>
      </c>
      <c r="H684" s="5" t="n">
        <v>46271.58333333334</v>
      </c>
      <c r="I684" t="n">
        <v>2</v>
      </c>
      <c r="J684" s="3">
        <f>G684/I684</f>
        <v/>
      </c>
      <c r="K684">
        <f>IF(J684&gt;=5100,"ставка","мин.ставка")</f>
        <v/>
      </c>
      <c r="L684" s="3">
        <f>ROUND(IF(K684="мин.ставка",I684*100,G684/102*2),2)</f>
        <v/>
      </c>
      <c r="M684" s="5" t="n">
        <v>46273.5</v>
      </c>
      <c r="N684" t="inlineStr">
        <is>
          <t>TravelLine ресепшн</t>
        </is>
      </c>
      <c r="O684" s="2" t="inlineStr">
        <is>
          <t>УЛУЧШЕННЫЙ ДВУХМЕСТНЫЙ НОМЕР</t>
        </is>
      </c>
      <c r="P684" s="6" t="n"/>
      <c r="R684" t="inlineStr"/>
      <c r="S684" t="inlineStr">
        <is>
          <t>Тариф с завтраком</t>
        </is>
      </c>
      <c r="T684" t="n">
        <v>1520</v>
      </c>
      <c r="U684" t="n">
        <v>29240</v>
      </c>
    </row>
    <row r="685">
      <c r="A685" t="inlineStr">
        <is>
          <t>20260812-8186-432301165</t>
        </is>
      </c>
      <c r="B685" t="n">
        <v>1</v>
      </c>
      <c r="C685" s="2" t="inlineStr">
        <is>
          <t>Наталья Гончарова, София Цугуй</t>
        </is>
      </c>
      <c r="D685" s="3" t="n">
        <v>12320</v>
      </c>
      <c r="E685" s="4" t="n">
        <v>18</v>
      </c>
      <c r="F685" t="inlineStr">
        <is>
          <t>Яндекс.Путешествия [Чайковский]</t>
        </is>
      </c>
      <c r="G685" s="3">
        <f>ROUND(D685/(100-E685)*100,2)</f>
        <v/>
      </c>
      <c r="H685" s="5" t="n">
        <v>46247.58333333334</v>
      </c>
      <c r="I685" t="n">
        <v>1</v>
      </c>
      <c r="J685" s="3">
        <f>G685/I685</f>
        <v/>
      </c>
      <c r="K685">
        <f>IF(J685&gt;=5100,"ставка","мин.ставка")</f>
        <v/>
      </c>
      <c r="L685" s="3">
        <f>ROUND(IF(K685="мин.ставка",I685*100,G685/102*2),2)</f>
        <v/>
      </c>
      <c r="M685" s="5" t="n">
        <v>46248.5</v>
      </c>
      <c r="N685" t="inlineStr">
        <is>
          <t>TravelLine YAX</t>
        </is>
      </c>
      <c r="O685" s="2" t="inlineStr">
        <is>
          <t>УЛУЧШЕННЫЙ ДВУХМЕСТНЫЙ НОМЕР</t>
        </is>
      </c>
      <c r="P685" s="6" t="n"/>
      <c r="R685" t="inlineStr"/>
      <c r="S685" t="inlineStr">
        <is>
          <t>Тариф с завтраком</t>
        </is>
      </c>
      <c r="T685" t="n">
        <v>0</v>
      </c>
      <c r="U685" t="n">
        <v>12320</v>
      </c>
    </row>
    <row r="686">
      <c r="A686" t="inlineStr">
        <is>
          <t>20260814-8186-443750002</t>
        </is>
      </c>
      <c r="B686" t="n">
        <v>1</v>
      </c>
      <c r="C686" s="2" t="inlineStr">
        <is>
          <t>Наталья Гончарова, София Цугуй</t>
        </is>
      </c>
      <c r="D686" s="3" t="n">
        <v>12320</v>
      </c>
      <c r="E686" s="4" t="n">
        <v>18</v>
      </c>
      <c r="F686" t="inlineStr">
        <is>
          <t>Яндекс.Путешествия [Чайковский]</t>
        </is>
      </c>
      <c r="G686" s="3">
        <f>ROUND(D686/(100-E686)*100,2)</f>
        <v/>
      </c>
      <c r="H686" s="5" t="n">
        <v>46248.58333333334</v>
      </c>
      <c r="I686" t="n">
        <v>1</v>
      </c>
      <c r="J686" s="3">
        <f>G686/I686</f>
        <v/>
      </c>
      <c r="K686">
        <f>IF(J686&gt;=5100,"ставка","мин.ставка")</f>
        <v/>
      </c>
      <c r="L686" s="3">
        <f>ROUND(IF(K686="мин.ставка",I686*100,G686/102*2),2)</f>
        <v/>
      </c>
      <c r="M686" s="5" t="n">
        <v>46249.5</v>
      </c>
      <c r="N686" t="inlineStr">
        <is>
          <t>TravelLine YAX</t>
        </is>
      </c>
      <c r="O686" s="2" t="inlineStr">
        <is>
          <t>УЛУЧШЕННЫЙ ДВУХМЕСТНЫЙ НОМЕР</t>
        </is>
      </c>
      <c r="P686" s="6" t="n"/>
      <c r="R686" t="inlineStr"/>
      <c r="S686" t="inlineStr">
        <is>
          <t>Тариф с завтраком</t>
        </is>
      </c>
      <c r="T686" t="n">
        <v>0</v>
      </c>
      <c r="U686" t="n">
        <v>12320</v>
      </c>
    </row>
    <row r="687">
      <c r="A687" t="inlineStr">
        <is>
          <t>20260826-8186-453545439</t>
        </is>
      </c>
      <c r="B687" t="n">
        <v>1</v>
      </c>
      <c r="C687" s="2" t="inlineStr">
        <is>
          <t>Наталья Горшкова, Илья Ивлев</t>
        </is>
      </c>
      <c r="D687" s="3" t="n">
        <v>10680</v>
      </c>
      <c r="E687" s="4" t="n">
        <v>20</v>
      </c>
      <c r="F687" t="inlineStr">
        <is>
          <t>ООО "КОМПАНИЯ БРОНЕВИК" [Чайковский]</t>
        </is>
      </c>
      <c r="G687" s="3">
        <f>ROUND(D687/(100-E687)*100,2)</f>
        <v/>
      </c>
      <c r="H687" s="5" t="n">
        <v>46260.58333333334</v>
      </c>
      <c r="I687" t="n">
        <v>1</v>
      </c>
      <c r="J687" s="3">
        <f>G687/I687</f>
        <v/>
      </c>
      <c r="K687">
        <f>IF(J687&gt;=5100,"ставка","мин.ставка")</f>
        <v/>
      </c>
      <c r="L687" s="3">
        <f>ROUND(IF(K687="мин.ставка",I687*100,G687/102*2),2)</f>
        <v/>
      </c>
      <c r="M687" s="5" t="n">
        <v>46261.5</v>
      </c>
      <c r="N687" t="inlineStr">
        <is>
          <t>TravelLine BR2</t>
        </is>
      </c>
      <c r="O687" s="2" t="inlineStr">
        <is>
          <t>СТАНДАРТНЫЙ ДВУХМЕСТНЫЙ НОМЕР</t>
        </is>
      </c>
      <c r="P687" s="6" t="n"/>
      <c r="R687" t="inlineStr"/>
      <c r="S687" t="inlineStr">
        <is>
          <t>Тариф с завтраком</t>
        </is>
      </c>
      <c r="T687" t="n">
        <v>0</v>
      </c>
      <c r="U687" t="n">
        <v>10680</v>
      </c>
    </row>
    <row r="688">
      <c r="A688" t="inlineStr">
        <is>
          <t>20260708-8186-426313855</t>
        </is>
      </c>
      <c r="B688" t="n">
        <v>1</v>
      </c>
      <c r="C688" s="2" t="inlineStr">
        <is>
          <t>НАТАЛЬЯ ДЕРНОВА, Виталий Савельев</t>
        </is>
      </c>
      <c r="D688" s="3" t="n">
        <v>71200</v>
      </c>
      <c r="E688" s="4" t="n">
        <v>4</v>
      </c>
      <c r="F688" t="inlineStr">
        <is>
          <t>TravelLine Booking Engine [Чайковский]</t>
        </is>
      </c>
      <c r="G688" s="3">
        <f>ROUND(D688/(100-E688)*100,2)</f>
        <v/>
      </c>
      <c r="H688" s="5" t="n">
        <v>46211.58333333334</v>
      </c>
      <c r="I688" t="n">
        <v>4</v>
      </c>
      <c r="J688" s="3">
        <f>G688/I688</f>
        <v/>
      </c>
      <c r="K688">
        <f>IF(J688&gt;=5100,"ставка","мин.ставка")</f>
        <v/>
      </c>
      <c r="L688" s="3">
        <f>ROUND(IF(K688="мин.ставка",I688*100,G688/102*2),2)</f>
        <v/>
      </c>
      <c r="M688" s="5" t="n">
        <v>46215.5</v>
      </c>
      <c r="N688" t="inlineStr">
        <is>
          <t>TravelLine сайт</t>
        </is>
      </c>
      <c r="O688" s="2" t="inlineStr">
        <is>
          <t>ЛЮКС</t>
        </is>
      </c>
      <c r="P688" s="6" t="n"/>
      <c r="R688" t="inlineStr"/>
      <c r="S688" t="inlineStr">
        <is>
          <t>Тариф с завтраком</t>
        </is>
      </c>
      <c r="T688" t="n">
        <v>1900</v>
      </c>
      <c r="U688" t="n">
        <v>73100</v>
      </c>
    </row>
    <row r="689">
      <c r="A689" t="inlineStr">
        <is>
          <t>20260915-8186-459193237</t>
        </is>
      </c>
      <c r="B689" t="n">
        <v>1</v>
      </c>
      <c r="C689" s="2" t="inlineStr">
        <is>
          <t>Наталья Жукова</t>
        </is>
      </c>
      <c r="D689" s="3" t="n">
        <v>27921</v>
      </c>
      <c r="E689" s="4" t="n">
        <v>18</v>
      </c>
      <c r="F689" t="inlineStr">
        <is>
          <t>ООО "Эй энд Эй" [Чайковский]</t>
        </is>
      </c>
      <c r="G689" s="3">
        <f>ROUND(D689/(100-E689)*100,2)</f>
        <v/>
      </c>
      <c r="H689" s="5" t="n">
        <v>46280.58333333334</v>
      </c>
      <c r="I689" t="n">
        <v>3</v>
      </c>
      <c r="J689" s="3">
        <f>G689/I689</f>
        <v/>
      </c>
      <c r="K689">
        <f>IF(J689&gt;=5100,"ставка","мин.ставка")</f>
        <v/>
      </c>
      <c r="L689" s="3">
        <f>ROUND(IF(K689="мин.ставка",I689*100,G689/102*2),2)</f>
        <v/>
      </c>
      <c r="M689" s="5" t="n">
        <v>46283.5</v>
      </c>
      <c r="N689" t="inlineStr">
        <is>
          <t>TravelLine ANA</t>
        </is>
      </c>
      <c r="O689" s="2" t="inlineStr">
        <is>
          <t>СТАНДАРТНЫЙ ДВУХМЕСТНЫЙ НОМЕР</t>
        </is>
      </c>
      <c r="P689" s="6" t="n"/>
      <c r="R689" t="inlineStr"/>
      <c r="S689" t="inlineStr">
        <is>
          <t>Тариф с завтраком</t>
        </is>
      </c>
      <c r="T689" t="n">
        <v>0</v>
      </c>
      <c r="U689" t="n">
        <v>27921</v>
      </c>
    </row>
    <row r="690">
      <c r="A690" t="inlineStr">
        <is>
          <t>20260722-8186-452072624</t>
        </is>
      </c>
      <c r="B690" t="n">
        <v>1</v>
      </c>
      <c r="C690" s="2" t="inlineStr">
        <is>
          <t>Наталья Жукова, Владимир Жуков</t>
        </is>
      </c>
      <c r="D690" s="3" t="n">
        <v>13860</v>
      </c>
      <c r="E690" s="4" t="n">
        <v>0</v>
      </c>
      <c r="F690" t="inlineStr">
        <is>
          <t>Прямые бронирования (стойка) [Чайковский]</t>
        </is>
      </c>
      <c r="G690" s="3">
        <f>ROUND(D690/(100-E690)*100,2)</f>
        <v/>
      </c>
      <c r="H690" s="5" t="n">
        <v>46225.58333333334</v>
      </c>
      <c r="I690" t="n">
        <v>1</v>
      </c>
      <c r="J690" s="3">
        <f>G690/I690</f>
        <v/>
      </c>
      <c r="K690">
        <f>IF(J690&gt;=5100,"ставка","мин.ставка")</f>
        <v/>
      </c>
      <c r="L690" s="3">
        <f>ROUND(IF(K690="мин.ставка",I690*100,G690/102*2),2)</f>
        <v/>
      </c>
      <c r="M690" s="5" t="n">
        <v>46226.5</v>
      </c>
      <c r="N690" t="inlineStr">
        <is>
          <t>TravelLine ресепшн</t>
        </is>
      </c>
      <c r="O690" s="2" t="inlineStr">
        <is>
          <t>УЛУЧШЕННЫЙ ДВУХМЕСТНЫЙ НОМЕР</t>
        </is>
      </c>
      <c r="P690" s="6" t="n"/>
      <c r="R690" t="inlineStr"/>
      <c r="S690" t="inlineStr">
        <is>
          <t>Тариф с завтраком</t>
        </is>
      </c>
      <c r="T690" t="n">
        <v>240</v>
      </c>
      <c r="U690" t="n">
        <v>14100</v>
      </c>
    </row>
    <row r="691">
      <c r="A691" t="inlineStr">
        <is>
          <t>20260729-8186-446530257</t>
        </is>
      </c>
      <c r="B691" t="n">
        <v>1</v>
      </c>
      <c r="C691" s="2" t="inlineStr">
        <is>
          <t>Наталья Жукова, Владимир Жуков</t>
        </is>
      </c>
      <c r="D691" s="3" t="n">
        <v>12015</v>
      </c>
      <c r="E691" s="4" t="n">
        <v>0</v>
      </c>
      <c r="F691" t="inlineStr">
        <is>
          <t>Прямые бронирования (стойка) [Чайковский]</t>
        </is>
      </c>
      <c r="G691" s="3">
        <f>ROUND(D691/(100-E691)*100,2)</f>
        <v/>
      </c>
      <c r="H691" s="5" t="n">
        <v>46232.58333333334</v>
      </c>
      <c r="I691" t="n">
        <v>1</v>
      </c>
      <c r="J691" s="3">
        <f>G691/I691</f>
        <v/>
      </c>
      <c r="K691">
        <f>IF(J691&gt;=5100,"ставка","мин.ставка")</f>
        <v/>
      </c>
      <c r="L691" s="3">
        <f>ROUND(IF(K691="мин.ставка",I691*100,G691/102*2),2)</f>
        <v/>
      </c>
      <c r="M691" s="5" t="n">
        <v>46233.5</v>
      </c>
      <c r="N691" t="inlineStr">
        <is>
          <t>TravelLine ресепшн</t>
        </is>
      </c>
      <c r="O691" s="2" t="inlineStr">
        <is>
          <t>СТАНДАРТНЫЙ ДВУХМЕСТНЫЙ НОМЕР</t>
        </is>
      </c>
      <c r="P691" s="6" t="n"/>
      <c r="R691" t="inlineStr"/>
      <c r="S691" t="inlineStr">
        <is>
          <t>Тариф с завтраком</t>
        </is>
      </c>
      <c r="T691" t="n">
        <v>0</v>
      </c>
      <c r="U691" t="n">
        <v>12015</v>
      </c>
    </row>
    <row r="692">
      <c r="A692" t="inlineStr">
        <is>
          <t>20260801-8186-453170442</t>
        </is>
      </c>
      <c r="B692" t="n">
        <v>1</v>
      </c>
      <c r="C692" s="2" t="inlineStr">
        <is>
          <t>Наталья Зайковская</t>
        </is>
      </c>
      <c r="D692" s="3" t="n">
        <v>9751.5</v>
      </c>
      <c r="E692" s="4" t="n">
        <v>4</v>
      </c>
      <c r="F692" t="inlineStr">
        <is>
          <t>TravelLine Booking Engine [Чайковский]</t>
        </is>
      </c>
      <c r="G692" s="3">
        <f>ROUND(D692/(100-E692)*100,2)</f>
        <v/>
      </c>
      <c r="H692" s="5" t="n">
        <v>46235.58333333334</v>
      </c>
      <c r="I692" t="n">
        <v>1</v>
      </c>
      <c r="J692" s="3">
        <f>G692/I692</f>
        <v/>
      </c>
      <c r="K692">
        <f>IF(J692&gt;=5100,"ставка","мин.ставка")</f>
        <v/>
      </c>
      <c r="L692" s="3">
        <f>ROUND(IF(K692="мин.ставка",I692*100,G692/102*2),2)</f>
        <v/>
      </c>
      <c r="M692" s="5" t="n">
        <v>46236.5</v>
      </c>
      <c r="N692" t="inlineStr">
        <is>
          <t>TravelLine сайт</t>
        </is>
      </c>
      <c r="O692" s="2" t="inlineStr">
        <is>
          <t>СТАНДАРТНЫЙ ДВУХМЕСТНЫЙ НОМЕР (МАНСАРДА)</t>
        </is>
      </c>
      <c r="P692" s="6" t="n"/>
      <c r="R692" t="inlineStr"/>
      <c r="S692" t="inlineStr">
        <is>
          <t>Тариф с завтраком</t>
        </is>
      </c>
      <c r="T692" t="n">
        <v>0</v>
      </c>
      <c r="U692" t="n">
        <v>9751.5</v>
      </c>
    </row>
    <row r="693">
      <c r="A693" t="inlineStr">
        <is>
          <t>20260721-8186-440916013</t>
        </is>
      </c>
      <c r="B693" t="n">
        <v>1</v>
      </c>
      <c r="C693" s="2" t="inlineStr">
        <is>
          <t>Наталья Зайлер</t>
        </is>
      </c>
      <c r="D693" s="3" t="n">
        <v>43500</v>
      </c>
      <c r="E693" s="4" t="n">
        <v>0</v>
      </c>
      <c r="F693" t="inlineStr">
        <is>
          <t>Прямые бронирования (стойка) [Чайковский]</t>
        </is>
      </c>
      <c r="G693" s="3">
        <f>ROUND(D693/(100-E693)*100,2)</f>
        <v/>
      </c>
      <c r="H693" s="5" t="n">
        <v>46224.58333333334</v>
      </c>
      <c r="I693" t="n">
        <v>3</v>
      </c>
      <c r="J693" s="3">
        <f>G693/I693</f>
        <v/>
      </c>
      <c r="K693">
        <f>IF(J693&gt;=5100,"ставка","мин.ставка")</f>
        <v/>
      </c>
      <c r="L693" s="3">
        <f>ROUND(IF(K693="мин.ставка",I693*100,G693/102*2),2)</f>
        <v/>
      </c>
      <c r="M693" s="5" t="n">
        <v>46227.5</v>
      </c>
      <c r="N693" t="inlineStr">
        <is>
          <t>TravelLine ресепшн</t>
        </is>
      </c>
      <c r="O693" s="2" t="inlineStr">
        <is>
          <t>ПОЛУЛЮКС</t>
        </is>
      </c>
      <c r="P693" s="6" t="n"/>
      <c r="R693" t="inlineStr"/>
      <c r="S693" t="inlineStr">
        <is>
          <t>Тариф с завтраком</t>
        </is>
      </c>
      <c r="T693" t="n">
        <v>0</v>
      </c>
      <c r="U693" t="n">
        <v>43500</v>
      </c>
    </row>
    <row r="694">
      <c r="A694" t="inlineStr">
        <is>
          <t>20260907-8186-464187956</t>
        </is>
      </c>
      <c r="B694" t="n">
        <v>1</v>
      </c>
      <c r="C694" s="2" t="inlineStr">
        <is>
          <t>Наталья Зарубина</t>
        </is>
      </c>
      <c r="D694" s="3" t="n">
        <v>5925</v>
      </c>
      <c r="E694" s="4" t="n">
        <v>18</v>
      </c>
      <c r="F694" t="inlineStr">
        <is>
          <t>Яндекс.Путешествия [Чайковский]</t>
        </is>
      </c>
      <c r="G694" s="3">
        <f>ROUND(D694/(100-E694)*100,2)</f>
        <v/>
      </c>
      <c r="H694" s="5" t="n">
        <v>46272.58333333334</v>
      </c>
      <c r="I694" t="n">
        <v>1</v>
      </c>
      <c r="J694" s="3">
        <f>G694/I694</f>
        <v/>
      </c>
      <c r="K694">
        <f>IF(J694&gt;=5100,"ставка","мин.ставка")</f>
        <v/>
      </c>
      <c r="L694" s="3">
        <f>ROUND(IF(K694="мин.ставка",I694*100,G694/102*2),2)</f>
        <v/>
      </c>
      <c r="M694" s="5" t="n">
        <v>46273.5</v>
      </c>
      <c r="N694" t="inlineStr">
        <is>
          <t>TravelLine YAX</t>
        </is>
      </c>
      <c r="O694" s="2" t="inlineStr">
        <is>
          <t>СТАНДАРТНЫЙ ДВУХМЕСТНЫЙ НОМЕР (МАНСАРДА)</t>
        </is>
      </c>
      <c r="P694" s="6" t="n"/>
      <c r="R694" t="inlineStr"/>
      <c r="S694" t="inlineStr">
        <is>
          <t>Тариф с завтраком</t>
        </is>
      </c>
      <c r="T694" t="n">
        <v>0</v>
      </c>
      <c r="U694" t="n">
        <v>5925</v>
      </c>
    </row>
    <row r="695">
      <c r="A695" t="inlineStr">
        <is>
          <t>20260831-8186-462545984</t>
        </is>
      </c>
      <c r="B695" t="n">
        <v>1</v>
      </c>
      <c r="C695" s="2" t="inlineStr">
        <is>
          <t>Наталья Карасева, Елена Карасева</t>
        </is>
      </c>
      <c r="D695" s="3" t="n">
        <v>8316</v>
      </c>
      <c r="E695" s="4" t="n">
        <v>16</v>
      </c>
      <c r="F695" t="inlineStr">
        <is>
          <t>ООО "БРОНИРОВАНИЕ ГОСТИНИЦ" (OSTROVOK) [Чайковский]</t>
        </is>
      </c>
      <c r="G695" s="3">
        <f>ROUND(D695/(100-E695)*100,2)</f>
        <v/>
      </c>
      <c r="H695" s="5" t="n">
        <v>46265.58333333334</v>
      </c>
      <c r="I695" t="n">
        <v>1</v>
      </c>
      <c r="J695" s="3">
        <f>G695/I695</f>
        <v/>
      </c>
      <c r="K695">
        <f>IF(J695&gt;=5100,"ставка","мин.ставка")</f>
        <v/>
      </c>
      <c r="L695" s="3">
        <f>ROUND(IF(K695="мин.ставка",I695*100,G695/102*2),2)</f>
        <v/>
      </c>
      <c r="M695" s="5" t="n">
        <v>46266.5</v>
      </c>
      <c r="N695" t="inlineStr">
        <is>
          <t>TravelLine OTK</t>
        </is>
      </c>
      <c r="O695" s="2" t="inlineStr">
        <is>
          <t>СТАНДАРТНЫЙ ДВУХМЕСТНЫЙ НОМЕР</t>
        </is>
      </c>
      <c r="P695" s="6" t="n"/>
      <c r="R695" t="inlineStr"/>
      <c r="S695" t="inlineStr">
        <is>
          <t>Тариф с завтраком</t>
        </is>
      </c>
      <c r="T695" t="n">
        <v>0</v>
      </c>
      <c r="U695" t="n">
        <v>8316</v>
      </c>
    </row>
    <row r="696">
      <c r="A696" t="inlineStr">
        <is>
          <t>20260907-8186-455643629</t>
        </is>
      </c>
      <c r="B696" t="n">
        <v>1</v>
      </c>
      <c r="C696" s="2" t="inlineStr">
        <is>
          <t>Наталья Коноваленко, ВИКТОРИЯ ХРОМОВА</t>
        </is>
      </c>
      <c r="D696" s="3" t="n">
        <v>52986.15</v>
      </c>
      <c r="E696" s="4" t="n">
        <v>4</v>
      </c>
      <c r="F696" t="inlineStr">
        <is>
          <t>TravelLine Booking Engine [Чайковский]</t>
        </is>
      </c>
      <c r="G696" s="3">
        <f>ROUND(D696/(100-E696)*100,2)</f>
        <v/>
      </c>
      <c r="H696" s="5" t="n">
        <v>46272.58333333334</v>
      </c>
      <c r="I696" t="n">
        <v>4</v>
      </c>
      <c r="J696" s="3">
        <f>G696/I696</f>
        <v/>
      </c>
      <c r="K696">
        <f>IF(J696&gt;=5100,"ставка","мин.ставка")</f>
        <v/>
      </c>
      <c r="L696" s="3">
        <f>ROUND(IF(K696="мин.ставка",I696*100,G696/102*2),2)</f>
        <v/>
      </c>
      <c r="M696" s="5" t="n">
        <v>46276.5</v>
      </c>
      <c r="N696" t="inlineStr">
        <is>
          <t>TravelLine сайт</t>
        </is>
      </c>
      <c r="O696" s="2" t="inlineStr">
        <is>
          <t>СЕМЕЙНЫЙ НОМЕР КАТЕГОРИИ "СТАНДАРТ" ВТОРОЙ КОРПУС</t>
        </is>
      </c>
      <c r="P696" s="6" t="n"/>
      <c r="R696" t="inlineStr"/>
      <c r="S696" t="inlineStr">
        <is>
          <t>Тариф с завтраком</t>
        </is>
      </c>
      <c r="T696" t="n">
        <v>0</v>
      </c>
      <c r="U696" t="n">
        <v>52986.15</v>
      </c>
    </row>
    <row r="697">
      <c r="A697" t="inlineStr">
        <is>
          <t>20260811-8186-451623831</t>
        </is>
      </c>
      <c r="B697" t="n">
        <v>1</v>
      </c>
      <c r="C697" s="2" t="inlineStr">
        <is>
          <t>Наталья Копейкина, Андрей Копейкин</t>
        </is>
      </c>
      <c r="D697" s="3" t="n">
        <v>26180</v>
      </c>
      <c r="E697" s="4" t="n">
        <v>16</v>
      </c>
      <c r="F697" t="inlineStr">
        <is>
          <t>ООО "БРОНИРОВАНИЕ ГОСТИНИЦ" (OSTROVOK) [Чайковский]</t>
        </is>
      </c>
      <c r="G697" s="3">
        <f>ROUND(D697/(100-E697)*100,2)</f>
        <v/>
      </c>
      <c r="H697" s="5" t="n">
        <v>46245.58333333334</v>
      </c>
      <c r="I697" t="n">
        <v>2</v>
      </c>
      <c r="J697" s="3">
        <f>G697/I697</f>
        <v/>
      </c>
      <c r="K697">
        <f>IF(J697&gt;=5100,"ставка","мин.ставка")</f>
        <v/>
      </c>
      <c r="L697" s="3">
        <f>ROUND(IF(K697="мин.ставка",I697*100,G697/102*2),2)</f>
        <v/>
      </c>
      <c r="M697" s="5" t="n">
        <v>46247.5</v>
      </c>
      <c r="N697" t="inlineStr">
        <is>
          <t>TravelLine OTK</t>
        </is>
      </c>
      <c r="O697" s="2" t="inlineStr">
        <is>
          <t>УЛУЧШЕННЫЙ ДВУХМЕСТНЫЙ НОМЕР</t>
        </is>
      </c>
      <c r="P697" s="6" t="n"/>
      <c r="R697" t="inlineStr"/>
      <c r="S697" t="inlineStr">
        <is>
          <t>Тариф с завтраком</t>
        </is>
      </c>
      <c r="T697" t="n">
        <v>0</v>
      </c>
      <c r="U697" t="n">
        <v>26180</v>
      </c>
    </row>
    <row r="698">
      <c r="A698" t="inlineStr">
        <is>
          <t>20260825-8186-460757995</t>
        </is>
      </c>
      <c r="B698" t="n">
        <v>1</v>
      </c>
      <c r="C698" s="2" t="inlineStr">
        <is>
          <t>НАТАЛЬЯ КОРОЛЕВА</t>
        </is>
      </c>
      <c r="D698" s="3" t="n">
        <v>6680</v>
      </c>
      <c r="E698" s="4" t="n">
        <v>17</v>
      </c>
      <c r="F698" t="inlineStr">
        <is>
          <t>ООО «Интернет Трэвел» (OZON) [Чайковский]</t>
        </is>
      </c>
      <c r="G698" s="3">
        <f>ROUND(D698/(100-E698)*100,2)</f>
        <v/>
      </c>
      <c r="H698" s="5" t="n">
        <v>46259.58333333334</v>
      </c>
      <c r="I698" t="n">
        <v>1</v>
      </c>
      <c r="J698" s="3">
        <f>G698/I698</f>
        <v/>
      </c>
      <c r="K698">
        <f>IF(J698&gt;=5100,"ставка","мин.ставка")</f>
        <v/>
      </c>
      <c r="L698" s="3">
        <f>ROUND(IF(K698="мин.ставка",I698*100,G698/102*2),2)</f>
        <v/>
      </c>
      <c r="M698" s="5" t="n">
        <v>46260.5</v>
      </c>
      <c r="N698" t="inlineStr">
        <is>
          <t>TravelLine OZ2</t>
        </is>
      </c>
      <c r="O698" s="2" t="inlineStr">
        <is>
          <t>СТАНДАРТНЫЙ ОДНОМЕСТНЫЙ НОМЕР</t>
        </is>
      </c>
      <c r="P698" s="6" t="n"/>
      <c r="R698" t="inlineStr"/>
      <c r="S698" t="inlineStr">
        <is>
          <t>Тариф с завтраком</t>
        </is>
      </c>
      <c r="T698" t="n">
        <v>0</v>
      </c>
      <c r="U698" t="n">
        <v>6680</v>
      </c>
    </row>
    <row r="699">
      <c r="A699" t="inlineStr">
        <is>
          <t>20260701-8186-446759137</t>
        </is>
      </c>
      <c r="B699" t="n">
        <v>1</v>
      </c>
      <c r="C699" s="2" t="inlineStr">
        <is>
          <t>НАТАЛЬЯ ЛЕОСКО</t>
        </is>
      </c>
      <c r="D699" s="3" t="n">
        <v>16560</v>
      </c>
      <c r="E699" s="4" t="n">
        <v>20</v>
      </c>
      <c r="F699" t="inlineStr">
        <is>
          <t>ООО "ХБ-ПРО" [Чайковский]</t>
        </is>
      </c>
      <c r="G699" s="3">
        <f>ROUND(D699/(100-E699)*100,2)</f>
        <v/>
      </c>
      <c r="H699" s="5" t="n">
        <v>46204.58333333334</v>
      </c>
      <c r="I699" t="n">
        <v>2</v>
      </c>
      <c r="J699" s="3">
        <f>G699/I699</f>
        <v/>
      </c>
      <c r="K699">
        <f>IF(J699&gt;=5100,"ставка","мин.ставка")</f>
        <v/>
      </c>
      <c r="L699" s="3">
        <f>ROUND(IF(K699="мин.ставка",I699*100,G699/102*2),2)</f>
        <v/>
      </c>
      <c r="M699" s="5" t="n">
        <v>46206.5</v>
      </c>
      <c r="N699" t="inlineStr">
        <is>
          <t>TravelLine UTS</t>
        </is>
      </c>
      <c r="O699" s="2" t="inlineStr">
        <is>
          <t>СЕМЕЙНЫЙ НОМЕР КАТЕГОРИИ "СТАНДАРТ" ВТОРОЙ КОРПУС</t>
        </is>
      </c>
      <c r="P699" s="6" t="n"/>
      <c r="R699" t="inlineStr"/>
      <c r="S699" t="inlineStr">
        <is>
          <t>Тариф с завтраком</t>
        </is>
      </c>
      <c r="T699" t="n">
        <v>0</v>
      </c>
      <c r="U699" t="n">
        <v>16560</v>
      </c>
    </row>
    <row r="700">
      <c r="A700" t="inlineStr">
        <is>
          <t>20260809-8186-419208245</t>
        </is>
      </c>
      <c r="B700" t="n">
        <v>1</v>
      </c>
      <c r="C700" s="2" t="inlineStr">
        <is>
          <t>НАТАЛЬЯ МАКАРОВА, АНДРЕЙ МИХАЛЕВ</t>
        </is>
      </c>
      <c r="D700" s="3" t="n">
        <v>68085</v>
      </c>
      <c r="E700" s="4" t="n">
        <v>16</v>
      </c>
      <c r="F700" t="inlineStr">
        <is>
          <t>ООО "БРОНИРОВАНИЕ ГОСТИНИЦ" (OSTROVOK) [Чайковский]</t>
        </is>
      </c>
      <c r="G700" s="3">
        <f>ROUND(D700/(100-E700)*100,2)</f>
        <v/>
      </c>
      <c r="H700" s="5" t="n">
        <v>46243.58333333334</v>
      </c>
      <c r="I700" t="n">
        <v>6</v>
      </c>
      <c r="J700" s="3">
        <f>G700/I700</f>
        <v/>
      </c>
      <c r="K700">
        <f>IF(J700&gt;=5100,"ставка","мин.ставка")</f>
        <v/>
      </c>
      <c r="L700" s="3">
        <f>ROUND(IF(K700="мин.ставка",I700*100,G700/102*2),2)</f>
        <v/>
      </c>
      <c r="M700" s="5" t="n">
        <v>46249.5</v>
      </c>
      <c r="N700" t="inlineStr">
        <is>
          <t>TravelLine OTK</t>
        </is>
      </c>
      <c r="O700" s="2" t="inlineStr">
        <is>
          <t>СТАНДАРТНЫЙ ДВУХМЕСТНЫЙ НОМЕР</t>
        </is>
      </c>
      <c r="P700" s="6" t="n"/>
      <c r="R700" t="inlineStr"/>
      <c r="S700" t="inlineStr">
        <is>
          <t>Тариф с завтраком</t>
        </is>
      </c>
      <c r="T700" t="n">
        <v>0</v>
      </c>
      <c r="U700" t="n">
        <v>136170</v>
      </c>
    </row>
    <row r="701">
      <c r="A701" t="inlineStr">
        <is>
          <t>20260721-8186-450735881</t>
        </is>
      </c>
      <c r="B701" t="n">
        <v>1</v>
      </c>
      <c r="C701" s="2" t="inlineStr">
        <is>
          <t>НАТАЛЬЯ НИКОНОВА, Яков Никонов</t>
        </is>
      </c>
      <c r="D701" s="3" t="n">
        <v>37920</v>
      </c>
      <c r="E701" s="4" t="n">
        <v>20</v>
      </c>
      <c r="F701" t="inlineStr">
        <is>
          <t>ООО "ХБ-ПРО" [Чайковский]</t>
        </is>
      </c>
      <c r="G701" s="3">
        <f>ROUND(D701/(100-E701)*100,2)</f>
        <v/>
      </c>
      <c r="H701" s="5" t="n">
        <v>46224.58333333334</v>
      </c>
      <c r="I701" t="n">
        <v>3</v>
      </c>
      <c r="J701" s="3">
        <f>G701/I701</f>
        <v/>
      </c>
      <c r="K701">
        <f>IF(J701&gt;=5100,"ставка","мин.ставка")</f>
        <v/>
      </c>
      <c r="L701" s="3">
        <f>ROUND(IF(K701="мин.ставка",I701*100,G701/102*2),2)</f>
        <v/>
      </c>
      <c r="M701" s="5" t="n">
        <v>46227.5</v>
      </c>
      <c r="N701" t="inlineStr">
        <is>
          <t>TravelLine UTS</t>
        </is>
      </c>
      <c r="O701" s="2" t="inlineStr">
        <is>
          <t>ЛЮКС ВТОРОЙ КОРПУС</t>
        </is>
      </c>
      <c r="P701" s="6" t="n"/>
      <c r="R701" t="inlineStr"/>
      <c r="S701" t="inlineStr">
        <is>
          <t>Тариф с завтраком</t>
        </is>
      </c>
      <c r="T701" t="n">
        <v>6000</v>
      </c>
      <c r="U701" t="n">
        <v>43920</v>
      </c>
    </row>
    <row r="702">
      <c r="A702" t="inlineStr">
        <is>
          <t>20260721-8186-440916164</t>
        </is>
      </c>
      <c r="B702" t="n">
        <v>1</v>
      </c>
      <c r="C702" s="2" t="inlineStr">
        <is>
          <t>Наталья Новикова</t>
        </is>
      </c>
      <c r="D702" s="3" t="n">
        <v>34050</v>
      </c>
      <c r="E702" s="4" t="n">
        <v>0</v>
      </c>
      <c r="F702" t="inlineStr">
        <is>
          <t>Прямые бронирования (стойка) [Чайковский]</t>
        </is>
      </c>
      <c r="G702" s="3">
        <f>ROUND(D702/(100-E702)*100,2)</f>
        <v/>
      </c>
      <c r="H702" s="5" t="n">
        <v>46224.58333333334</v>
      </c>
      <c r="I702" t="n">
        <v>3</v>
      </c>
      <c r="J702" s="3">
        <f>G702/I702</f>
        <v/>
      </c>
      <c r="K702">
        <f>IF(J702&gt;=5100,"ставка","мин.ставка")</f>
        <v/>
      </c>
      <c r="L702" s="3">
        <f>ROUND(IF(K702="мин.ставка",I702*100,G702/102*2),2)</f>
        <v/>
      </c>
      <c r="M702" s="5" t="n">
        <v>46227.5</v>
      </c>
      <c r="N702" t="inlineStr">
        <is>
          <t>TravelLine ресепшн</t>
        </is>
      </c>
      <c r="O702" s="2" t="inlineStr">
        <is>
          <t>СТАНДАРТНЫЙ ДВУХМЕСТНЫЙ НОМЕР</t>
        </is>
      </c>
      <c r="P702" s="6" t="n"/>
      <c r="R702" t="inlineStr"/>
      <c r="S702" t="inlineStr">
        <is>
          <t>Тариф с завтраком</t>
        </is>
      </c>
      <c r="T702" t="n">
        <v>0</v>
      </c>
      <c r="U702" t="n">
        <v>34050</v>
      </c>
    </row>
    <row r="703">
      <c r="A703" t="inlineStr">
        <is>
          <t>20260929-8186-468991538</t>
        </is>
      </c>
      <c r="B703" t="n">
        <v>1</v>
      </c>
      <c r="C703" s="2" t="inlineStr">
        <is>
          <t>Наталья Поночевная, RYOTARO MIYASHITA</t>
        </is>
      </c>
      <c r="D703" s="3" t="n">
        <v>42925</v>
      </c>
      <c r="E703" s="4" t="n">
        <v>15</v>
      </c>
      <c r="F703" t="inlineStr">
        <is>
          <t>Trip.com Group [Чайковский]</t>
        </is>
      </c>
      <c r="G703" s="3">
        <f>ROUND(D703/(100-E703)*100,2)</f>
        <v/>
      </c>
      <c r="H703" s="5" t="n">
        <v>46294.58333333334</v>
      </c>
      <c r="I703" t="n">
        <v>3</v>
      </c>
      <c r="J703" s="3">
        <f>G703/I703</f>
        <v/>
      </c>
      <c r="K703">
        <f>IF(J703&gt;=5100,"ставка","мин.ставка")</f>
        <v/>
      </c>
      <c r="L703" s="3">
        <f>ROUND(IF(K703="мин.ставка",I703*100,G703/102*2),2)</f>
        <v/>
      </c>
      <c r="M703" s="5" t="n">
        <v>46297.5</v>
      </c>
      <c r="N703" t="inlineStr">
        <is>
          <t>TravelLine CTP</t>
        </is>
      </c>
      <c r="O703" s="2" t="inlineStr">
        <is>
          <t>ЛЮКС ВТОРОЙ КОРПУС</t>
        </is>
      </c>
      <c r="P703" s="6" t="n"/>
      <c r="R703" t="inlineStr"/>
      <c r="S703" t="inlineStr">
        <is>
          <t>Тариф с завтраком</t>
        </is>
      </c>
      <c r="T703" t="n">
        <v>0</v>
      </c>
      <c r="U703" t="n">
        <v>42925</v>
      </c>
    </row>
    <row r="704">
      <c r="A704" t="inlineStr">
        <is>
          <t>20260909-8186-463439312</t>
        </is>
      </c>
      <c r="B704" t="n">
        <v>1</v>
      </c>
      <c r="C704" s="2" t="inlineStr">
        <is>
          <t>Наталья Пряхина</t>
        </is>
      </c>
      <c r="D704" s="3" t="n">
        <v>10998.15</v>
      </c>
      <c r="E704" s="4" t="n">
        <v>4</v>
      </c>
      <c r="F704" t="inlineStr">
        <is>
          <t>TravelLine Booking Engine [Чайковский]</t>
        </is>
      </c>
      <c r="G704" s="3">
        <f>ROUND(D704/(100-E704)*100,2)</f>
        <v/>
      </c>
      <c r="H704" s="5" t="n">
        <v>46274.58333333334</v>
      </c>
      <c r="I704" t="n">
        <v>1</v>
      </c>
      <c r="J704" s="3">
        <f>G704/I704</f>
        <v/>
      </c>
      <c r="K704">
        <f>IF(J704&gt;=5100,"ставка","мин.ставка")</f>
        <v/>
      </c>
      <c r="L704" s="3">
        <f>ROUND(IF(K704="мин.ставка",I704*100,G704/102*2),2)</f>
        <v/>
      </c>
      <c r="M704" s="5" t="n">
        <v>46275.5</v>
      </c>
      <c r="N704" t="inlineStr">
        <is>
          <t>TravelLine сайт</t>
        </is>
      </c>
      <c r="O704" s="2" t="inlineStr">
        <is>
          <t>СТАНДАРТНЫЙ ДВУХМЕСТНЫЙ НОМЕР</t>
        </is>
      </c>
      <c r="P704" s="6" t="n"/>
      <c r="R704" t="inlineStr"/>
      <c r="S704" t="inlineStr">
        <is>
          <t>Тариф с завтраком</t>
        </is>
      </c>
      <c r="T704" t="n">
        <v>0</v>
      </c>
      <c r="U704" t="n">
        <v>10998.15</v>
      </c>
    </row>
    <row r="705">
      <c r="A705" t="inlineStr">
        <is>
          <t>20260730-8186-401372495</t>
        </is>
      </c>
      <c r="B705" t="n">
        <v>1</v>
      </c>
      <c r="C705" s="2" t="inlineStr">
        <is>
          <t>Наталья Селина, Илья Задорин</t>
        </is>
      </c>
      <c r="D705" s="3" t="n">
        <v>22695</v>
      </c>
      <c r="E705" s="4" t="n">
        <v>15</v>
      </c>
      <c r="F705" t="inlineStr">
        <is>
          <t>ООО "БРОНИРОВАНИЕ ГОСТИНИЦ" (OSTROVOK) [Чайковский]</t>
        </is>
      </c>
      <c r="G705" s="3">
        <f>ROUND(D705/(100-E705)*100,2)</f>
        <v/>
      </c>
      <c r="H705" s="5" t="n">
        <v>46233.58333333334</v>
      </c>
      <c r="I705" t="n">
        <v>2</v>
      </c>
      <c r="J705" s="3">
        <f>G705/I705</f>
        <v/>
      </c>
      <c r="K705">
        <f>IF(J705&gt;=5100,"ставка","мин.ставка")</f>
        <v/>
      </c>
      <c r="L705" s="3">
        <f>ROUND(IF(K705="мин.ставка",I705*100,G705/102*2),2)</f>
        <v/>
      </c>
      <c r="M705" s="5" t="n">
        <v>46235.5</v>
      </c>
      <c r="N705" t="inlineStr">
        <is>
          <t>TravelLine OTK</t>
        </is>
      </c>
      <c r="O705" s="2" t="inlineStr">
        <is>
          <t>СТАНДАРТНЫЙ ДВУХМЕСТНЫЙ НОМЕР</t>
        </is>
      </c>
      <c r="P705" s="6" t="n"/>
      <c r="R705" t="inlineStr"/>
      <c r="S705" t="inlineStr">
        <is>
          <t>Тариф с завтраком</t>
        </is>
      </c>
      <c r="T705" t="n">
        <v>0</v>
      </c>
      <c r="U705" t="n">
        <v>22695</v>
      </c>
    </row>
    <row r="706">
      <c r="A706" t="inlineStr">
        <is>
          <t>20260724-8186-452953731</t>
        </is>
      </c>
      <c r="B706" t="n">
        <v>1</v>
      </c>
      <c r="C706" s="2" t="inlineStr">
        <is>
          <t>Наталья Сибирева, ВЛАДИМИР ТИХОНОВ</t>
        </is>
      </c>
      <c r="D706" s="3" t="n">
        <v>10736.5</v>
      </c>
      <c r="E706" s="4" t="n">
        <v>4</v>
      </c>
      <c r="F706" t="inlineStr">
        <is>
          <t>TravelLine Booking Engine [Чайковский]</t>
        </is>
      </c>
      <c r="G706" s="3">
        <f>ROUND(D706/(100-E706)*100,2)</f>
        <v/>
      </c>
      <c r="H706" s="5" t="n">
        <v>46227.75</v>
      </c>
      <c r="I706" t="n">
        <v>1</v>
      </c>
      <c r="J706" s="3">
        <f>G706/I706</f>
        <v/>
      </c>
      <c r="K706">
        <f>IF(J706&gt;=5100,"ставка","мин.ставка")</f>
        <v/>
      </c>
      <c r="L706" s="3">
        <f>ROUND(IF(K706="мин.ставка",I706*100,G706/102*2),2)</f>
        <v/>
      </c>
      <c r="M706" s="5" t="n">
        <v>46228.5</v>
      </c>
      <c r="N706" t="inlineStr">
        <is>
          <t>TravelLine сайт</t>
        </is>
      </c>
      <c r="O706" s="2" t="inlineStr">
        <is>
          <t>СЕМЕЙНЫЙ НОМЕР КАТЕГОРИИ "СТАНДАРТ" ВТОРОЙ КОРПУС</t>
        </is>
      </c>
      <c r="P706" s="6" t="n"/>
      <c r="R706" t="inlineStr"/>
      <c r="S706" t="inlineStr">
        <is>
          <t>Тариф с завтраком</t>
        </is>
      </c>
      <c r="T706" t="n">
        <v>0</v>
      </c>
      <c r="U706" t="n">
        <v>10736.5</v>
      </c>
    </row>
    <row r="707">
      <c r="A707" t="inlineStr">
        <is>
          <t>20260910-8186-462995264</t>
        </is>
      </c>
      <c r="B707" t="n">
        <v>1</v>
      </c>
      <c r="C707" s="2" t="inlineStr">
        <is>
          <t>Наталья Соболева, ЕВГЕНИЙ БЕКИН</t>
        </is>
      </c>
      <c r="D707" s="3" t="n">
        <v>30627</v>
      </c>
      <c r="E707" s="4" t="n">
        <v>18</v>
      </c>
      <c r="F707" t="inlineStr">
        <is>
          <t>ООО "Эй энд Эй" [Чайковский]</t>
        </is>
      </c>
      <c r="G707" s="3">
        <f>ROUND(D707/(100-E707)*100,2)</f>
        <v/>
      </c>
      <c r="H707" s="5" t="n">
        <v>46275.58333333334</v>
      </c>
      <c r="I707" t="n">
        <v>3</v>
      </c>
      <c r="J707" s="3">
        <f>G707/I707</f>
        <v/>
      </c>
      <c r="K707">
        <f>IF(J707&gt;=5100,"ставка","мин.ставка")</f>
        <v/>
      </c>
      <c r="L707" s="3">
        <f>ROUND(IF(K707="мин.ставка",I707*100,G707/102*2),2)</f>
        <v/>
      </c>
      <c r="M707" s="5" t="n">
        <v>46278.5</v>
      </c>
      <c r="N707" t="inlineStr">
        <is>
          <t>TravelLine ANA</t>
        </is>
      </c>
      <c r="O707" s="2" t="inlineStr">
        <is>
          <t>СЕМЕЙНЫЙ НОМЕР КАТЕГОРИИ "СТАНДАРТ" ВТОРОЙ КОРПУС</t>
        </is>
      </c>
      <c r="P707" s="6" t="n"/>
      <c r="R707" t="inlineStr"/>
      <c r="S707" t="inlineStr">
        <is>
          <t>Тариф с завтраком</t>
        </is>
      </c>
      <c r="T707" t="n">
        <v>6000</v>
      </c>
      <c r="U707" t="n">
        <v>36627</v>
      </c>
    </row>
    <row r="708">
      <c r="A708" t="inlineStr">
        <is>
          <t>20260702-8186-447187422</t>
        </is>
      </c>
      <c r="B708" t="n">
        <v>1</v>
      </c>
      <c r="C708" s="2" t="inlineStr">
        <is>
          <t>Наталья Фетисова</t>
        </is>
      </c>
      <c r="D708" s="3" t="n">
        <v>9900</v>
      </c>
      <c r="E708" s="4" t="n">
        <v>0</v>
      </c>
      <c r="F708" t="inlineStr">
        <is>
          <t>Прямые бронирования (стойка) [Чайковский]</t>
        </is>
      </c>
      <c r="G708" s="3">
        <f>ROUND(D708/(100-E708)*100,2)</f>
        <v/>
      </c>
      <c r="H708" s="5" t="n">
        <v>46205.58333333334</v>
      </c>
      <c r="I708" t="n">
        <v>1</v>
      </c>
      <c r="J708" s="3">
        <f>G708/I708</f>
        <v/>
      </c>
      <c r="K708">
        <f>IF(J708&gt;=5100,"ставка","мин.ставка")</f>
        <v/>
      </c>
      <c r="L708" s="3">
        <f>ROUND(IF(K708="мин.ставка",I708*100,G708/102*2),2)</f>
        <v/>
      </c>
      <c r="M708" s="5" t="n">
        <v>46206.5</v>
      </c>
      <c r="N708" t="inlineStr">
        <is>
          <t>TravelLine ресепшн</t>
        </is>
      </c>
      <c r="O708" s="2" t="inlineStr">
        <is>
          <t>СТАНДАРТНЫЙ ДВУХМЕСТНЫЙ НОМЕР (МАНСАРДА)</t>
        </is>
      </c>
      <c r="P708" s="6" t="n"/>
      <c r="R708" t="inlineStr"/>
      <c r="S708" t="inlineStr">
        <is>
          <t>Тариф с завтраком</t>
        </is>
      </c>
      <c r="T708" t="n">
        <v>0</v>
      </c>
      <c r="U708" t="n">
        <v>9900</v>
      </c>
    </row>
    <row r="709">
      <c r="A709" t="inlineStr">
        <is>
          <t>20260904-8186-463350025</t>
        </is>
      </c>
      <c r="B709" t="n">
        <v>1</v>
      </c>
      <c r="C709" s="2" t="inlineStr">
        <is>
          <t>Наталья Шиловская</t>
        </is>
      </c>
      <c r="D709" s="3" t="n">
        <v>10500</v>
      </c>
      <c r="E709" s="4" t="n">
        <v>16</v>
      </c>
      <c r="F709" t="inlineStr">
        <is>
          <t>ООО "БРОНИРОВАНИЕ ГОСТИНИЦ" (OSTROVOK) [Чайковский]</t>
        </is>
      </c>
      <c r="G709" s="3">
        <f>ROUND(D709/(100-E709)*100,2)</f>
        <v/>
      </c>
      <c r="H709" s="5" t="n">
        <v>46269.58333333334</v>
      </c>
      <c r="I709" t="n">
        <v>1</v>
      </c>
      <c r="J709" s="3">
        <f>G709/I709</f>
        <v/>
      </c>
      <c r="K709">
        <f>IF(J709&gt;=5100,"ставка","мин.ставка")</f>
        <v/>
      </c>
      <c r="L709" s="3">
        <f>ROUND(IF(K709="мин.ставка",I709*100,G709/102*2),2)</f>
        <v/>
      </c>
      <c r="M709" s="5" t="n">
        <v>46270.5</v>
      </c>
      <c r="N709" t="inlineStr">
        <is>
          <t>TravelLine OTK</t>
        </is>
      </c>
      <c r="O709" s="2" t="inlineStr">
        <is>
          <t>ЛЮКС ВТОРОЙ КОРПУС</t>
        </is>
      </c>
      <c r="P709" s="6" t="n"/>
      <c r="R709" t="inlineStr"/>
      <c r="S709" t="inlineStr">
        <is>
          <t>Основной тариф без завтрака</t>
        </is>
      </c>
      <c r="T709" t="n">
        <v>0</v>
      </c>
      <c r="U709" t="n">
        <v>10500</v>
      </c>
    </row>
    <row r="710">
      <c r="A710" t="inlineStr">
        <is>
          <t>20260914-8186-463592253</t>
        </is>
      </c>
      <c r="B710" t="n">
        <v>1</v>
      </c>
      <c r="C710" s="2" t="inlineStr">
        <is>
          <t>НАТТЕЛА ТКАВАДЗЕ</t>
        </is>
      </c>
      <c r="D710" s="3" t="n">
        <v>9647.5</v>
      </c>
      <c r="E710" s="4" t="n">
        <v>15</v>
      </c>
      <c r="F710" t="inlineStr">
        <is>
          <t>ООО "Библио-Глобус Туроператор" [Чайковский]</t>
        </is>
      </c>
      <c r="G710" s="3">
        <f>ROUND(D710/(100-E710)*100,2)</f>
        <v/>
      </c>
      <c r="H710" s="5" t="n">
        <v>46279.58333333334</v>
      </c>
      <c r="I710" t="n">
        <v>1</v>
      </c>
      <c r="J710" s="3">
        <f>G710/I710</f>
        <v/>
      </c>
      <c r="K710">
        <f>IF(J710&gt;=5100,"ставка","мин.ставка")</f>
        <v/>
      </c>
      <c r="L710" s="3">
        <f>ROUND(IF(K710="мин.ставка",I710*100,G710/102*2),2)</f>
        <v/>
      </c>
      <c r="M710" s="5" t="n">
        <v>46280.5</v>
      </c>
      <c r="N710" t="inlineStr">
        <is>
          <t>TravelLine BGL</t>
        </is>
      </c>
      <c r="O710" s="2" t="inlineStr">
        <is>
          <t>СТАНДАРТНЫЙ ДВУХМЕСТНЫЙ НОМЕР</t>
        </is>
      </c>
      <c r="P710" s="6" t="n"/>
      <c r="R710" t="inlineStr"/>
      <c r="S710" t="inlineStr">
        <is>
          <t>Тариф с завтраком</t>
        </is>
      </c>
      <c r="T710" t="n">
        <v>0</v>
      </c>
      <c r="U710" t="n">
        <v>9647.5</v>
      </c>
    </row>
    <row r="711">
      <c r="A711" t="inlineStr">
        <is>
          <t>20260808-8186-441380386</t>
        </is>
      </c>
      <c r="B711" t="n">
        <v>1</v>
      </c>
      <c r="C711" s="2" t="inlineStr">
        <is>
          <t>Никита Войнов, Мария Муромова</t>
        </is>
      </c>
      <c r="D711" s="3" t="n">
        <v>7920</v>
      </c>
      <c r="E711" s="4" t="n">
        <v>18</v>
      </c>
      <c r="F711" t="inlineStr">
        <is>
          <t>Яндекс.Путешествия [Чайковский]</t>
        </is>
      </c>
      <c r="G711" s="3">
        <f>ROUND(D711/(100-E711)*100,2)</f>
        <v/>
      </c>
      <c r="H711" s="5" t="n">
        <v>46242.58333333334</v>
      </c>
      <c r="I711" t="n">
        <v>1</v>
      </c>
      <c r="J711" s="3">
        <f>G711/I711</f>
        <v/>
      </c>
      <c r="K711">
        <f>IF(J711&gt;=5100,"ставка","мин.ставка")</f>
        <v/>
      </c>
      <c r="L711" s="3">
        <f>ROUND(IF(K711="мин.ставка",I711*100,G711/102*2),2)</f>
        <v/>
      </c>
      <c r="M711" s="5" t="n">
        <v>46243.5</v>
      </c>
      <c r="N711" t="inlineStr">
        <is>
          <t>TravelLine YAX</t>
        </is>
      </c>
      <c r="O711" s="2" t="inlineStr">
        <is>
          <t>СТАНДАРТНЫЙ ДВУХМЕСТНЫЙ НОМЕР (МАНСАРДА)</t>
        </is>
      </c>
      <c r="P711" s="6" t="n"/>
      <c r="R711" t="inlineStr"/>
      <c r="S711" t="inlineStr">
        <is>
          <t>Тариф с завтраком</t>
        </is>
      </c>
      <c r="T711" t="n">
        <v>0</v>
      </c>
      <c r="U711" t="n">
        <v>7920</v>
      </c>
    </row>
    <row r="712">
      <c r="A712" t="inlineStr">
        <is>
          <t>20260924-8186-467746202</t>
        </is>
      </c>
      <c r="B712" t="n">
        <v>1</v>
      </c>
      <c r="C712" s="2" t="inlineStr">
        <is>
          <t>Никита Кривошеин, Алина Федорец</t>
        </is>
      </c>
      <c r="D712" s="3" t="n">
        <v>26700</v>
      </c>
      <c r="E712" s="4" t="n">
        <v>18</v>
      </c>
      <c r="F712" t="inlineStr">
        <is>
          <t>Яндекс.Путешествия [Чайковский]</t>
        </is>
      </c>
      <c r="G712" s="3">
        <f>ROUND(D712/(100-E712)*100,2)</f>
        <v/>
      </c>
      <c r="H712" s="5" t="n">
        <v>46289.58333333334</v>
      </c>
      <c r="I712" t="n">
        <v>2</v>
      </c>
      <c r="J712" s="3">
        <f>G712/I712</f>
        <v/>
      </c>
      <c r="K712">
        <f>IF(J712&gt;=5100,"ставка","мин.ставка")</f>
        <v/>
      </c>
      <c r="L712" s="3">
        <f>ROUND(IF(K712="мин.ставка",I712*100,G712/102*2),2)</f>
        <v/>
      </c>
      <c r="M712" s="5" t="n">
        <v>46291.5</v>
      </c>
      <c r="N712" t="inlineStr">
        <is>
          <t>TravelLine YAX</t>
        </is>
      </c>
      <c r="O712" s="2" t="inlineStr">
        <is>
          <t>ЛЮКС ВТОРОЙ КОРПУС</t>
        </is>
      </c>
      <c r="P712" s="6" t="n"/>
      <c r="R712" t="inlineStr"/>
      <c r="S712" t="inlineStr">
        <is>
          <t>Тариф с завтраком</t>
        </is>
      </c>
      <c r="T712" t="n">
        <v>0</v>
      </c>
      <c r="U712" t="n">
        <v>26700</v>
      </c>
    </row>
    <row r="713">
      <c r="A713" t="inlineStr">
        <is>
          <t>20260930-8186-466735765</t>
        </is>
      </c>
      <c r="B713" t="n">
        <v>1</v>
      </c>
      <c r="C713" s="2" t="inlineStr">
        <is>
          <t>НИКИТА СЕРГЕЕВ</t>
        </is>
      </c>
      <c r="D713" s="3" t="n">
        <v>18062.5</v>
      </c>
      <c r="E713" s="4" t="n">
        <v>15</v>
      </c>
      <c r="F713" t="inlineStr">
        <is>
          <t>ООО "АКАДЕМ-ОНЛАЙН" [Чайковский]</t>
        </is>
      </c>
      <c r="G713" s="3">
        <f>ROUND(D713/(100-E713)*100,2)</f>
        <v/>
      </c>
      <c r="H713" s="5" t="n">
        <v>46295.58333333334</v>
      </c>
      <c r="I713" t="n">
        <v>2</v>
      </c>
      <c r="J713" s="3">
        <f>G713/I713</f>
        <v/>
      </c>
      <c r="K713">
        <f>IF(J713&gt;=5100,"ставка","мин.ставка")</f>
        <v/>
      </c>
      <c r="L713" s="3">
        <f>ROUND(IF(K713="мин.ставка",I713*100,G713/102*2),2)</f>
        <v/>
      </c>
      <c r="M713" s="5" t="n">
        <v>46297.5</v>
      </c>
      <c r="N713" t="inlineStr">
        <is>
          <t>TravelLine ACS</t>
        </is>
      </c>
      <c r="O713" s="2" t="inlineStr">
        <is>
          <t>СТАНДАРТНЫЙ ДВУХМЕСТНЫЙ НОМЕР</t>
        </is>
      </c>
      <c r="P713" s="6" t="n"/>
      <c r="R713" t="inlineStr"/>
      <c r="S713" t="inlineStr">
        <is>
          <t>Тариф с завтраком</t>
        </is>
      </c>
      <c r="T713" t="n">
        <v>0</v>
      </c>
      <c r="U713" t="n">
        <v>18062.5</v>
      </c>
    </row>
    <row r="714">
      <c r="A714" t="inlineStr">
        <is>
          <t>20260704-8186-442805250</t>
        </is>
      </c>
      <c r="B714" t="n">
        <v>1</v>
      </c>
      <c r="C714" s="2" t="inlineStr">
        <is>
          <t>Никита Шалыгин</t>
        </is>
      </c>
      <c r="D714" s="3" t="n">
        <v>34050</v>
      </c>
      <c r="E714" s="4" t="n">
        <v>0</v>
      </c>
      <c r="F714" t="inlineStr">
        <is>
          <t>Прямые бронирования (стойка) [Чайковский]</t>
        </is>
      </c>
      <c r="G714" s="3">
        <f>ROUND(D714/(100-E714)*100,2)</f>
        <v/>
      </c>
      <c r="H714" s="5" t="n">
        <v>46207.58333333334</v>
      </c>
      <c r="I714" t="n">
        <v>3</v>
      </c>
      <c r="J714" s="3">
        <f>G714/I714</f>
        <v/>
      </c>
      <c r="K714">
        <f>IF(J714&gt;=5100,"ставка","мин.ставка")</f>
        <v/>
      </c>
      <c r="L714" s="3">
        <f>ROUND(IF(K714="мин.ставка",I714*100,G714/102*2),2)</f>
        <v/>
      </c>
      <c r="M714" s="5" t="n">
        <v>46210.5</v>
      </c>
      <c r="N714" t="inlineStr">
        <is>
          <t>TravelLine ресепшн</t>
        </is>
      </c>
      <c r="O714" s="2" t="inlineStr">
        <is>
          <t>СТАНДАРТНЫЙ ДВУХМЕСТНЫЙ НОМЕР</t>
        </is>
      </c>
      <c r="P714" s="6" t="n"/>
      <c r="R714" t="inlineStr"/>
      <c r="S714" t="inlineStr">
        <is>
          <t>Тариф с завтраком</t>
        </is>
      </c>
      <c r="T714" t="n">
        <v>0</v>
      </c>
      <c r="U714" t="n">
        <v>34050</v>
      </c>
    </row>
    <row r="715">
      <c r="A715" t="inlineStr">
        <is>
          <t>20260630-8186-439700002</t>
        </is>
      </c>
      <c r="B715" t="n">
        <v>1</v>
      </c>
      <c r="C715" s="2" t="inlineStr">
        <is>
          <t>Николай Богданов</t>
        </is>
      </c>
      <c r="D715" s="3" t="n">
        <v>27921</v>
      </c>
      <c r="E715" s="4" t="n">
        <v>18</v>
      </c>
      <c r="F715" t="inlineStr">
        <is>
          <t>ООО "Эй энд Эй" [Чайковский]</t>
        </is>
      </c>
      <c r="G715" s="3">
        <f>ROUND(D715/(100-E715)*100,2)</f>
        <v/>
      </c>
      <c r="H715" s="5" t="n">
        <v>46203.58333333334</v>
      </c>
      <c r="I715" t="n">
        <v>3</v>
      </c>
      <c r="J715" s="3">
        <f>G715/I715</f>
        <v/>
      </c>
      <c r="K715">
        <f>IF(J715&gt;=5100,"ставка","мин.ставка")</f>
        <v/>
      </c>
      <c r="L715" s="3">
        <f>ROUND(IF(K715="мин.ставка",I715*100,G715/102*2),2)</f>
        <v/>
      </c>
      <c r="M715" s="5" t="n">
        <v>46206.5</v>
      </c>
      <c r="N715" t="inlineStr">
        <is>
          <t>TravelLine ANA</t>
        </is>
      </c>
      <c r="O715" s="2" t="inlineStr">
        <is>
          <t>СТАНДАРТНЫЙ ДВУХМЕСТНЫЙ НОМЕР</t>
        </is>
      </c>
      <c r="P715" s="6" t="n"/>
      <c r="R715" t="inlineStr"/>
      <c r="S715" t="inlineStr">
        <is>
          <t>Тариф с завтраком</t>
        </is>
      </c>
      <c r="T715" t="n">
        <v>0</v>
      </c>
      <c r="U715" t="n">
        <v>27921</v>
      </c>
    </row>
    <row r="716">
      <c r="A716" t="inlineStr">
        <is>
          <t>20260728-8186-451976578</t>
        </is>
      </c>
      <c r="B716" t="n">
        <v>1</v>
      </c>
      <c r="C716" s="2" t="inlineStr">
        <is>
          <t>НИКОЛАЙ ГАВРИЛЬЧЕНКО, ГАЛИНА ГАВРИЛЬЧЕНКО</t>
        </is>
      </c>
      <c r="D716" s="3" t="n">
        <v>78540</v>
      </c>
      <c r="E716" s="4" t="n">
        <v>0</v>
      </c>
      <c r="F716" t="inlineStr">
        <is>
          <t>ООО «ХОМЛИН ЛЭНД» (ПЕГАС) [Чайковский]</t>
        </is>
      </c>
      <c r="G716" s="3">
        <f>ROUND(D716/(100-E716)*100,2)</f>
        <v/>
      </c>
      <c r="H716" s="5" t="n">
        <v>46231.58333333334</v>
      </c>
      <c r="I716" t="n">
        <v>6</v>
      </c>
      <c r="J716" s="3">
        <f>G716/I716</f>
        <v/>
      </c>
      <c r="K716">
        <f>IF(J716&gt;=5100,"ставка","мин.ставка")</f>
        <v/>
      </c>
      <c r="L716" s="3">
        <f>ROUND(IF(K716="мин.ставка",I716*100,G716/102*2),2)</f>
        <v/>
      </c>
      <c r="M716" s="5" t="n">
        <v>46237.5</v>
      </c>
      <c r="N716" t="inlineStr">
        <is>
          <t>TravelLine PGS</t>
        </is>
      </c>
      <c r="O716" s="2" t="inlineStr">
        <is>
          <t>УЛУЧШЕННЫЙ ДВУХМЕСТНЫЙ НОМЕР</t>
        </is>
      </c>
      <c r="P716" s="6" t="n"/>
      <c r="R716" t="inlineStr"/>
      <c r="S716" t="inlineStr">
        <is>
          <t>Тариф с завтраком</t>
        </is>
      </c>
      <c r="T716" t="n">
        <v>0</v>
      </c>
      <c r="U716" t="n">
        <v>78540</v>
      </c>
    </row>
    <row r="717">
      <c r="A717" t="inlineStr">
        <is>
          <t>20260809-8186-456961370</t>
        </is>
      </c>
      <c r="B717" t="n">
        <v>1</v>
      </c>
      <c r="C717" s="2" t="inlineStr">
        <is>
          <t>НИКОЛАЙ Двугрошев</t>
        </is>
      </c>
      <c r="D717" s="3" t="n">
        <v>16500</v>
      </c>
      <c r="E717" s="4" t="n">
        <v>0</v>
      </c>
      <c r="F717" t="inlineStr">
        <is>
          <t>Прямые бронирования (стойка) [Чайковский]</t>
        </is>
      </c>
      <c r="G717" s="3">
        <f>ROUND(D717/(100-E717)*100,2)</f>
        <v/>
      </c>
      <c r="H717" s="5" t="n">
        <v>46243.58333333334</v>
      </c>
      <c r="I717" t="n">
        <v>1</v>
      </c>
      <c r="J717" s="3">
        <f>G717/I717</f>
        <v/>
      </c>
      <c r="K717">
        <f>IF(J717&gt;=5100,"ставка","мин.ставка")</f>
        <v/>
      </c>
      <c r="L717" s="3">
        <f>ROUND(IF(K717="мин.ставка",I717*100,G717/102*2),2)</f>
        <v/>
      </c>
      <c r="M717" s="5" t="n">
        <v>46244.5</v>
      </c>
      <c r="N717" t="inlineStr">
        <is>
          <t>TravelLine ресепшн</t>
        </is>
      </c>
      <c r="O717" s="2" t="inlineStr">
        <is>
          <t>ПОЛУЛЮКС</t>
        </is>
      </c>
      <c r="P717" s="6" t="n"/>
      <c r="R717" t="inlineStr"/>
      <c r="S717" t="inlineStr">
        <is>
          <t>Тариф с завтраком</t>
        </is>
      </c>
      <c r="T717" t="n">
        <v>0</v>
      </c>
      <c r="U717" t="n">
        <v>16500</v>
      </c>
    </row>
    <row r="718">
      <c r="A718" t="inlineStr">
        <is>
          <t>20260723-8186-449405708</t>
        </is>
      </c>
      <c r="B718" t="n">
        <v>1</v>
      </c>
      <c r="C718" s="2" t="inlineStr">
        <is>
          <t>Николай Семенов</t>
        </is>
      </c>
      <c r="D718" s="3" t="n">
        <v>30645</v>
      </c>
      <c r="E718" s="4" t="n">
        <v>0</v>
      </c>
      <c r="F718" t="inlineStr">
        <is>
          <t>Прямые бронирования (стойка) [Чайковский]</t>
        </is>
      </c>
      <c r="G718" s="3">
        <f>ROUND(D718/(100-E718)*100,2)</f>
        <v/>
      </c>
      <c r="H718" s="5" t="n">
        <v>46226.58333333334</v>
      </c>
      <c r="I718" t="n">
        <v>3</v>
      </c>
      <c r="J718" s="3">
        <f>G718/I718</f>
        <v/>
      </c>
      <c r="K718">
        <f>IF(J718&gt;=5100,"ставка","мин.ставка")</f>
        <v/>
      </c>
      <c r="L718" s="3">
        <f>ROUND(IF(K718="мин.ставка",I718*100,G718/102*2),2)</f>
        <v/>
      </c>
      <c r="M718" s="5" t="n">
        <v>46229.5</v>
      </c>
      <c r="N718" t="inlineStr">
        <is>
          <t>TravelLine ресепшн</t>
        </is>
      </c>
      <c r="O718" s="2" t="inlineStr">
        <is>
          <t>СТАНДАРТНЫЙ ДВУХМЕСТНЫЙ НОМЕР</t>
        </is>
      </c>
      <c r="P718" s="6" t="n"/>
      <c r="R718" t="inlineStr"/>
      <c r="S718" t="inlineStr">
        <is>
          <t>Тариф с завтраком</t>
        </is>
      </c>
      <c r="T718" t="n">
        <v>0</v>
      </c>
      <c r="U718" t="n">
        <v>30645</v>
      </c>
    </row>
    <row r="719">
      <c r="A719" t="inlineStr">
        <is>
          <t>20260821-8186-459875156</t>
        </is>
      </c>
      <c r="B719" t="n">
        <v>1</v>
      </c>
      <c r="C719" s="2" t="inlineStr">
        <is>
          <t>НИКОЛАЙ Соболев</t>
        </is>
      </c>
      <c r="D719" s="3" t="n">
        <v>11350</v>
      </c>
      <c r="E719" s="4" t="n">
        <v>0</v>
      </c>
      <c r="F719" t="inlineStr">
        <is>
          <t>Прямые бронирования (стойка) [Чайковский]</t>
        </is>
      </c>
      <c r="G719" s="3">
        <f>ROUND(D719/(100-E719)*100,2)</f>
        <v/>
      </c>
      <c r="H719" s="5" t="n">
        <v>46255.58333333334</v>
      </c>
      <c r="I719" t="n">
        <v>1</v>
      </c>
      <c r="J719" s="3">
        <f>G719/I719</f>
        <v/>
      </c>
      <c r="K719">
        <f>IF(J719&gt;=5100,"ставка","мин.ставка")</f>
        <v/>
      </c>
      <c r="L719" s="3">
        <f>ROUND(IF(K719="мин.ставка",I719*100,G719/102*2),2)</f>
        <v/>
      </c>
      <c r="M719" s="5" t="n">
        <v>46256.5</v>
      </c>
      <c r="N719" t="inlineStr">
        <is>
          <t>TravelLine ресепшн</t>
        </is>
      </c>
      <c r="O719" s="2" t="inlineStr">
        <is>
          <t>СТАНДАРТНЫЙ ДВУХМЕСТНЫЙ НОМЕР</t>
        </is>
      </c>
      <c r="P719" s="6" t="n"/>
      <c r="R719" t="inlineStr"/>
      <c r="S719" t="inlineStr">
        <is>
          <t>Тариф с завтраком</t>
        </is>
      </c>
      <c r="T719" t="n">
        <v>0</v>
      </c>
      <c r="U719" t="n">
        <v>11350</v>
      </c>
    </row>
    <row r="720">
      <c r="A720" t="inlineStr">
        <is>
          <t>20260706-8186-446293718</t>
        </is>
      </c>
      <c r="B720" t="n">
        <v>1</v>
      </c>
      <c r="C720" s="2" t="inlineStr">
        <is>
          <t>Николай Сорокин</t>
        </is>
      </c>
      <c r="D720" s="3" t="n">
        <v>30000</v>
      </c>
      <c r="E720" s="4" t="n">
        <v>0</v>
      </c>
      <c r="F720" t="inlineStr">
        <is>
          <t>Прямые бронирования (стойка) [Чайковский]</t>
        </is>
      </c>
      <c r="G720" s="3">
        <f>ROUND(D720/(100-E720)*100,2)</f>
        <v/>
      </c>
      <c r="H720" s="5" t="n">
        <v>46209.58333333334</v>
      </c>
      <c r="I720" t="n">
        <v>2</v>
      </c>
      <c r="J720" s="3">
        <f>G720/I720</f>
        <v/>
      </c>
      <c r="K720">
        <f>IF(J720&gt;=5100,"ставка","мин.ставка")</f>
        <v/>
      </c>
      <c r="L720" s="3">
        <f>ROUND(IF(K720="мин.ставка",I720*100,G720/102*2),2)</f>
        <v/>
      </c>
      <c r="M720" s="5" t="n">
        <v>46211.5</v>
      </c>
      <c r="N720" t="inlineStr">
        <is>
          <t>TravelLine ресепшн</t>
        </is>
      </c>
      <c r="O720" s="2" t="inlineStr">
        <is>
          <t>СТАНДАРТНЫЙ ДВУХМЕСТНЫЙ НОМЕР</t>
        </is>
      </c>
      <c r="P720" s="6" t="n"/>
      <c r="R720" t="inlineStr"/>
      <c r="S720" t="inlineStr">
        <is>
          <t>Тариф с завтраком</t>
        </is>
      </c>
      <c r="T720" t="n">
        <v>0</v>
      </c>
      <c r="U720" t="n">
        <v>30000</v>
      </c>
    </row>
    <row r="721">
      <c r="A721" t="inlineStr">
        <is>
          <t>20260916-8186-460918498</t>
        </is>
      </c>
      <c r="B721" t="n">
        <v>1</v>
      </c>
      <c r="C721" s="2" t="inlineStr">
        <is>
          <t>Николай Стовпец, ЛЮДМИЛА СТОВПЕЦ</t>
        </is>
      </c>
      <c r="D721" s="3" t="n">
        <v>83160</v>
      </c>
      <c r="E721" s="4" t="n">
        <v>0</v>
      </c>
      <c r="F721" t="inlineStr">
        <is>
          <t>Прямые бронирования (стойка) [Чайковский]</t>
        </is>
      </c>
      <c r="G721" s="3">
        <f>ROUND(D721/(100-E721)*100,2)</f>
        <v/>
      </c>
      <c r="H721" s="5" t="n">
        <v>46280.58333333334</v>
      </c>
      <c r="I721" t="n">
        <v>6</v>
      </c>
      <c r="J721" s="3">
        <f>G721/I721</f>
        <v/>
      </c>
      <c r="K721">
        <f>IF(J721&gt;=5100,"ставка","мин.ставка")</f>
        <v/>
      </c>
      <c r="L721" s="3">
        <f>ROUND(IF(K721="мин.ставка",I721*100,G721/102*2),2)</f>
        <v/>
      </c>
      <c r="M721" s="5" t="n">
        <v>46286.5</v>
      </c>
      <c r="N721" t="inlineStr">
        <is>
          <t>TravelLine ресепшн</t>
        </is>
      </c>
      <c r="O721" s="2" t="inlineStr">
        <is>
          <t>УЛУЧШЕННЫЙ ДВУХМЕСТНЫЙ НОМЕР</t>
        </is>
      </c>
      <c r="P721" s="6" t="n"/>
      <c r="R721" t="inlineStr"/>
      <c r="S721" t="inlineStr">
        <is>
          <t>Тариф с завтраком</t>
        </is>
      </c>
      <c r="T721" t="n">
        <v>0</v>
      </c>
      <c r="U721" t="n">
        <v>83160</v>
      </c>
    </row>
    <row r="722">
      <c r="A722" t="inlineStr">
        <is>
          <t>20260911-8186-459836145</t>
        </is>
      </c>
      <c r="B722" t="n">
        <v>1</v>
      </c>
      <c r="C722" s="2" t="inlineStr">
        <is>
          <t>НИКОЛАЙ ШИНОВ, ТАТЬЯНА ЛЕВАЧЕВА</t>
        </is>
      </c>
      <c r="D722" s="3" t="n">
        <v>39449.25</v>
      </c>
      <c r="E722" s="4" t="n">
        <v>4</v>
      </c>
      <c r="F722" t="inlineStr">
        <is>
          <t>TravelLine Booking Engine [Чайковский]</t>
        </is>
      </c>
      <c r="G722" s="3">
        <f>ROUND(D722/(100-E722)*100,2)</f>
        <v/>
      </c>
      <c r="H722" s="5" t="n">
        <v>46276.58333333334</v>
      </c>
      <c r="I722" t="n">
        <v>3</v>
      </c>
      <c r="J722" s="3">
        <f>G722/I722</f>
        <v/>
      </c>
      <c r="K722">
        <f>IF(J722&gt;=5100,"ставка","мин.ставка")</f>
        <v/>
      </c>
      <c r="L722" s="3">
        <f>ROUND(IF(K722="мин.ставка",I722*100,G722/102*2),2)</f>
        <v/>
      </c>
      <c r="M722" s="5" t="n">
        <v>46279.5</v>
      </c>
      <c r="N722" t="inlineStr">
        <is>
          <t>TravelLine сайт</t>
        </is>
      </c>
      <c r="O722" s="2" t="inlineStr">
        <is>
          <t>СТАНДАРТНЫЙ ДВУХМЕСТНЫЙ НОМЕР</t>
        </is>
      </c>
      <c r="P722" s="6" t="n"/>
      <c r="R722" t="inlineStr"/>
      <c r="S722" t="inlineStr">
        <is>
          <t>Тариф с завтраком</t>
        </is>
      </c>
      <c r="T722" t="n">
        <v>0</v>
      </c>
      <c r="U722" t="n">
        <v>39449.25</v>
      </c>
    </row>
    <row r="723">
      <c r="A723" t="inlineStr">
        <is>
          <t>20260627-8186-440220677</t>
        </is>
      </c>
      <c r="B723" t="n">
        <v>1</v>
      </c>
      <c r="C723" s="2" t="inlineStr">
        <is>
          <t>НИКОЛАЙ ЯРОВОЙ, ЕЛЕНА ИСУПОВА</t>
        </is>
      </c>
      <c r="D723" s="3" t="n">
        <v>76629</v>
      </c>
      <c r="E723" s="4" t="n">
        <v>18</v>
      </c>
      <c r="F723" t="inlineStr">
        <is>
          <t>ООО "ТРИВИО СЕРВИС" [Чайковский]</t>
        </is>
      </c>
      <c r="G723" s="3">
        <f>ROUND(D723/(100-E723)*100,2)</f>
        <v/>
      </c>
      <c r="H723" s="5" t="n">
        <v>46200.58333333334</v>
      </c>
      <c r="I723" t="n">
        <v>7</v>
      </c>
      <c r="J723" s="3">
        <f>G723/I723</f>
        <v/>
      </c>
      <c r="K723">
        <f>IF(J723&gt;=5100,"ставка","мин.ставка")</f>
        <v/>
      </c>
      <c r="L723" s="3">
        <f>ROUND(IF(K723="мин.ставка",I723*100,G723/102*2),2)</f>
        <v/>
      </c>
      <c r="M723" s="5" t="n">
        <v>46207.91666666666</v>
      </c>
      <c r="N723" t="inlineStr">
        <is>
          <t>TravelLine TIO</t>
        </is>
      </c>
      <c r="O723" s="2" t="inlineStr">
        <is>
          <t>СТАНДАРТНЫЙ ДВУХМЕСТНЫЙ НОМЕР</t>
        </is>
      </c>
      <c r="P723" s="6" t="n"/>
      <c r="R723" t="inlineStr"/>
      <c r="S723" t="inlineStr">
        <is>
          <t>Тариф с завтраком</t>
        </is>
      </c>
      <c r="T723" t="n">
        <v>13147</v>
      </c>
      <c r="U723" t="n">
        <v>89776</v>
      </c>
    </row>
    <row r="724">
      <c r="A724" t="inlineStr">
        <is>
          <t>20260806-8186-455738885</t>
        </is>
      </c>
      <c r="B724" t="n">
        <v>1</v>
      </c>
      <c r="C724" s="2" t="inlineStr">
        <is>
          <t>Николай Яроцкий</t>
        </is>
      </c>
      <c r="D724" s="3" t="n">
        <v>11350</v>
      </c>
      <c r="E724" s="4" t="n">
        <v>0</v>
      </c>
      <c r="F724" t="inlineStr">
        <is>
          <t>Прямые бронирования (стойка) [Чайковский]</t>
        </is>
      </c>
      <c r="G724" s="3">
        <f>ROUND(D724/(100-E724)*100,2)</f>
        <v/>
      </c>
      <c r="H724" s="5" t="n">
        <v>46240.58333333334</v>
      </c>
      <c r="I724" t="n">
        <v>1</v>
      </c>
      <c r="J724" s="3">
        <f>G724/I724</f>
        <v/>
      </c>
      <c r="K724">
        <f>IF(J724&gt;=5100,"ставка","мин.ставка")</f>
        <v/>
      </c>
      <c r="L724" s="3">
        <f>ROUND(IF(K724="мин.ставка",I724*100,G724/102*2),2)</f>
        <v/>
      </c>
      <c r="M724" s="5" t="n">
        <v>46241.5</v>
      </c>
      <c r="N724" t="inlineStr">
        <is>
          <t>TravelLine ресепшн</t>
        </is>
      </c>
      <c r="O724" s="2" t="inlineStr">
        <is>
          <t>СТАНДАРТНЫЙ ДВУХМЕСТНЫЙ НОМЕР</t>
        </is>
      </c>
      <c r="P724" s="6" t="n"/>
      <c r="R724" t="inlineStr"/>
      <c r="S724" t="inlineStr">
        <is>
          <t>Тариф с завтраком</t>
        </is>
      </c>
      <c r="T724" t="n">
        <v>0</v>
      </c>
      <c r="U724" t="n">
        <v>11350</v>
      </c>
    </row>
    <row r="725">
      <c r="A725" t="inlineStr">
        <is>
          <t>20260922-8186-466961418</t>
        </is>
      </c>
      <c r="B725" t="n">
        <v>1</v>
      </c>
      <c r="C725" s="2" t="inlineStr">
        <is>
          <t>Нина Балаян</t>
        </is>
      </c>
      <c r="D725" s="3" t="n">
        <v>44325</v>
      </c>
      <c r="E725" s="4" t="n">
        <v>18</v>
      </c>
      <c r="F725" t="inlineStr">
        <is>
          <t>Яндекс.Путешествия [Чайковский]</t>
        </is>
      </c>
      <c r="G725" s="3">
        <f>ROUND(D725/(100-E725)*100,2)</f>
        <v/>
      </c>
      <c r="H725" s="5" t="n">
        <v>46287.58333333334</v>
      </c>
      <c r="I725" t="n">
        <v>6</v>
      </c>
      <c r="J725" s="3">
        <f>G725/I725</f>
        <v/>
      </c>
      <c r="K725">
        <f>IF(J725&gt;=5100,"ставка","мин.ставка")</f>
        <v/>
      </c>
      <c r="L725" s="3">
        <f>ROUND(IF(K725="мин.ставка",I725*100,G725/102*2),2)</f>
        <v/>
      </c>
      <c r="M725" s="5" t="n">
        <v>46293.5</v>
      </c>
      <c r="N725" t="inlineStr">
        <is>
          <t>TravelLine YAX</t>
        </is>
      </c>
      <c r="O725" s="2" t="inlineStr">
        <is>
          <t>СТАНДАРТНЫЙ ДВУХМЕСТНЫЙ НОМЕР</t>
        </is>
      </c>
      <c r="P725" s="6" t="n"/>
      <c r="R725" t="inlineStr"/>
      <c r="S725" t="inlineStr">
        <is>
          <t>Основной тариф без завтрака</t>
        </is>
      </c>
      <c r="T725" t="n">
        <v>0</v>
      </c>
      <c r="U725" t="n">
        <v>44325</v>
      </c>
    </row>
    <row r="726">
      <c r="A726" t="inlineStr">
        <is>
          <t>20260919-8186-467166169</t>
        </is>
      </c>
      <c r="B726" t="n">
        <v>1</v>
      </c>
      <c r="C726" s="2" t="inlineStr">
        <is>
          <t>НИНА ДАВЫДОВА, ИГОРЬ ТИЩЕНКО</t>
        </is>
      </c>
      <c r="D726" s="3" t="n">
        <v>12500</v>
      </c>
      <c r="E726" s="4" t="n">
        <v>0</v>
      </c>
      <c r="F726" t="inlineStr">
        <is>
          <t>Прямые бронирования (стойка) [Чайковский]</t>
        </is>
      </c>
      <c r="G726" s="3">
        <f>ROUND(D726/(100-E726)*100,2)</f>
        <v/>
      </c>
      <c r="H726" s="5" t="n">
        <v>46284.58333333334</v>
      </c>
      <c r="I726" t="n">
        <v>1</v>
      </c>
      <c r="J726" s="3">
        <f>G726/I726</f>
        <v/>
      </c>
      <c r="K726">
        <f>IF(J726&gt;=5100,"ставка","мин.ставка")</f>
        <v/>
      </c>
      <c r="L726" s="3">
        <f>ROUND(IF(K726="мин.ставка",I726*100,G726/102*2),2)</f>
        <v/>
      </c>
      <c r="M726" s="5" t="n">
        <v>46285.5</v>
      </c>
      <c r="N726" t="inlineStr">
        <is>
          <t>TravelLine ресепшн</t>
        </is>
      </c>
      <c r="O726" s="2" t="inlineStr">
        <is>
          <t>СЕМЕЙНЫЙ НОМЕР КАТЕГОРИИ "СТАНДАРТ" ВТОРОЙ КОРПУС</t>
        </is>
      </c>
      <c r="P726" s="6" t="n"/>
      <c r="R726" t="inlineStr"/>
      <c r="S726" t="inlineStr">
        <is>
          <t>Тариф с завтраком</t>
        </is>
      </c>
      <c r="T726" t="n">
        <v>0</v>
      </c>
      <c r="U726" t="n">
        <v>12500</v>
      </c>
    </row>
    <row r="727">
      <c r="A727" t="inlineStr">
        <is>
          <t>20260915-8186-465944203</t>
        </is>
      </c>
      <c r="B727" t="n">
        <v>1</v>
      </c>
      <c r="C727" s="2" t="inlineStr">
        <is>
          <t>Нина Кравченко, Елизавета Смольская</t>
        </is>
      </c>
      <c r="D727" s="3" t="n">
        <v>23987</v>
      </c>
      <c r="E727" s="4" t="n">
        <v>17</v>
      </c>
      <c r="F727" t="inlineStr">
        <is>
          <t>ООО «Интернет Трэвел» (OZON) [Чайковский]</t>
        </is>
      </c>
      <c r="G727" s="3">
        <f>ROUND(D727/(100-E727)*100,2)</f>
        <v/>
      </c>
      <c r="H727" s="5" t="n">
        <v>46280.58333333334</v>
      </c>
      <c r="I727" t="n">
        <v>2</v>
      </c>
      <c r="J727" s="3">
        <f>G727/I727</f>
        <v/>
      </c>
      <c r="K727">
        <f>IF(J727&gt;=5100,"ставка","мин.ставка")</f>
        <v/>
      </c>
      <c r="L727" s="3">
        <f>ROUND(IF(K727="мин.ставка",I727*100,G727/102*2),2)</f>
        <v/>
      </c>
      <c r="M727" s="5" t="n">
        <v>46282.5</v>
      </c>
      <c r="N727" t="inlineStr">
        <is>
          <t>TravelLine OZ2</t>
        </is>
      </c>
      <c r="O727" s="2" t="inlineStr">
        <is>
          <t>СЕМЕЙНЫЙ НОМЕР КАТЕГОРИИ "СТАНДАРТ" ВТОРОЙ КОРПУС</t>
        </is>
      </c>
      <c r="P727" s="6" t="n"/>
      <c r="R727" t="inlineStr"/>
      <c r="S727" t="inlineStr">
        <is>
          <t>Тариф с завтраком</t>
        </is>
      </c>
      <c r="T727" t="n">
        <v>0</v>
      </c>
      <c r="U727" t="n">
        <v>23987</v>
      </c>
    </row>
    <row r="728">
      <c r="A728" t="inlineStr">
        <is>
          <t>20260820-8186-416292777</t>
        </is>
      </c>
      <c r="B728" t="n">
        <v>1</v>
      </c>
      <c r="C728" s="2" t="inlineStr">
        <is>
          <t>Нина Тарасова</t>
        </is>
      </c>
      <c r="D728" s="3" t="n">
        <v>38261.3</v>
      </c>
      <c r="E728" s="4" t="n">
        <v>4</v>
      </c>
      <c r="F728" t="inlineStr">
        <is>
          <t>TravelLine Booking Engine [Чайковский]</t>
        </is>
      </c>
      <c r="G728" s="3">
        <f>ROUND(D728/(100-E728)*100,2)</f>
        <v/>
      </c>
      <c r="H728" s="5" t="n">
        <v>46254.58333333334</v>
      </c>
      <c r="I728" t="n">
        <v>5</v>
      </c>
      <c r="J728" s="3">
        <f>G728/I728</f>
        <v/>
      </c>
      <c r="K728">
        <f>IF(J728&gt;=5100,"ставка","мин.ставка")</f>
        <v/>
      </c>
      <c r="L728" s="3">
        <f>ROUND(IF(K728="мин.ставка",I728*100,G728/102*2),2)</f>
        <v/>
      </c>
      <c r="M728" s="5" t="n">
        <v>46259.5</v>
      </c>
      <c r="N728" t="inlineStr">
        <is>
          <t>TravelLine сайт</t>
        </is>
      </c>
      <c r="O728" s="2" t="inlineStr">
        <is>
          <t>СТАНДАРТНЫЙ ОДНОМЕСТНЫЙ НОМЕР</t>
        </is>
      </c>
      <c r="P728" s="6" t="n"/>
      <c r="R728" t="inlineStr"/>
      <c r="S728" t="inlineStr">
        <is>
          <t>Тариф с завтраком</t>
        </is>
      </c>
      <c r="T728" t="n">
        <v>0</v>
      </c>
      <c r="U728" t="n">
        <v>38261.3</v>
      </c>
    </row>
    <row r="729">
      <c r="A729" t="inlineStr">
        <is>
          <t>20260730-8186-412433351</t>
        </is>
      </c>
      <c r="B729" t="n">
        <v>1</v>
      </c>
      <c r="C729" s="2" t="inlineStr">
        <is>
          <t>Нина Хохлова</t>
        </is>
      </c>
      <c r="D729" s="3" t="n">
        <v>12320</v>
      </c>
      <c r="E729" s="4" t="n">
        <v>18</v>
      </c>
      <c r="F729" t="inlineStr">
        <is>
          <t>Яндекс.Путешествия [Чайковский]</t>
        </is>
      </c>
      <c r="G729" s="3">
        <f>ROUND(D729/(100-E729)*100,2)</f>
        <v/>
      </c>
      <c r="H729" s="5" t="n">
        <v>46233.58333333334</v>
      </c>
      <c r="I729" t="n">
        <v>2</v>
      </c>
      <c r="J729" s="3">
        <f>G729/I729</f>
        <v/>
      </c>
      <c r="K729">
        <f>IF(J729&gt;=5100,"ставка","мин.ставка")</f>
        <v/>
      </c>
      <c r="L729" s="3">
        <f>ROUND(IF(K729="мин.ставка",I729*100,G729/102*2),2)</f>
        <v/>
      </c>
      <c r="M729" s="5" t="n">
        <v>46235.5</v>
      </c>
      <c r="N729" t="inlineStr">
        <is>
          <t>TravelLine YAX</t>
        </is>
      </c>
      <c r="O729" s="2" t="inlineStr">
        <is>
          <t>СТАНДАРТНЫЙ ОДНОМЕСТНЫЙ НОМЕР</t>
        </is>
      </c>
      <c r="P729" s="6" t="n"/>
      <c r="R729" t="inlineStr"/>
      <c r="S729" t="inlineStr">
        <is>
          <t>Тариф с завтраком</t>
        </is>
      </c>
      <c r="T729" t="n">
        <v>0</v>
      </c>
      <c r="U729" t="n">
        <v>12320</v>
      </c>
    </row>
    <row r="730">
      <c r="A730" t="inlineStr">
        <is>
          <t>20260802-8186-455240119</t>
        </is>
      </c>
      <c r="B730" t="n">
        <v>1</v>
      </c>
      <c r="C730" s="2" t="inlineStr">
        <is>
          <t>Нина Яроцкая, Иван Горбунчиков</t>
        </is>
      </c>
      <c r="D730" s="3" t="n">
        <v>8217</v>
      </c>
      <c r="E730" s="4" t="n">
        <v>18</v>
      </c>
      <c r="F730" t="inlineStr">
        <is>
          <t>Яндекс.Путешествия [Чайковский]</t>
        </is>
      </c>
      <c r="G730" s="3">
        <f>ROUND(D730/(100-E730)*100,2)</f>
        <v/>
      </c>
      <c r="H730" s="5" t="n">
        <v>46236.58333333334</v>
      </c>
      <c r="I730" t="n">
        <v>1</v>
      </c>
      <c r="J730" s="3">
        <f>G730/I730</f>
        <v/>
      </c>
      <c r="K730">
        <f>IF(J730&gt;=5100,"ставка","мин.ставка")</f>
        <v/>
      </c>
      <c r="L730" s="3">
        <f>ROUND(IF(K730="мин.ставка",I730*100,G730/102*2),2)</f>
        <v/>
      </c>
      <c r="M730" s="5" t="n">
        <v>46237.5</v>
      </c>
      <c r="N730" t="inlineStr">
        <is>
          <t>TravelLine YAX</t>
        </is>
      </c>
      <c r="O730" s="2" t="inlineStr">
        <is>
          <t>СТАНДАРТНЫЙ ДВУХМЕСТНЫЙ НОМЕР (МАНСАРДА)</t>
        </is>
      </c>
      <c r="P730" s="6" t="n"/>
      <c r="R730" t="inlineStr"/>
      <c r="S730" t="inlineStr">
        <is>
          <t>Тариф с завтраком</t>
        </is>
      </c>
      <c r="T730" t="n">
        <v>0</v>
      </c>
      <c r="U730" t="n">
        <v>8217</v>
      </c>
    </row>
    <row r="731">
      <c r="A731" t="inlineStr">
        <is>
          <t>20260708-8186-447576976</t>
        </is>
      </c>
      <c r="B731" t="n">
        <v>1</v>
      </c>
      <c r="C731" s="2" t="inlineStr">
        <is>
          <t>Оксана Дяденко</t>
        </is>
      </c>
      <c r="D731" s="3" t="n">
        <v>33879.75</v>
      </c>
      <c r="E731" s="4" t="n">
        <v>4</v>
      </c>
      <c r="F731" t="inlineStr">
        <is>
          <t>TravelLine Booking Engine [Чайковский]</t>
        </is>
      </c>
      <c r="G731" s="3">
        <f>ROUND(D731/(100-E731)*100,2)</f>
        <v/>
      </c>
      <c r="H731" s="5" t="n">
        <v>46211.58333333334</v>
      </c>
      <c r="I731" t="n">
        <v>3</v>
      </c>
      <c r="J731" s="3">
        <f>G731/I731</f>
        <v/>
      </c>
      <c r="K731">
        <f>IF(J731&gt;=5100,"ставка","мин.ставка")</f>
        <v/>
      </c>
      <c r="L731" s="3">
        <f>ROUND(IF(K731="мин.ставка",I731*100,G731/102*2),2)</f>
        <v/>
      </c>
      <c r="M731" s="5" t="n">
        <v>46214.5</v>
      </c>
      <c r="N731" t="inlineStr">
        <is>
          <t>TravelLine сайт</t>
        </is>
      </c>
      <c r="O731" s="2" t="inlineStr">
        <is>
          <t>СТАНДАРТНЫЙ ДВУХМЕСТНЫЙ НОМЕР</t>
        </is>
      </c>
      <c r="P731" s="6" t="n"/>
      <c r="R731" t="inlineStr"/>
      <c r="S731" t="inlineStr">
        <is>
          <t>Тариф с завтраком</t>
        </is>
      </c>
      <c r="T731" t="n">
        <v>0</v>
      </c>
      <c r="U731" t="n">
        <v>33879.75</v>
      </c>
    </row>
    <row r="732">
      <c r="A732" t="inlineStr">
        <is>
          <t>20260814-8186-458393454</t>
        </is>
      </c>
      <c r="B732" t="n">
        <v>1</v>
      </c>
      <c r="C732" s="2" t="inlineStr">
        <is>
          <t>Оксана Мисанец, ЭДУАРД АНТОНЯН</t>
        </is>
      </c>
      <c r="D732" s="3" t="n">
        <v>16252.5</v>
      </c>
      <c r="E732" s="4" t="n">
        <v>4</v>
      </c>
      <c r="F732" t="inlineStr">
        <is>
          <t>TravelLine Booking Engine [Чайковский]</t>
        </is>
      </c>
      <c r="G732" s="3">
        <f>ROUND(D732/(100-E732)*100,2)</f>
        <v/>
      </c>
      <c r="H732" s="5" t="n">
        <v>46248.58333333334</v>
      </c>
      <c r="I732" t="n">
        <v>1</v>
      </c>
      <c r="J732" s="3">
        <f>G732/I732</f>
        <v/>
      </c>
      <c r="K732">
        <f>IF(J732&gt;=5100,"ставка","мин.ставка")</f>
        <v/>
      </c>
      <c r="L732" s="3">
        <f>ROUND(IF(K732="мин.ставка",I732*100,G732/102*2),2)</f>
        <v/>
      </c>
      <c r="M732" s="5" t="n">
        <v>46249.5</v>
      </c>
      <c r="N732" t="inlineStr">
        <is>
          <t>TravelLine сайт</t>
        </is>
      </c>
      <c r="O732" s="2" t="inlineStr">
        <is>
          <t>ПОЛУЛЮКС</t>
        </is>
      </c>
      <c r="P732" s="6" t="n"/>
      <c r="R732" t="inlineStr"/>
      <c r="S732" t="inlineStr">
        <is>
          <t>Тариф с завтраком</t>
        </is>
      </c>
      <c r="T732" t="n">
        <v>0</v>
      </c>
      <c r="U732" t="n">
        <v>16252.5</v>
      </c>
    </row>
    <row r="733">
      <c r="A733" t="inlineStr">
        <is>
          <t>20260818-8186-455916790</t>
        </is>
      </c>
      <c r="B733" t="n">
        <v>1</v>
      </c>
      <c r="C733" s="2" t="inlineStr">
        <is>
          <t>Оксана Степаненко</t>
        </is>
      </c>
      <c r="D733" s="3" t="n">
        <v>28782.5</v>
      </c>
      <c r="E733" s="4" t="n">
        <v>4</v>
      </c>
      <c r="F733" t="inlineStr">
        <is>
          <t>TravelLine Booking Engine [Чайковский]</t>
        </is>
      </c>
      <c r="G733" s="3">
        <f>ROUND(D733/(100-E733)*100,2)</f>
        <v/>
      </c>
      <c r="H733" s="5" t="n">
        <v>46252.58333333334</v>
      </c>
      <c r="I733" t="n">
        <v>2</v>
      </c>
      <c r="J733" s="3">
        <f>G733/I733</f>
        <v/>
      </c>
      <c r="K733">
        <f>IF(J733&gt;=5100,"ставка","мин.ставка")</f>
        <v/>
      </c>
      <c r="L733" s="3">
        <f>ROUND(IF(K733="мин.ставка",I733*100,G733/102*2),2)</f>
        <v/>
      </c>
      <c r="M733" s="5" t="n">
        <v>46254.5</v>
      </c>
      <c r="N733" t="inlineStr">
        <is>
          <t>TravelLine сайт</t>
        </is>
      </c>
      <c r="O733" s="2" t="inlineStr">
        <is>
          <t>ПОЛУЛЮКС</t>
        </is>
      </c>
      <c r="P733" s="6" t="n"/>
      <c r="R733" t="inlineStr"/>
      <c r="S733" t="inlineStr">
        <is>
          <t>Тариф с завтраком</t>
        </is>
      </c>
      <c r="T733" t="n">
        <v>0</v>
      </c>
      <c r="U733" t="n">
        <v>28782.5</v>
      </c>
    </row>
    <row r="734">
      <c r="A734" t="inlineStr">
        <is>
          <t>20260820-8186-455918537</t>
        </is>
      </c>
      <c r="B734" t="n">
        <v>1</v>
      </c>
      <c r="C734" s="2" t="inlineStr">
        <is>
          <t>Оксана Степаненко</t>
        </is>
      </c>
      <c r="D734" s="3" t="n">
        <v>15310.2</v>
      </c>
      <c r="E734" s="4" t="n">
        <v>4</v>
      </c>
      <c r="F734" t="inlineStr">
        <is>
          <t>TravelLine Booking Engine [Чайковский]</t>
        </is>
      </c>
      <c r="G734" s="3">
        <f>ROUND(D734/(100-E734)*100,2)</f>
        <v/>
      </c>
      <c r="H734" s="5" t="n">
        <v>46254.58333333334</v>
      </c>
      <c r="I734" t="n">
        <v>1</v>
      </c>
      <c r="J734" s="3">
        <f>G734/I734</f>
        <v/>
      </c>
      <c r="K734">
        <f>IF(J734&gt;=5100,"ставка","мин.ставка")</f>
        <v/>
      </c>
      <c r="L734" s="3">
        <f>ROUND(IF(K734="мин.ставка",I734*100,G734/102*2),2)</f>
        <v/>
      </c>
      <c r="M734" s="5" t="n">
        <v>46255.5</v>
      </c>
      <c r="N734" t="inlineStr">
        <is>
          <t>TravelLine сайт</t>
        </is>
      </c>
      <c r="O734" s="2" t="inlineStr">
        <is>
          <t>ЛЮКС ВТОРОЙ КОРПУС</t>
        </is>
      </c>
      <c r="P734" s="6" t="n"/>
      <c r="R734" t="inlineStr"/>
      <c r="S734" t="inlineStr">
        <is>
          <t>Тариф с завтраком</t>
        </is>
      </c>
      <c r="T734" t="n">
        <v>0</v>
      </c>
      <c r="U734" t="n">
        <v>15310.2</v>
      </c>
    </row>
    <row r="735">
      <c r="A735" t="inlineStr">
        <is>
          <t>20260916-8186-464600077</t>
        </is>
      </c>
      <c r="B735" t="n">
        <v>1</v>
      </c>
      <c r="C735" s="2" t="inlineStr">
        <is>
          <t>ОКСАНА СЫСУЕВА</t>
        </is>
      </c>
      <c r="D735" s="3" t="n">
        <v>10972.5</v>
      </c>
      <c r="E735" s="4" t="n">
        <v>18</v>
      </c>
      <c r="F735" t="inlineStr">
        <is>
          <t>Яндекс.Путешествия [Чайковский]</t>
        </is>
      </c>
      <c r="G735" s="3">
        <f>ROUND(D735/(100-E735)*100,2)</f>
        <v/>
      </c>
      <c r="H735" s="5" t="n">
        <v>46281.58333333334</v>
      </c>
      <c r="I735" t="n">
        <v>2</v>
      </c>
      <c r="J735" s="3">
        <f>G735/I735</f>
        <v/>
      </c>
      <c r="K735">
        <f>IF(J735&gt;=5100,"ставка","мин.ставка")</f>
        <v/>
      </c>
      <c r="L735" s="3">
        <f>ROUND(IF(K735="мин.ставка",I735*100,G735/102*2),2)</f>
        <v/>
      </c>
      <c r="M735" s="5" t="n">
        <v>46283.5</v>
      </c>
      <c r="N735" t="inlineStr">
        <is>
          <t>TravelLine YAX</t>
        </is>
      </c>
      <c r="O735" s="2" t="inlineStr">
        <is>
          <t>СТАНДАРТНЫЙ ОДНОМЕСТНЫЙ НОМЕР</t>
        </is>
      </c>
      <c r="P735" s="6" t="n"/>
      <c r="R735" t="inlineStr"/>
      <c r="S735" t="inlineStr">
        <is>
          <t>Тариф с завтраком</t>
        </is>
      </c>
      <c r="T735" t="n">
        <v>0</v>
      </c>
      <c r="U735" t="n">
        <v>10972.5</v>
      </c>
    </row>
    <row r="736">
      <c r="A736" t="inlineStr">
        <is>
          <t>20260916-8186-461117504</t>
        </is>
      </c>
      <c r="B736" t="n">
        <v>1</v>
      </c>
      <c r="C736" s="2" t="inlineStr">
        <is>
          <t>ОКТЯБРИНА КАЙСАНОВА</t>
        </is>
      </c>
      <c r="D736" s="3" t="n">
        <v>38590</v>
      </c>
      <c r="E736" s="4" t="n">
        <v>15</v>
      </c>
      <c r="F736" t="inlineStr">
        <is>
          <t>ООО "АКАДЕМ-ОНЛАЙН" [Чайковский]</t>
        </is>
      </c>
      <c r="G736" s="3">
        <f>ROUND(D736/(100-E736)*100,2)</f>
        <v/>
      </c>
      <c r="H736" s="5" t="n">
        <v>46281.58333333334</v>
      </c>
      <c r="I736" t="n">
        <v>4</v>
      </c>
      <c r="J736" s="3">
        <f>G736/I736</f>
        <v/>
      </c>
      <c r="K736">
        <f>IF(J736&gt;=5100,"ставка","мин.ставка")</f>
        <v/>
      </c>
      <c r="L736" s="3">
        <f>ROUND(IF(K736="мин.ставка",I736*100,G736/102*2),2)</f>
        <v/>
      </c>
      <c r="M736" s="5" t="n">
        <v>46285.5</v>
      </c>
      <c r="N736" t="inlineStr">
        <is>
          <t>TravelLine ACS</t>
        </is>
      </c>
      <c r="O736" s="2" t="inlineStr">
        <is>
          <t>СТАНДАРТНЫЙ ДВУХМЕСТНЫЙ НОМЕР</t>
        </is>
      </c>
      <c r="P736" s="6" t="n"/>
      <c r="R736" t="inlineStr"/>
      <c r="S736" t="inlineStr">
        <is>
          <t>Тариф с завтраком</t>
        </is>
      </c>
      <c r="T736" t="n">
        <v>0</v>
      </c>
      <c r="U736" t="n">
        <v>38590</v>
      </c>
    </row>
    <row r="737">
      <c r="A737" t="inlineStr">
        <is>
          <t>20260725-8186-442138766</t>
        </is>
      </c>
      <c r="B737" t="n">
        <v>1</v>
      </c>
      <c r="C737" s="2" t="inlineStr">
        <is>
          <t>Олег Веселов</t>
        </is>
      </c>
      <c r="D737" s="3" t="n">
        <v>17800</v>
      </c>
      <c r="E737" s="4" t="n">
        <v>0</v>
      </c>
      <c r="F737" t="inlineStr">
        <is>
          <t>Прямые бронирования (стойка) [Чайковский]</t>
        </is>
      </c>
      <c r="G737" s="3">
        <f>ROUND(D737/(100-E737)*100,2)</f>
        <v/>
      </c>
      <c r="H737" s="5" t="n">
        <v>46228.58333333334</v>
      </c>
      <c r="I737" t="n">
        <v>1</v>
      </c>
      <c r="J737" s="3">
        <f>G737/I737</f>
        <v/>
      </c>
      <c r="K737">
        <f>IF(J737&gt;=5100,"ставка","мин.ставка")</f>
        <v/>
      </c>
      <c r="L737" s="3">
        <f>ROUND(IF(K737="мин.ставка",I737*100,G737/102*2),2)</f>
        <v/>
      </c>
      <c r="M737" s="5" t="n">
        <v>46229.5</v>
      </c>
      <c r="N737" t="inlineStr">
        <is>
          <t>TravelLine ресепшн</t>
        </is>
      </c>
      <c r="O737" s="2" t="inlineStr">
        <is>
          <t>ЛЮКС ВТОРОЙ КОРПУС</t>
        </is>
      </c>
      <c r="P737" s="6" t="n"/>
      <c r="R737" t="inlineStr"/>
      <c r="S737" t="inlineStr">
        <is>
          <t>Тариф с завтраком</t>
        </is>
      </c>
      <c r="T737" t="n">
        <v>0</v>
      </c>
      <c r="U737" t="n">
        <v>17800</v>
      </c>
    </row>
    <row r="738">
      <c r="A738" t="inlineStr">
        <is>
          <t>20260830-8186-462334439</t>
        </is>
      </c>
      <c r="B738" t="n">
        <v>1</v>
      </c>
      <c r="C738" s="2" t="inlineStr">
        <is>
          <t>Олег Лисовский</t>
        </is>
      </c>
      <c r="D738" s="3" t="n">
        <v>6478</v>
      </c>
      <c r="E738" s="4" t="n">
        <v>18</v>
      </c>
      <c r="F738" t="inlineStr">
        <is>
          <t>ООО "Эй энд Эй" [Чайковский]</t>
        </is>
      </c>
      <c r="G738" s="3">
        <f>ROUND(D738/(100-E738)*100,2)</f>
        <v/>
      </c>
      <c r="H738" s="5" t="n">
        <v>46264.58333333334</v>
      </c>
      <c r="I738" t="n">
        <v>1</v>
      </c>
      <c r="J738" s="3">
        <f>G738/I738</f>
        <v/>
      </c>
      <c r="K738">
        <f>IF(J738&gt;=5100,"ставка","мин.ставка")</f>
        <v/>
      </c>
      <c r="L738" s="3">
        <f>ROUND(IF(K738="мин.ставка",I738*100,G738/102*2),2)</f>
        <v/>
      </c>
      <c r="M738" s="5" t="n">
        <v>46265.5</v>
      </c>
      <c r="N738" t="inlineStr">
        <is>
          <t>TravelLine ANA</t>
        </is>
      </c>
      <c r="O738" s="2" t="inlineStr">
        <is>
          <t>СТАНДАРТНЫЙ ДВУХМЕСТНЫЙ НОМЕР</t>
        </is>
      </c>
      <c r="P738" s="6" t="n"/>
      <c r="R738" t="inlineStr"/>
      <c r="S738" t="inlineStr">
        <is>
          <t>Тариф с завтраком</t>
        </is>
      </c>
      <c r="T738" t="n">
        <v>0</v>
      </c>
      <c r="U738" t="n">
        <v>6478</v>
      </c>
    </row>
    <row r="739">
      <c r="A739" t="inlineStr">
        <is>
          <t>20260831-8186-462645979</t>
        </is>
      </c>
      <c r="B739" t="n">
        <v>1</v>
      </c>
      <c r="C739" s="2" t="inlineStr">
        <is>
          <t>Олег Пашкин, ЮЛИЯ ПАШКИНА</t>
        </is>
      </c>
      <c r="D739" s="3" t="n">
        <v>9900</v>
      </c>
      <c r="E739" s="4" t="n">
        <v>0</v>
      </c>
      <c r="F739" t="inlineStr">
        <is>
          <t>Прямые бронирования (стойка) [Чайковский]</t>
        </is>
      </c>
      <c r="G739" s="3">
        <f>ROUND(D739/(100-E739)*100,2)</f>
        <v/>
      </c>
      <c r="H739" s="5" t="n">
        <v>46265.58333333334</v>
      </c>
      <c r="I739" t="n">
        <v>1</v>
      </c>
      <c r="J739" s="3">
        <f>G739/I739</f>
        <v/>
      </c>
      <c r="K739">
        <f>IF(J739&gt;=5100,"ставка","мин.ставка")</f>
        <v/>
      </c>
      <c r="L739" s="3">
        <f>ROUND(IF(K739="мин.ставка",I739*100,G739/102*2),2)</f>
        <v/>
      </c>
      <c r="M739" s="5" t="n">
        <v>46266.5</v>
      </c>
      <c r="N739" t="inlineStr">
        <is>
          <t>TravelLine ресепшн</t>
        </is>
      </c>
      <c r="O739" s="2" t="inlineStr">
        <is>
          <t>СТАНДАРТНЫЙ ДВУХМЕСТНЫЙ НОМЕР</t>
        </is>
      </c>
      <c r="P739" s="6" t="n"/>
      <c r="R739" t="inlineStr"/>
      <c r="S739" t="inlineStr">
        <is>
          <t>Тариф с завтраком</t>
        </is>
      </c>
      <c r="T739" t="n">
        <v>0</v>
      </c>
      <c r="U739" t="n">
        <v>9900</v>
      </c>
    </row>
    <row r="740">
      <c r="A740" t="inlineStr">
        <is>
          <t>20260830-8186-461980619</t>
        </is>
      </c>
      <c r="B740" t="n">
        <v>1</v>
      </c>
      <c r="C740" s="2" t="inlineStr">
        <is>
          <t>Олег Пашкин, ЮЛИЯ ПАШКИНА</t>
        </is>
      </c>
      <c r="D740" s="3" t="n">
        <v>7920</v>
      </c>
      <c r="E740" s="4" t="n">
        <v>20</v>
      </c>
      <c r="F740" t="inlineStr">
        <is>
          <t>ООО "КОМПАНИЯ БРОНЕВИК" [Чайковский]</t>
        </is>
      </c>
      <c r="G740" s="3">
        <f>ROUND(D740/(100-E740)*100,2)</f>
        <v/>
      </c>
      <c r="H740" s="5" t="n">
        <v>46264.58333333334</v>
      </c>
      <c r="I740" t="n">
        <v>1</v>
      </c>
      <c r="J740" s="3">
        <f>G740/I740</f>
        <v/>
      </c>
      <c r="K740">
        <f>IF(J740&gt;=5100,"ставка","мин.ставка")</f>
        <v/>
      </c>
      <c r="L740" s="3">
        <f>ROUND(IF(K740="мин.ставка",I740*100,G740/102*2),2)</f>
        <v/>
      </c>
      <c r="M740" s="5" t="n">
        <v>46265.5</v>
      </c>
      <c r="N740" t="inlineStr">
        <is>
          <t>TravelLine BR2</t>
        </is>
      </c>
      <c r="O740" s="2" t="inlineStr">
        <is>
          <t>СТАНДАРТНЫЙ ДВУХМЕСТНЫЙ НОМЕР</t>
        </is>
      </c>
      <c r="P740" s="6" t="n"/>
      <c r="R740" t="inlineStr"/>
      <c r="S740" t="inlineStr">
        <is>
          <t>Тариф с завтраком</t>
        </is>
      </c>
      <c r="T740" t="n">
        <v>0</v>
      </c>
      <c r="U740" t="n">
        <v>7920</v>
      </c>
    </row>
    <row r="741">
      <c r="A741" t="inlineStr">
        <is>
          <t>20260904-8186-419608255</t>
        </is>
      </c>
      <c r="B741" t="n">
        <v>1</v>
      </c>
      <c r="C741" s="2" t="inlineStr">
        <is>
          <t>Олег Рассказов, Дмитрий Рассказов</t>
        </is>
      </c>
      <c r="D741" s="3" t="n">
        <v>19493.1</v>
      </c>
      <c r="E741" s="4" t="n">
        <v>4</v>
      </c>
      <c r="F741" t="inlineStr">
        <is>
          <t>TravelLine Booking Engine [Чайковский]</t>
        </is>
      </c>
      <c r="G741" s="3">
        <f>ROUND(D741/(100-E741)*100,2)</f>
        <v/>
      </c>
      <c r="H741" s="5" t="n">
        <v>46269.58333333334</v>
      </c>
      <c r="I741" t="n">
        <v>2</v>
      </c>
      <c r="J741" s="3">
        <f>G741/I741</f>
        <v/>
      </c>
      <c r="K741">
        <f>IF(J741&gt;=5100,"ставка","мин.ставка")</f>
        <v/>
      </c>
      <c r="L741" s="3">
        <f>ROUND(IF(K741="мин.ставка",I741*100,G741/102*2),2)</f>
        <v/>
      </c>
      <c r="M741" s="5" t="n">
        <v>46271.5</v>
      </c>
      <c r="N741" t="inlineStr">
        <is>
          <t>TravelLine сайт</t>
        </is>
      </c>
      <c r="O741" s="2" t="inlineStr">
        <is>
          <t>УЛУЧШЕННЫЙ ДВУХМЕСТНЫЙ НОМЕР</t>
        </is>
      </c>
      <c r="P741" s="6" t="n"/>
      <c r="R741" t="inlineStr"/>
      <c r="S741" t="inlineStr">
        <is>
          <t>Тариф с завтраком</t>
        </is>
      </c>
      <c r="T741" t="n">
        <v>0</v>
      </c>
      <c r="U741" t="n">
        <v>45779.25</v>
      </c>
    </row>
    <row r="742">
      <c r="A742" t="inlineStr">
        <is>
          <t>20260824-8186-435973741</t>
        </is>
      </c>
      <c r="B742" t="n">
        <v>1</v>
      </c>
      <c r="C742" s="2" t="inlineStr">
        <is>
          <t>ОЛЕГ СОКОЛОВ, АННА ШИШКОВА</t>
        </is>
      </c>
      <c r="D742" s="3" t="n">
        <v>93450</v>
      </c>
      <c r="E742" s="4" t="n">
        <v>15</v>
      </c>
      <c r="F742" t="inlineStr">
        <is>
          <t>ООО «12Т» (ранее ONE TWO TRIP) [Чайковский]</t>
        </is>
      </c>
      <c r="G742" s="3">
        <f>ROUND(D742/(100-E742)*100,2)</f>
        <v/>
      </c>
      <c r="H742" s="5" t="n">
        <v>46260.58333333334</v>
      </c>
      <c r="I742" t="n">
        <v>7</v>
      </c>
      <c r="J742" s="3">
        <f>G742/I742</f>
        <v/>
      </c>
      <c r="K742">
        <f>IF(J742&gt;=5100,"ставка","мин.ставка")</f>
        <v/>
      </c>
      <c r="L742" s="3">
        <f>ROUND(IF(K742="мин.ставка",I742*100,G742/102*2),2)</f>
        <v/>
      </c>
      <c r="M742" s="5" t="n">
        <v>46267.5</v>
      </c>
      <c r="N742" t="inlineStr">
        <is>
          <t>TravelLine OTT</t>
        </is>
      </c>
      <c r="O742" s="2" t="inlineStr">
        <is>
          <t>СТАНДАРТНЫЙ ДВУХМЕСТНЫЙ НОМЕР</t>
        </is>
      </c>
      <c r="P742" s="6" t="n"/>
      <c r="R742" t="inlineStr"/>
      <c r="S742" t="inlineStr">
        <is>
          <t>Тариф с завтраком</t>
        </is>
      </c>
      <c r="T742" t="n">
        <v>0</v>
      </c>
      <c r="U742" t="n">
        <v>93450</v>
      </c>
    </row>
    <row r="743">
      <c r="A743" t="inlineStr">
        <is>
          <t>20260831-8186-462574200</t>
        </is>
      </c>
      <c r="B743" t="n">
        <v>1</v>
      </c>
      <c r="C743" s="2" t="inlineStr">
        <is>
          <t>Олег Худзиев</t>
        </is>
      </c>
      <c r="D743" s="3" t="n">
        <v>7781.5</v>
      </c>
      <c r="E743" s="4" t="n">
        <v>4</v>
      </c>
      <c r="F743" t="inlineStr">
        <is>
          <t>TravelLine Booking Engine [Чайковский]</t>
        </is>
      </c>
      <c r="G743" s="3">
        <f>ROUND(D743/(100-E743)*100,2)</f>
        <v/>
      </c>
      <c r="H743" s="5" t="n">
        <v>46265.58333333334</v>
      </c>
      <c r="I743" t="n">
        <v>1</v>
      </c>
      <c r="J743" s="3">
        <f>G743/I743</f>
        <v/>
      </c>
      <c r="K743">
        <f>IF(J743&gt;=5100,"ставка","мин.ставка")</f>
        <v/>
      </c>
      <c r="L743" s="3">
        <f>ROUND(IF(K743="мин.ставка",I743*100,G743/102*2),2)</f>
        <v/>
      </c>
      <c r="M743" s="5" t="n">
        <v>46266.5</v>
      </c>
      <c r="N743" t="inlineStr">
        <is>
          <t>TravelLine сайт</t>
        </is>
      </c>
      <c r="O743" s="2" t="inlineStr">
        <is>
          <t>СТАНДАРТНЫЙ ДВУХМЕСТНЫЙ НОМЕР</t>
        </is>
      </c>
      <c r="P743" s="6" t="n"/>
      <c r="R743" t="inlineStr"/>
      <c r="S743" t="inlineStr">
        <is>
          <t>Тариф с завтраком</t>
        </is>
      </c>
      <c r="T743" t="n">
        <v>0</v>
      </c>
      <c r="U743" t="n">
        <v>7781.5</v>
      </c>
    </row>
    <row r="744">
      <c r="A744" t="inlineStr">
        <is>
          <t>20260930-8186-468529147</t>
        </is>
      </c>
      <c r="B744" t="n">
        <v>1</v>
      </c>
      <c r="C744" s="2" t="inlineStr">
        <is>
          <t>ОЛЕСЯ ВЛАСЕНКО</t>
        </is>
      </c>
      <c r="D744" s="3" t="n">
        <v>9307</v>
      </c>
      <c r="E744" s="4" t="n">
        <v>18</v>
      </c>
      <c r="F744" t="inlineStr">
        <is>
          <t>ООО "ТРИВИО СЕРВИС" [Чайковский]</t>
        </is>
      </c>
      <c r="G744" s="3">
        <f>ROUND(D744/(100-E744)*100,2)</f>
        <v/>
      </c>
      <c r="H744" s="5" t="n">
        <v>46295.58333333334</v>
      </c>
      <c r="I744" t="n">
        <v>1</v>
      </c>
      <c r="J744" s="3">
        <f>G744/I744</f>
        <v/>
      </c>
      <c r="K744">
        <f>IF(J744&gt;=5100,"ставка","мин.ставка")</f>
        <v/>
      </c>
      <c r="L744" s="3">
        <f>ROUND(IF(K744="мин.ставка",I744*100,G744/102*2),2)</f>
        <v/>
      </c>
      <c r="M744" s="5" t="n">
        <v>46296.5</v>
      </c>
      <c r="N744" t="inlineStr">
        <is>
          <t>TravelLine TIO</t>
        </is>
      </c>
      <c r="O744" s="2" t="inlineStr">
        <is>
          <t>СТАНДАРТНЫЙ ДВУХМЕСТНЫЙ НОМЕР</t>
        </is>
      </c>
      <c r="P744" s="6" t="n"/>
      <c r="R744" t="inlineStr"/>
      <c r="S744" t="inlineStr">
        <is>
          <t>Тариф с завтраком</t>
        </is>
      </c>
      <c r="T744" t="n">
        <v>0</v>
      </c>
      <c r="U744" t="n">
        <v>9307</v>
      </c>
    </row>
    <row r="745">
      <c r="A745" t="inlineStr">
        <is>
          <t>20260905-8186-441680792</t>
        </is>
      </c>
      <c r="B745" t="n">
        <v>1</v>
      </c>
      <c r="C745" s="2" t="inlineStr">
        <is>
          <t>Олеся Долгополик</t>
        </is>
      </c>
      <c r="D745" s="3" t="n">
        <v>36320</v>
      </c>
      <c r="E745" s="4" t="n">
        <v>20</v>
      </c>
      <c r="F745" t="inlineStr">
        <is>
          <t>ООО "КОМПАНИЯ БРОНЕВИК" [Чайковский]</t>
        </is>
      </c>
      <c r="G745" s="3">
        <f>ROUND(D745/(100-E745)*100,2)</f>
        <v/>
      </c>
      <c r="H745" s="5" t="n">
        <v>46270.58333333334</v>
      </c>
      <c r="I745" t="n">
        <v>4</v>
      </c>
      <c r="J745" s="3">
        <f>G745/I745</f>
        <v/>
      </c>
      <c r="K745">
        <f>IF(J745&gt;=5100,"ставка","мин.ставка")</f>
        <v/>
      </c>
      <c r="L745" s="3">
        <f>ROUND(IF(K745="мин.ставка",I745*100,G745/102*2),2)</f>
        <v/>
      </c>
      <c r="M745" s="5" t="n">
        <v>46274.5</v>
      </c>
      <c r="N745" t="inlineStr">
        <is>
          <t>TravelLine BR2</t>
        </is>
      </c>
      <c r="O745" s="2" t="inlineStr">
        <is>
          <t>СТАНДАРТНЫЙ ДВУХМЕСТНЫЙ НОМЕР</t>
        </is>
      </c>
      <c r="P745" s="6" t="n"/>
      <c r="R745" t="inlineStr"/>
      <c r="S745" t="inlineStr">
        <is>
          <t>Тариф с завтраком</t>
        </is>
      </c>
      <c r="T745" t="n">
        <v>0</v>
      </c>
      <c r="U745" t="n">
        <v>36320</v>
      </c>
    </row>
    <row r="746">
      <c r="A746" t="inlineStr">
        <is>
          <t>20260728-8186-453872864</t>
        </is>
      </c>
      <c r="B746" t="n">
        <v>1</v>
      </c>
      <c r="C746" s="2" t="inlineStr">
        <is>
          <t>Олеся Крохина</t>
        </is>
      </c>
      <c r="D746" s="3" t="n">
        <v>7298</v>
      </c>
      <c r="E746" s="4" t="n">
        <v>18</v>
      </c>
      <c r="F746" t="inlineStr">
        <is>
          <t>ООО "Эй энд Эй" [Чайковский]</t>
        </is>
      </c>
      <c r="G746" s="3">
        <f>ROUND(D746/(100-E746)*100,2)</f>
        <v/>
      </c>
      <c r="H746" s="5" t="n">
        <v>46231.58333333334</v>
      </c>
      <c r="I746" t="n">
        <v>1</v>
      </c>
      <c r="J746" s="3">
        <f>G746/I746</f>
        <v/>
      </c>
      <c r="K746">
        <f>IF(J746&gt;=5100,"ставка","мин.ставка")</f>
        <v/>
      </c>
      <c r="L746" s="3">
        <f>ROUND(IF(K746="мин.ставка",I746*100,G746/102*2),2)</f>
        <v/>
      </c>
      <c r="M746" s="5" t="n">
        <v>46232.5</v>
      </c>
      <c r="N746" t="inlineStr">
        <is>
          <t>TravelLine ANA</t>
        </is>
      </c>
      <c r="O746" s="2" t="inlineStr">
        <is>
          <t>СТАНДАРТНЫЙ ДВУХМЕСТНЫЙ НОМЕР</t>
        </is>
      </c>
      <c r="P746" s="6" t="n"/>
      <c r="R746" t="inlineStr"/>
      <c r="S746" t="inlineStr">
        <is>
          <t>Тариф с завтраком</t>
        </is>
      </c>
      <c r="T746" t="n">
        <v>0</v>
      </c>
      <c r="U746" t="n">
        <v>7298</v>
      </c>
    </row>
    <row r="747">
      <c r="A747" t="inlineStr">
        <is>
          <t>20260630-8186-440656915</t>
        </is>
      </c>
      <c r="B747" t="n">
        <v>1</v>
      </c>
      <c r="C747" s="2" t="inlineStr">
        <is>
          <t>Олеся Порхало</t>
        </is>
      </c>
      <c r="D747" s="3" t="n">
        <v>18160</v>
      </c>
      <c r="E747" s="4" t="n">
        <v>20</v>
      </c>
      <c r="F747" t="inlineStr">
        <is>
          <t>ООО "УК ГЦБ и Т" [Чайковский]</t>
        </is>
      </c>
      <c r="G747" s="3">
        <f>ROUND(D747/(100-E747)*100,2)</f>
        <v/>
      </c>
      <c r="H747" s="5" t="n">
        <v>46203.58333333334</v>
      </c>
      <c r="I747" t="n">
        <v>2</v>
      </c>
      <c r="J747" s="3">
        <f>G747/I747</f>
        <v/>
      </c>
      <c r="K747">
        <f>IF(J747&gt;=5100,"ставка","мин.ставка")</f>
        <v/>
      </c>
      <c r="L747" s="3">
        <f>ROUND(IF(K747="мин.ставка",I747*100,G747/102*2),2)</f>
        <v/>
      </c>
      <c r="M747" s="5" t="n">
        <v>46205.5</v>
      </c>
      <c r="N747" t="inlineStr">
        <is>
          <t>TravelLine CBC</t>
        </is>
      </c>
      <c r="O747" s="2" t="inlineStr">
        <is>
          <t>СТАНДАРТНЫЙ ДВУХМЕСТНЫЙ НОМЕР</t>
        </is>
      </c>
      <c r="P747" s="6" t="n"/>
      <c r="R747" t="inlineStr"/>
      <c r="S747" t="inlineStr">
        <is>
          <t>Тариф с завтраком</t>
        </is>
      </c>
      <c r="T747" t="n">
        <v>0</v>
      </c>
      <c r="U747" t="n">
        <v>18160</v>
      </c>
    </row>
    <row r="748">
      <c r="A748" t="inlineStr">
        <is>
          <t>20260825-8186-459972581</t>
        </is>
      </c>
      <c r="B748" t="n">
        <v>1</v>
      </c>
      <c r="C748" s="2" t="inlineStr">
        <is>
          <t>Ольга Александрова, ИЛЬЯ ИВАНОВ</t>
        </is>
      </c>
      <c r="D748" s="3" t="n">
        <v>29904</v>
      </c>
      <c r="E748" s="4" t="n">
        <v>16</v>
      </c>
      <c r="F748" t="inlineStr">
        <is>
          <t>ООО "БРОНИРОВАНИЕ ГОСТИНИЦ" (OSTROVOK) [Чайковский]</t>
        </is>
      </c>
      <c r="G748" s="3">
        <f>ROUND(D748/(100-E748)*100,2)</f>
        <v/>
      </c>
      <c r="H748" s="5" t="n">
        <v>46259.58333333334</v>
      </c>
      <c r="I748" t="n">
        <v>2</v>
      </c>
      <c r="J748" s="3">
        <f>G748/I748</f>
        <v/>
      </c>
      <c r="K748">
        <f>IF(J748&gt;=5100,"ставка","мин.ставка")</f>
        <v/>
      </c>
      <c r="L748" s="3">
        <f>ROUND(IF(K748="мин.ставка",I748*100,G748/102*2),2)</f>
        <v/>
      </c>
      <c r="M748" s="5" t="n">
        <v>46261.5</v>
      </c>
      <c r="N748" t="inlineStr">
        <is>
          <t>TravelLine OTK</t>
        </is>
      </c>
      <c r="O748" s="2" t="inlineStr">
        <is>
          <t>ЛЮКС ВТОРОЙ КОРПУС</t>
        </is>
      </c>
      <c r="P748" s="6" t="n"/>
      <c r="R748" t="inlineStr"/>
      <c r="S748" t="inlineStr">
        <is>
          <t>Тариф с завтраком</t>
        </is>
      </c>
      <c r="T748" t="n">
        <v>0</v>
      </c>
      <c r="U748" t="n">
        <v>29904</v>
      </c>
    </row>
    <row r="749">
      <c r="A749" t="inlineStr">
        <is>
          <t>20260702-8186-441025472</t>
        </is>
      </c>
      <c r="B749" t="n">
        <v>1</v>
      </c>
      <c r="C749" s="2" t="inlineStr">
        <is>
          <t>Ольга Алимова</t>
        </is>
      </c>
      <c r="D749" s="3" t="n">
        <v>40200</v>
      </c>
      <c r="E749" s="4" t="n">
        <v>0</v>
      </c>
      <c r="F749" t="inlineStr">
        <is>
          <t>Прямые бронирования (стойка) [Чайковский]</t>
        </is>
      </c>
      <c r="G749" s="3">
        <f>ROUND(D749/(100-E749)*100,2)</f>
        <v/>
      </c>
      <c r="H749" s="5" t="n">
        <v>46205.58333333334</v>
      </c>
      <c r="I749" t="n">
        <v>3</v>
      </c>
      <c r="J749" s="3">
        <f>G749/I749</f>
        <v/>
      </c>
      <c r="K749">
        <f>IF(J749&gt;=5100,"ставка","мин.ставка")</f>
        <v/>
      </c>
      <c r="L749" s="3">
        <f>ROUND(IF(K749="мин.ставка",I749*100,G749/102*2),2)</f>
        <v/>
      </c>
      <c r="M749" s="5" t="n">
        <v>46208.5</v>
      </c>
      <c r="N749" t="inlineStr">
        <is>
          <t>TravelLine ресепшн</t>
        </is>
      </c>
      <c r="O749" s="2" t="inlineStr">
        <is>
          <t>УЛУЧШЕННЫЙ ДВУХМЕСТНЫЙ НОМЕР</t>
        </is>
      </c>
      <c r="P749" s="6" t="n"/>
      <c r="R749" t="inlineStr"/>
      <c r="S749" t="inlineStr">
        <is>
          <t>Тариф с завтраком</t>
        </is>
      </c>
      <c r="T749" t="n">
        <v>0</v>
      </c>
      <c r="U749" t="n">
        <v>40200</v>
      </c>
    </row>
    <row r="750">
      <c r="A750" t="inlineStr">
        <is>
          <t>20260921-8186-458690011</t>
        </is>
      </c>
      <c r="B750" t="n">
        <v>1</v>
      </c>
      <c r="C750" s="2" t="inlineStr">
        <is>
          <t>Ольга Ахапкина, Дмитрий Ахапкин</t>
        </is>
      </c>
      <c r="D750" s="3" t="n">
        <v>64080</v>
      </c>
      <c r="E750" s="4" t="n">
        <v>20</v>
      </c>
      <c r="F750" t="inlineStr">
        <is>
          <t>ООО "КОМПАНИЯ БРОНЕВИК" [Чайковский]</t>
        </is>
      </c>
      <c r="G750" s="3">
        <f>ROUND(D750/(100-E750)*100,2)</f>
        <v/>
      </c>
      <c r="H750" s="5" t="n">
        <v>46286.58333333334</v>
      </c>
      <c r="I750" t="n">
        <v>6</v>
      </c>
      <c r="J750" s="3">
        <f>G750/I750</f>
        <v/>
      </c>
      <c r="K750">
        <f>IF(J750&gt;=5100,"ставка","мин.ставка")</f>
        <v/>
      </c>
      <c r="L750" s="3">
        <f>ROUND(IF(K750="мин.ставка",I750*100,G750/102*2),2)</f>
        <v/>
      </c>
      <c r="M750" s="5" t="n">
        <v>46292.5</v>
      </c>
      <c r="N750" t="inlineStr">
        <is>
          <t>TravelLine BR2</t>
        </is>
      </c>
      <c r="O750" s="2" t="inlineStr">
        <is>
          <t>УЛУЧШЕННЫЙ ДВУХМЕСТНЫЙ НОМЕР</t>
        </is>
      </c>
      <c r="P750" s="6" t="n"/>
      <c r="R750" t="inlineStr"/>
      <c r="S750" t="inlineStr">
        <is>
          <t>Тариф с завтраком</t>
        </is>
      </c>
      <c r="T750" t="n">
        <v>0</v>
      </c>
      <c r="U750" t="n">
        <v>64080</v>
      </c>
    </row>
    <row r="751">
      <c r="A751" t="inlineStr">
        <is>
          <t>20260715-8186-450507435</t>
        </is>
      </c>
      <c r="B751" t="n">
        <v>1</v>
      </c>
      <c r="C751" s="2" t="inlineStr">
        <is>
          <t>Ольга Беловол</t>
        </is>
      </c>
      <c r="D751" s="3" t="n">
        <v>10998.15</v>
      </c>
      <c r="E751" s="4" t="n">
        <v>4</v>
      </c>
      <c r="F751" t="inlineStr">
        <is>
          <t>TravelLine Booking Engine [Чайковский]</t>
        </is>
      </c>
      <c r="G751" s="3">
        <f>ROUND(D751/(100-E751)*100,2)</f>
        <v/>
      </c>
      <c r="H751" s="5" t="n">
        <v>46218.72916666666</v>
      </c>
      <c r="I751" t="n">
        <v>1</v>
      </c>
      <c r="J751" s="3">
        <f>G751/I751</f>
        <v/>
      </c>
      <c r="K751">
        <f>IF(J751&gt;=5100,"ставка","мин.ставка")</f>
        <v/>
      </c>
      <c r="L751" s="3">
        <f>ROUND(IF(K751="мин.ставка",I751*100,G751/102*2),2)</f>
        <v/>
      </c>
      <c r="M751" s="5" t="n">
        <v>46219.5</v>
      </c>
      <c r="N751" t="inlineStr">
        <is>
          <t>TravelLine сайт</t>
        </is>
      </c>
      <c r="O751" s="2" t="inlineStr">
        <is>
          <t>СТАНДАРТНЫЙ ДВУХМЕСТНЫЙ НОМЕР</t>
        </is>
      </c>
      <c r="P751" s="6" t="n"/>
      <c r="R751" t="inlineStr"/>
      <c r="S751" t="inlineStr">
        <is>
          <t>Тариф с завтраком</t>
        </is>
      </c>
      <c r="T751" t="n">
        <v>0</v>
      </c>
      <c r="U751" t="n">
        <v>10998.15</v>
      </c>
    </row>
    <row r="752">
      <c r="A752" t="inlineStr">
        <is>
          <t>20260930-8186-469639188</t>
        </is>
      </c>
      <c r="B752" t="n">
        <v>1</v>
      </c>
      <c r="C752" s="2" t="inlineStr">
        <is>
          <t>Ольга Беловол</t>
        </is>
      </c>
      <c r="D752" s="3" t="n">
        <v>10050</v>
      </c>
      <c r="E752" s="4" t="n">
        <v>18</v>
      </c>
      <c r="F752" t="inlineStr">
        <is>
          <t>Яндекс.Путешествия [Чайковский]</t>
        </is>
      </c>
      <c r="G752" s="3">
        <f>ROUND(D752/(100-E752)*100,2)</f>
        <v/>
      </c>
      <c r="H752" s="5" t="n">
        <v>46295.58333333334</v>
      </c>
      <c r="I752" t="n">
        <v>1</v>
      </c>
      <c r="J752" s="3">
        <f>G752/I752</f>
        <v/>
      </c>
      <c r="K752">
        <f>IF(J752&gt;=5100,"ставка","мин.ставка")</f>
        <v/>
      </c>
      <c r="L752" s="3">
        <f>ROUND(IF(K752="мин.ставка",I752*100,G752/102*2),2)</f>
        <v/>
      </c>
      <c r="M752" s="5" t="n">
        <v>46296.5</v>
      </c>
      <c r="N752" t="inlineStr">
        <is>
          <t>TravelLine YAX</t>
        </is>
      </c>
      <c r="O752" s="2" t="inlineStr">
        <is>
          <t>УЛУЧШЕННЫЙ ДВУХМЕСТНЫЙ НОМЕР</t>
        </is>
      </c>
      <c r="P752" s="6" t="n"/>
      <c r="R752" t="inlineStr"/>
      <c r="S752" t="inlineStr">
        <is>
          <t>Тариф с завтраком</t>
        </is>
      </c>
      <c r="T752" t="n">
        <v>0</v>
      </c>
      <c r="U752" t="n">
        <v>10050</v>
      </c>
    </row>
    <row r="753">
      <c r="A753" t="inlineStr">
        <is>
          <t>20260918-8186-452110660</t>
        </is>
      </c>
      <c r="B753" t="n">
        <v>1</v>
      </c>
      <c r="C753" s="2" t="inlineStr">
        <is>
          <t>Ольга Беспалова</t>
        </is>
      </c>
      <c r="D753" s="3" t="n">
        <v>15161.3</v>
      </c>
      <c r="E753" s="4" t="n">
        <v>4</v>
      </c>
      <c r="F753" t="inlineStr">
        <is>
          <t>TravelLine Booking Engine [Чайковский]</t>
        </is>
      </c>
      <c r="G753" s="3">
        <f>ROUND(D753/(100-E753)*100,2)</f>
        <v/>
      </c>
      <c r="H753" s="5" t="n">
        <v>46283.58333333334</v>
      </c>
      <c r="I753" t="n">
        <v>2</v>
      </c>
      <c r="J753" s="3">
        <f>G753/I753</f>
        <v/>
      </c>
      <c r="K753">
        <f>IF(J753&gt;=5100,"ставка","мин.ставка")</f>
        <v/>
      </c>
      <c r="L753" s="3">
        <f>ROUND(IF(K753="мин.ставка",I753*100,G753/102*2),2)</f>
        <v/>
      </c>
      <c r="M753" s="5" t="n">
        <v>46285.5</v>
      </c>
      <c r="N753" t="inlineStr">
        <is>
          <t>TravelLine сайт</t>
        </is>
      </c>
      <c r="O753" s="2" t="inlineStr">
        <is>
          <t>СТАНДАРТНЫЙ ОДНОМЕСТНЫЙ НОМЕР</t>
        </is>
      </c>
      <c r="P753" s="6" t="n"/>
      <c r="R753" t="inlineStr"/>
      <c r="S753" t="inlineStr">
        <is>
          <t>Тариф с завтраком</t>
        </is>
      </c>
      <c r="T753" t="n">
        <v>0</v>
      </c>
      <c r="U753" t="n">
        <v>15161.3</v>
      </c>
    </row>
    <row r="754">
      <c r="A754" t="inlineStr">
        <is>
          <t>20260908-8186-455933749</t>
        </is>
      </c>
      <c r="B754" t="n">
        <v>1</v>
      </c>
      <c r="C754" s="2" t="inlineStr">
        <is>
          <t>Ольга Бобылева, Сергей Гайдук</t>
        </is>
      </c>
      <c r="D754" s="3" t="n">
        <v>33642</v>
      </c>
      <c r="E754" s="4" t="n">
        <v>16</v>
      </c>
      <c r="F754" t="inlineStr">
        <is>
          <t>ООО "БРОНИРОВАНИЕ ГОСТИНИЦ" (OSTROVOK) [Чайковский]</t>
        </is>
      </c>
      <c r="G754" s="3">
        <f>ROUND(D754/(100-E754)*100,2)</f>
        <v/>
      </c>
      <c r="H754" s="5" t="n">
        <v>46273.58333333334</v>
      </c>
      <c r="I754" t="n">
        <v>3</v>
      </c>
      <c r="J754" s="3">
        <f>G754/I754</f>
        <v/>
      </c>
      <c r="K754">
        <f>IF(J754&gt;=5100,"ставка","мин.ставка")</f>
        <v/>
      </c>
      <c r="L754" s="3">
        <f>ROUND(IF(K754="мин.ставка",I754*100,G754/102*2),2)</f>
        <v/>
      </c>
      <c r="M754" s="5" t="n">
        <v>46276.5</v>
      </c>
      <c r="N754" t="inlineStr">
        <is>
          <t>TravelLine OTK</t>
        </is>
      </c>
      <c r="O754" s="2" t="inlineStr">
        <is>
          <t>УЛУЧШЕННЫЙ ДВУХМЕСТНЫЙ НОМЕР</t>
        </is>
      </c>
      <c r="P754" s="6" t="n"/>
      <c r="R754" t="inlineStr"/>
      <c r="S754" t="inlineStr">
        <is>
          <t>Тариф с завтраком</t>
        </is>
      </c>
      <c r="T754" t="n">
        <v>0</v>
      </c>
      <c r="U754" t="n">
        <v>33642</v>
      </c>
    </row>
    <row r="755">
      <c r="A755" t="inlineStr">
        <is>
          <t>20260720-8186-421910187</t>
        </is>
      </c>
      <c r="B755" t="n">
        <v>1</v>
      </c>
      <c r="C755" s="2" t="inlineStr">
        <is>
          <t>ОЛЬГА ВАХНЕНКО</t>
        </is>
      </c>
      <c r="D755" s="3" t="n">
        <v>45815</v>
      </c>
      <c r="E755" s="4" t="n">
        <v>15</v>
      </c>
      <c r="F755" t="inlineStr">
        <is>
          <t>ООО "БРОНИРОВАНИЕ ГОСТИНИЦ" (OSTROVOK) [Чайковский]</t>
        </is>
      </c>
      <c r="G755" s="3">
        <f>ROUND(D755/(100-E755)*100,2)</f>
        <v/>
      </c>
      <c r="H755" s="5" t="n">
        <v>46223.58333333334</v>
      </c>
      <c r="I755" t="n">
        <v>7</v>
      </c>
      <c r="J755" s="3">
        <f>G755/I755</f>
        <v/>
      </c>
      <c r="K755">
        <f>IF(J755&gt;=5100,"ставка","мин.ставка")</f>
        <v/>
      </c>
      <c r="L755" s="3">
        <f>ROUND(IF(K755="мин.ставка",I755*100,G755/102*2),2)</f>
        <v/>
      </c>
      <c r="M755" s="5" t="n">
        <v>46230.5</v>
      </c>
      <c r="N755" t="inlineStr">
        <is>
          <t>TravelLine OTK</t>
        </is>
      </c>
      <c r="O755" s="2" t="inlineStr">
        <is>
          <t>СТАНДАРТНЫЙ ОДНОМЕСТНЫЙ НОМЕР</t>
        </is>
      </c>
      <c r="P755" s="6" t="n"/>
      <c r="R755" t="inlineStr"/>
      <c r="S755" t="inlineStr">
        <is>
          <t>Тариф с завтраком</t>
        </is>
      </c>
      <c r="T755" t="n">
        <v>0</v>
      </c>
      <c r="U755" t="n">
        <v>45815</v>
      </c>
    </row>
    <row r="756">
      <c r="A756" t="inlineStr">
        <is>
          <t>20260919-8186-464149509</t>
        </is>
      </c>
      <c r="B756" t="n">
        <v>1</v>
      </c>
      <c r="C756" s="2" t="inlineStr">
        <is>
          <t>Ольга Верховцева</t>
        </is>
      </c>
      <c r="D756" s="3" t="n">
        <v>6557</v>
      </c>
      <c r="E756" s="4" t="n">
        <v>17</v>
      </c>
      <c r="F756" t="inlineStr">
        <is>
          <t>ООО «Интернет Трэвел» (OZON) [Чайковский]</t>
        </is>
      </c>
      <c r="G756" s="3">
        <f>ROUND(D756/(100-E756)*100,2)</f>
        <v/>
      </c>
      <c r="H756" s="5" t="n">
        <v>46284.58333333334</v>
      </c>
      <c r="I756" t="n">
        <v>1</v>
      </c>
      <c r="J756" s="3">
        <f>G756/I756</f>
        <v/>
      </c>
      <c r="K756">
        <f>IF(J756&gt;=5100,"ставка","мин.ставка")</f>
        <v/>
      </c>
      <c r="L756" s="3">
        <f>ROUND(IF(K756="мин.ставка",I756*100,G756/102*2),2)</f>
        <v/>
      </c>
      <c r="M756" s="5" t="n">
        <v>46285.5</v>
      </c>
      <c r="N756" t="inlineStr">
        <is>
          <t>TravelLine OZ2</t>
        </is>
      </c>
      <c r="O756" s="2" t="inlineStr">
        <is>
          <t>СТАНДАРТНЫЙ ДВУХМЕСТНЫЙ НОМЕР (МАНСАРДА)</t>
        </is>
      </c>
      <c r="P756" s="6" t="n"/>
      <c r="R756" t="inlineStr"/>
      <c r="S756" t="inlineStr">
        <is>
          <t>Тариф с завтраком</t>
        </is>
      </c>
      <c r="T756" t="n">
        <v>0</v>
      </c>
      <c r="U756" t="n">
        <v>6557</v>
      </c>
    </row>
    <row r="757">
      <c r="A757" t="inlineStr">
        <is>
          <t>20260901-8186-462400147</t>
        </is>
      </c>
      <c r="B757" t="n">
        <v>1</v>
      </c>
      <c r="C757" s="2" t="inlineStr">
        <is>
          <t>Ольга Галатенко, Павел Ворник</t>
        </is>
      </c>
      <c r="D757" s="3" t="n">
        <v>38346</v>
      </c>
      <c r="E757" s="4" t="n">
        <v>17</v>
      </c>
      <c r="F757" t="inlineStr">
        <is>
          <t>ООО «Интернет Трэвел» (OZON) [Чайковский]</t>
        </is>
      </c>
      <c r="G757" s="3">
        <f>ROUND(D757/(100-E757)*100,2)</f>
        <v/>
      </c>
      <c r="H757" s="5" t="n">
        <v>46266.58333333334</v>
      </c>
      <c r="I757" t="n">
        <v>3</v>
      </c>
      <c r="J757" s="3">
        <f>G757/I757</f>
        <v/>
      </c>
      <c r="K757">
        <f>IF(J757&gt;=5100,"ставка","мин.ставка")</f>
        <v/>
      </c>
      <c r="L757" s="3">
        <f>ROUND(IF(K757="мин.ставка",I757*100,G757/102*2),2)</f>
        <v/>
      </c>
      <c r="M757" s="5" t="n">
        <v>46269.5</v>
      </c>
      <c r="N757" t="inlineStr">
        <is>
          <t>TravelLine OZ2</t>
        </is>
      </c>
      <c r="O757" s="2" t="inlineStr">
        <is>
          <t>УЛУЧШЕННЫЙ ДВУХМЕСТНЫЙ НОМЕР</t>
        </is>
      </c>
      <c r="P757" s="6" t="n"/>
      <c r="R757" t="inlineStr"/>
      <c r="S757" t="inlineStr">
        <is>
          <t>Тариф с завтраком</t>
        </is>
      </c>
      <c r="T757" t="n">
        <v>0</v>
      </c>
      <c r="U757" t="n">
        <v>38346</v>
      </c>
    </row>
    <row r="758">
      <c r="A758" t="inlineStr">
        <is>
          <t>20260729-8186-414621062</t>
        </is>
      </c>
      <c r="B758" t="n">
        <v>1</v>
      </c>
      <c r="C758" s="2" t="inlineStr">
        <is>
          <t>Ольга Егоренкова</t>
        </is>
      </c>
      <c r="D758" s="3" t="n">
        <v>11600</v>
      </c>
      <c r="E758" s="4" t="n">
        <v>0</v>
      </c>
      <c r="F758" t="inlineStr">
        <is>
          <t>Прямые бронирования (стойка) [Чайковский]</t>
        </is>
      </c>
      <c r="G758" s="3">
        <f>ROUND(D758/(100-E758)*100,2)</f>
        <v/>
      </c>
      <c r="H758" s="5" t="n">
        <v>46232.58333333334</v>
      </c>
      <c r="I758" t="n">
        <v>1</v>
      </c>
      <c r="J758" s="3">
        <f>G758/I758</f>
        <v/>
      </c>
      <c r="K758">
        <f>IF(J758&gt;=5100,"ставка","мин.ставка")</f>
        <v/>
      </c>
      <c r="L758" s="3">
        <f>ROUND(IF(K758="мин.ставка",I758*100,G758/102*2),2)</f>
        <v/>
      </c>
      <c r="M758" s="5" t="n">
        <v>46233.5</v>
      </c>
      <c r="N758" t="inlineStr">
        <is>
          <t>TravelLine ресепшн</t>
        </is>
      </c>
      <c r="O758" s="2" t="inlineStr">
        <is>
          <t>ПОЛУЛЮКС</t>
        </is>
      </c>
      <c r="P758" s="6" t="n"/>
      <c r="R758" t="inlineStr"/>
      <c r="S758" t="inlineStr">
        <is>
          <t>Тариф с завтраком</t>
        </is>
      </c>
      <c r="T758" t="n">
        <v>0</v>
      </c>
      <c r="U758" t="n">
        <v>11600</v>
      </c>
    </row>
    <row r="759">
      <c r="A759" t="inlineStr">
        <is>
          <t>20260915-8186-459062307</t>
        </is>
      </c>
      <c r="B759" t="n">
        <v>1</v>
      </c>
      <c r="C759" s="2" t="inlineStr">
        <is>
          <t>ОЛЬГА Запара, ВИКТОР ЗАПАРА</t>
        </is>
      </c>
      <c r="D759" s="3" t="n">
        <v>59400</v>
      </c>
      <c r="E759" s="4" t="n">
        <v>0</v>
      </c>
      <c r="F759" t="inlineStr">
        <is>
          <t>Прямые бронирования (стойка) [Чайковский]</t>
        </is>
      </c>
      <c r="G759" s="3">
        <f>ROUND(D759/(100-E759)*100,2)</f>
        <v/>
      </c>
      <c r="H759" s="5" t="n">
        <v>46280.58333333334</v>
      </c>
      <c r="I759" t="n">
        <v>4</v>
      </c>
      <c r="J759" s="3">
        <f>G759/I759</f>
        <v/>
      </c>
      <c r="K759">
        <f>IF(J759&gt;=5100,"ставка","мин.ставка")</f>
        <v/>
      </c>
      <c r="L759" s="3">
        <f>ROUND(IF(K759="мин.ставка",I759*100,G759/102*2),2)</f>
        <v/>
      </c>
      <c r="M759" s="5" t="n">
        <v>46284.5</v>
      </c>
      <c r="N759" t="inlineStr">
        <is>
          <t>TravelLine ресепшн</t>
        </is>
      </c>
      <c r="O759" s="2" t="inlineStr">
        <is>
          <t>ПОЛУЛЮКС</t>
        </is>
      </c>
      <c r="P759" s="6" t="n"/>
      <c r="R759" t="inlineStr"/>
      <c r="S759" t="inlineStr">
        <is>
          <t>Тариф с завтраком</t>
        </is>
      </c>
      <c r="T759" t="n">
        <v>0</v>
      </c>
      <c r="U759" t="n">
        <v>59400</v>
      </c>
    </row>
    <row r="760">
      <c r="A760" t="inlineStr">
        <is>
          <t>20260809-8186-455980804</t>
        </is>
      </c>
      <c r="B760" t="n">
        <v>1</v>
      </c>
      <c r="C760" s="2" t="inlineStr">
        <is>
          <t>ОЛЬГА ЗДОРИКОВА</t>
        </is>
      </c>
      <c r="D760" s="3" t="n">
        <v>22512</v>
      </c>
      <c r="E760" s="4" t="n">
        <v>16</v>
      </c>
      <c r="F760" t="inlineStr">
        <is>
          <t>ООО "БРОНИРОВАНИЕ ГОСТИНИЦ" (OSTROVOK) [Чайковский]</t>
        </is>
      </c>
      <c r="G760" s="3">
        <f>ROUND(D760/(100-E760)*100,2)</f>
        <v/>
      </c>
      <c r="H760" s="5" t="n">
        <v>46243.58333333334</v>
      </c>
      <c r="I760" t="n">
        <v>2</v>
      </c>
      <c r="J760" s="3">
        <f>G760/I760</f>
        <v/>
      </c>
      <c r="K760">
        <f>IF(J760&gt;=5100,"ставка","мин.ставка")</f>
        <v/>
      </c>
      <c r="L760" s="3">
        <f>ROUND(IF(K760="мин.ставка",I760*100,G760/102*2),2)</f>
        <v/>
      </c>
      <c r="M760" s="5" t="n">
        <v>46245.5</v>
      </c>
      <c r="N760" t="inlineStr">
        <is>
          <t>TravelLine OTK</t>
        </is>
      </c>
      <c r="O760" s="2" t="inlineStr">
        <is>
          <t>УЛУЧШЕННЫЙ ДВУХМЕСТНЫЙ НОМЕР</t>
        </is>
      </c>
      <c r="P760" s="6" t="n"/>
      <c r="R760" t="inlineStr"/>
      <c r="S760" t="inlineStr">
        <is>
          <t>Тариф с завтраком</t>
        </is>
      </c>
      <c r="T760" t="n">
        <v>0</v>
      </c>
      <c r="U760" t="n">
        <v>22512</v>
      </c>
    </row>
    <row r="761">
      <c r="A761" t="inlineStr">
        <is>
          <t>20260821-8186-458141920</t>
        </is>
      </c>
      <c r="B761" t="n">
        <v>1</v>
      </c>
      <c r="C761" s="2" t="inlineStr">
        <is>
          <t>Ольга Каширина, Михаил Китаев</t>
        </is>
      </c>
      <c r="D761" s="3" t="n">
        <v>41085</v>
      </c>
      <c r="E761" s="4" t="n">
        <v>18</v>
      </c>
      <c r="F761" t="inlineStr">
        <is>
          <t>Яндекс.Путешествия [Чайковский]</t>
        </is>
      </c>
      <c r="G761" s="3">
        <f>ROUND(D761/(100-E761)*100,2)</f>
        <v/>
      </c>
      <c r="H761" s="5" t="n">
        <v>46255.58333333334</v>
      </c>
      <c r="I761" t="n">
        <v>3</v>
      </c>
      <c r="J761" s="3">
        <f>G761/I761</f>
        <v/>
      </c>
      <c r="K761">
        <f>IF(J761&gt;=5100,"ставка","мин.ставка")</f>
        <v/>
      </c>
      <c r="L761" s="3">
        <f>ROUND(IF(K761="мин.ставка",I761*100,G761/102*2),2)</f>
        <v/>
      </c>
      <c r="M761" s="5" t="n">
        <v>46258.5</v>
      </c>
      <c r="N761" t="inlineStr">
        <is>
          <t>TravelLine YAX</t>
        </is>
      </c>
      <c r="O761" s="2" t="inlineStr">
        <is>
          <t>ПОЛУЛЮКС</t>
        </is>
      </c>
      <c r="P761" s="6" t="n"/>
      <c r="R761" t="inlineStr"/>
      <c r="S761" t="inlineStr">
        <is>
          <t>Тариф с завтраком</t>
        </is>
      </c>
      <c r="T761" t="n">
        <v>0</v>
      </c>
      <c r="U761" t="n">
        <v>41085</v>
      </c>
    </row>
    <row r="762">
      <c r="A762" t="inlineStr">
        <is>
          <t>20260819-8186-406343443</t>
        </is>
      </c>
      <c r="B762" t="n">
        <v>1</v>
      </c>
      <c r="C762" s="2" t="inlineStr">
        <is>
          <t>Ольга Коростелева, Андрей Коростелев</t>
        </is>
      </c>
      <c r="D762" s="3" t="n">
        <v>13016.25</v>
      </c>
      <c r="E762" s="4" t="n">
        <v>4</v>
      </c>
      <c r="F762" t="inlineStr">
        <is>
          <t>TravelLine Booking Engine [Чайковский]</t>
        </is>
      </c>
      <c r="G762" s="3">
        <f>ROUND(D762/(100-E762)*100,2)</f>
        <v/>
      </c>
      <c r="H762" s="5" t="n">
        <v>46253.58333333334</v>
      </c>
      <c r="I762" t="n">
        <v>1</v>
      </c>
      <c r="J762" s="3">
        <f>G762/I762</f>
        <v/>
      </c>
      <c r="K762">
        <f>IF(J762&gt;=5100,"ставка","мин.ставка")</f>
        <v/>
      </c>
      <c r="L762" s="3">
        <f>ROUND(IF(K762="мин.ставка",I762*100,G762/102*2),2)</f>
        <v/>
      </c>
      <c r="M762" s="5" t="n">
        <v>46254.5</v>
      </c>
      <c r="N762" t="inlineStr">
        <is>
          <t>TravelLine сайт</t>
        </is>
      </c>
      <c r="O762" s="2" t="inlineStr">
        <is>
          <t>СТАНДАРТНЫЙ ДВУХМЕСТНЫЙ НОМЕР</t>
        </is>
      </c>
      <c r="P762" s="6" t="n"/>
      <c r="R762" t="inlineStr"/>
      <c r="S762" t="inlineStr">
        <is>
          <t>Тариф с завтраком</t>
        </is>
      </c>
      <c r="T762" t="n">
        <v>0</v>
      </c>
      <c r="U762" t="n">
        <v>13016.25</v>
      </c>
    </row>
    <row r="763">
      <c r="A763" t="inlineStr">
        <is>
          <t>20260716-8186-448718425</t>
        </is>
      </c>
      <c r="B763" t="n">
        <v>1</v>
      </c>
      <c r="C763" s="2" t="inlineStr">
        <is>
          <t>ОЛЬГА КОРШУНОВА</t>
        </is>
      </c>
      <c r="D763" s="3" t="n">
        <v>30260</v>
      </c>
      <c r="E763" s="4" t="n">
        <v>15</v>
      </c>
      <c r="F763" t="inlineStr">
        <is>
          <t>ООО "Библио-Глобус Туроператор" [Чайковский]</t>
        </is>
      </c>
      <c r="G763" s="3">
        <f>ROUND(D763/(100-E763)*100,2)</f>
        <v/>
      </c>
      <c r="H763" s="5" t="n">
        <v>46219.58333333334</v>
      </c>
      <c r="I763" t="n">
        <v>4</v>
      </c>
      <c r="J763" s="3">
        <f>G763/I763</f>
        <v/>
      </c>
      <c r="K763">
        <f>IF(J763&gt;=5100,"ставка","мин.ставка")</f>
        <v/>
      </c>
      <c r="L763" s="3">
        <f>ROUND(IF(K763="мин.ставка",I763*100,G763/102*2),2)</f>
        <v/>
      </c>
      <c r="M763" s="5" t="n">
        <v>46223.5</v>
      </c>
      <c r="N763" t="inlineStr">
        <is>
          <t>TravelLine BGL</t>
        </is>
      </c>
      <c r="O763" s="2" t="inlineStr">
        <is>
          <t>СТАНДАРТНЫЙ ДВУХМЕСТНЫЙ НОМЕР</t>
        </is>
      </c>
      <c r="P763" s="6" t="n"/>
      <c r="R763" t="inlineStr"/>
      <c r="S763" t="inlineStr">
        <is>
          <t>Тариф с завтраком</t>
        </is>
      </c>
      <c r="T763" t="n">
        <v>0</v>
      </c>
      <c r="U763" t="n">
        <v>30260</v>
      </c>
    </row>
    <row r="764">
      <c r="A764" t="inlineStr">
        <is>
          <t>20260713-8186-449799013</t>
        </is>
      </c>
      <c r="B764" t="n">
        <v>1</v>
      </c>
      <c r="C764" s="2" t="inlineStr">
        <is>
          <t>Ольга Красоцкая, Ольга Красоцкая</t>
        </is>
      </c>
      <c r="D764" s="3" t="n">
        <v>9265</v>
      </c>
      <c r="E764" s="4" t="n">
        <v>15</v>
      </c>
      <c r="F764" t="inlineStr">
        <is>
          <t>ООО Тинькофф Путешествия [Чайковский]</t>
        </is>
      </c>
      <c r="G764" s="3">
        <f>ROUND(D764/(100-E764)*100,2)</f>
        <v/>
      </c>
      <c r="H764" s="5" t="n">
        <v>46216.58333333334</v>
      </c>
      <c r="I764" t="n">
        <v>1</v>
      </c>
      <c r="J764" s="3">
        <f>G764/I764</f>
        <v/>
      </c>
      <c r="K764">
        <f>IF(J764&gt;=5100,"ставка","мин.ставка")</f>
        <v/>
      </c>
      <c r="L764" s="3">
        <f>ROUND(IF(K764="мин.ставка",I764*100,G764/102*2),2)</f>
        <v/>
      </c>
      <c r="M764" s="5" t="n">
        <v>46217.5</v>
      </c>
      <c r="N764" t="inlineStr">
        <is>
          <t>TravelLine TNK</t>
        </is>
      </c>
      <c r="O764" s="2" t="inlineStr">
        <is>
          <t>СЕМЕЙНЫЙ НОМЕР КАТЕГОРИИ "СТАНДАРТ" ВТОРОЙ КОРПУС</t>
        </is>
      </c>
      <c r="P764" s="6" t="n"/>
      <c r="R764" t="inlineStr"/>
      <c r="S764" t="inlineStr">
        <is>
          <t>Тариф с завтраком</t>
        </is>
      </c>
      <c r="T764" t="n">
        <v>0</v>
      </c>
      <c r="U764" t="n">
        <v>9265</v>
      </c>
    </row>
    <row r="765">
      <c r="A765" t="inlineStr">
        <is>
          <t>20260821-8186-460289458</t>
        </is>
      </c>
      <c r="B765" t="n">
        <v>1</v>
      </c>
      <c r="C765" s="2" t="inlineStr">
        <is>
          <t>Ольга Ляшенко</t>
        </is>
      </c>
      <c r="D765" s="3" t="n">
        <v>10998.15</v>
      </c>
      <c r="E765" s="4" t="n">
        <v>4</v>
      </c>
      <c r="F765" t="inlineStr">
        <is>
          <t>TravelLine Booking Engine [Чайковский]</t>
        </is>
      </c>
      <c r="G765" s="3">
        <f>ROUND(D765/(100-E765)*100,2)</f>
        <v/>
      </c>
      <c r="H765" s="5" t="n">
        <v>46255.58333333334</v>
      </c>
      <c r="I765" t="n">
        <v>1</v>
      </c>
      <c r="J765" s="3">
        <f>G765/I765</f>
        <v/>
      </c>
      <c r="K765">
        <f>IF(J765&gt;=5100,"ставка","мин.ставка")</f>
        <v/>
      </c>
      <c r="L765" s="3">
        <f>ROUND(IF(K765="мин.ставка",I765*100,G765/102*2),2)</f>
        <v/>
      </c>
      <c r="M765" s="5" t="n">
        <v>46256.5</v>
      </c>
      <c r="N765" t="inlineStr">
        <is>
          <t>TravelLine сайт</t>
        </is>
      </c>
      <c r="O765" s="2" t="inlineStr">
        <is>
          <t>СТАНДАРТНЫЙ ДВУХМЕСТНЫЙ НОМЕР</t>
        </is>
      </c>
      <c r="P765" s="6" t="n"/>
      <c r="R765" t="inlineStr"/>
      <c r="S765" t="inlineStr">
        <is>
          <t>Тариф с завтраком</t>
        </is>
      </c>
      <c r="T765" t="n">
        <v>0</v>
      </c>
      <c r="U765" t="n">
        <v>10998.15</v>
      </c>
    </row>
    <row r="766">
      <c r="A766" t="inlineStr">
        <is>
          <t>20260822-8186-435212432</t>
        </is>
      </c>
      <c r="B766" t="n">
        <v>1</v>
      </c>
      <c r="C766" s="2" t="inlineStr">
        <is>
          <t>ОЛЬГА МАКСИМОВИЧ, ПАВЕЛ ГУРБИЧ</t>
        </is>
      </c>
      <c r="D766" s="3" t="n">
        <v>25245</v>
      </c>
      <c r="E766" s="4" t="n">
        <v>16</v>
      </c>
      <c r="F766" t="inlineStr">
        <is>
          <t>ООО "БРОНИРОВАНИЕ ГОСТИНИЦ" (OSTROVOK) [Чайковский]</t>
        </is>
      </c>
      <c r="G766" s="3">
        <f>ROUND(D766/(100-E766)*100,2)</f>
        <v/>
      </c>
      <c r="H766" s="5" t="n">
        <v>46256.58333333334</v>
      </c>
      <c r="I766" t="n">
        <v>3</v>
      </c>
      <c r="J766" s="3">
        <f>G766/I766</f>
        <v/>
      </c>
      <c r="K766">
        <f>IF(J766&gt;=5100,"ставка","мин.ставка")</f>
        <v/>
      </c>
      <c r="L766" s="3">
        <f>ROUND(IF(K766="мин.ставка",I766*100,G766/102*2),2)</f>
        <v/>
      </c>
      <c r="M766" s="5" t="n">
        <v>46259.5</v>
      </c>
      <c r="N766" t="inlineStr">
        <is>
          <t>TravelLine OTK</t>
        </is>
      </c>
      <c r="O766" s="2" t="inlineStr">
        <is>
          <t>СТАНДАРТНЫЙ ДВУХМЕСТНЫЙ НОМЕР (МАНСАРДА)</t>
        </is>
      </c>
      <c r="P766" s="6" t="n"/>
      <c r="R766" t="inlineStr"/>
      <c r="S766" t="inlineStr">
        <is>
          <t>Тариф с завтраком</t>
        </is>
      </c>
      <c r="T766" t="n">
        <v>0</v>
      </c>
      <c r="U766" t="n">
        <v>25245</v>
      </c>
    </row>
    <row r="767">
      <c r="A767" t="inlineStr">
        <is>
          <t>20260929-8186-465328503</t>
        </is>
      </c>
      <c r="B767" t="n">
        <v>1</v>
      </c>
      <c r="C767" s="2" t="inlineStr">
        <is>
          <t>Ольга Маурина</t>
        </is>
      </c>
      <c r="D767" s="3" t="n">
        <v>5775</v>
      </c>
      <c r="E767" s="4" t="n">
        <v>18</v>
      </c>
      <c r="F767" t="inlineStr">
        <is>
          <t>Яндекс.Путешествия [Чайковский]</t>
        </is>
      </c>
      <c r="G767" s="3">
        <f>ROUND(D767/(100-E767)*100,2)</f>
        <v/>
      </c>
      <c r="H767" s="5" t="n">
        <v>46294.58333333334</v>
      </c>
      <c r="I767" t="n">
        <v>1</v>
      </c>
      <c r="J767" s="3">
        <f>G767/I767</f>
        <v/>
      </c>
      <c r="K767">
        <f>IF(J767&gt;=5100,"ставка","мин.ставка")</f>
        <v/>
      </c>
      <c r="L767" s="3">
        <f>ROUND(IF(K767="мин.ставка",I767*100,G767/102*2),2)</f>
        <v/>
      </c>
      <c r="M767" s="5" t="n">
        <v>46295.5</v>
      </c>
      <c r="N767" t="inlineStr">
        <is>
          <t>TravelLine YAX</t>
        </is>
      </c>
      <c r="O767" s="2" t="inlineStr">
        <is>
          <t>СТАНДАРТНЫЙ ОДНОМЕСТНЫЙ НОМЕР</t>
        </is>
      </c>
      <c r="P767" s="6" t="n"/>
      <c r="R767" t="inlineStr"/>
      <c r="S767" t="inlineStr">
        <is>
          <t>Тариф с завтраком</t>
        </is>
      </c>
      <c r="T767" t="n">
        <v>0</v>
      </c>
      <c r="U767" t="n">
        <v>5775</v>
      </c>
    </row>
    <row r="768">
      <c r="A768" t="inlineStr">
        <is>
          <t>20260707-8186-408949108</t>
        </is>
      </c>
      <c r="B768" t="n">
        <v>1</v>
      </c>
      <c r="C768" s="2" t="inlineStr">
        <is>
          <t>Ольга Минченко, Станислав Сушков</t>
        </is>
      </c>
      <c r="D768" s="3" t="n">
        <v>69151.5</v>
      </c>
      <c r="E768" s="4" t="n">
        <v>4</v>
      </c>
      <c r="F768" t="inlineStr">
        <is>
          <t>TravelLine Booking Engine [Чайковский]</t>
        </is>
      </c>
      <c r="G768" s="3">
        <f>ROUND(D768/(100-E768)*100,2)</f>
        <v/>
      </c>
      <c r="H768" s="5" t="n">
        <v>46210.58333333334</v>
      </c>
      <c r="I768" t="n">
        <v>7</v>
      </c>
      <c r="J768" s="3">
        <f>G768/I768</f>
        <v/>
      </c>
      <c r="K768">
        <f>IF(J768&gt;=5100,"ставка","мин.ставка")</f>
        <v/>
      </c>
      <c r="L768" s="3">
        <f>ROUND(IF(K768="мин.ставка",I768*100,G768/102*2),2)</f>
        <v/>
      </c>
      <c r="M768" s="5" t="n">
        <v>46217.5</v>
      </c>
      <c r="N768" t="inlineStr">
        <is>
          <t>TravelLine сайт</t>
        </is>
      </c>
      <c r="O768" s="2" t="inlineStr">
        <is>
          <t>СТАНДАРТНЫЙ ДВУХМЕСТНЫЙ НОМЕР (МАНСАРДА)</t>
        </is>
      </c>
      <c r="P768" s="6" t="n"/>
      <c r="R768" t="inlineStr"/>
      <c r="S768" t="inlineStr">
        <is>
          <t>Тариф с завтраком</t>
        </is>
      </c>
      <c r="T768" t="n">
        <v>0</v>
      </c>
      <c r="U768" t="n">
        <v>69151.5</v>
      </c>
    </row>
    <row r="769">
      <c r="A769" t="inlineStr">
        <is>
          <t>20260709-8186-448353253</t>
        </is>
      </c>
      <c r="B769" t="n">
        <v>1</v>
      </c>
      <c r="C769" s="2" t="inlineStr">
        <is>
          <t>ОЛЬГА Мотовилова</t>
        </is>
      </c>
      <c r="D769" s="3" t="n">
        <v>11850</v>
      </c>
      <c r="E769" s="4" t="n">
        <v>0</v>
      </c>
      <c r="F769" t="inlineStr">
        <is>
          <t>Прямые бронирования (стойка) [Чайковский]</t>
        </is>
      </c>
      <c r="G769" s="3">
        <f>ROUND(D769/(100-E769)*100,2)</f>
        <v/>
      </c>
      <c r="H769" s="5" t="n">
        <v>46212.58333333334</v>
      </c>
      <c r="I769" t="n">
        <v>1</v>
      </c>
      <c r="J769" s="3">
        <f>G769/I769</f>
        <v/>
      </c>
      <c r="K769">
        <f>IF(J769&gt;=5100,"ставка","мин.ставка")</f>
        <v/>
      </c>
      <c r="L769" s="3">
        <f>ROUND(IF(K769="мин.ставка",I769*100,G769/102*2),2)</f>
        <v/>
      </c>
      <c r="M769" s="5" t="n">
        <v>46213.5</v>
      </c>
      <c r="N769" t="inlineStr">
        <is>
          <t>TravelLine ресепшн</t>
        </is>
      </c>
      <c r="O769" s="2" t="inlineStr">
        <is>
          <t>ПОЛУЛЮКС</t>
        </is>
      </c>
      <c r="P769" s="6" t="n"/>
      <c r="R769" t="inlineStr"/>
      <c r="S769" t="inlineStr">
        <is>
          <t>Тариф с завтраком</t>
        </is>
      </c>
      <c r="T769" t="n">
        <v>0</v>
      </c>
      <c r="U769" t="n">
        <v>11850</v>
      </c>
    </row>
    <row r="770">
      <c r="A770" t="inlineStr">
        <is>
          <t>20260917-8186-466217197</t>
        </is>
      </c>
      <c r="B770" t="n">
        <v>1</v>
      </c>
      <c r="C770" s="2" t="inlineStr">
        <is>
          <t>Ольга Пономарева</t>
        </is>
      </c>
      <c r="D770" s="3" t="n">
        <v>22348.15</v>
      </c>
      <c r="E770" s="4" t="n">
        <v>4</v>
      </c>
      <c r="F770" t="inlineStr">
        <is>
          <t>TravelLine Booking Engine [Чайковский]</t>
        </is>
      </c>
      <c r="G770" s="3">
        <f>ROUND(D770/(100-E770)*100,2)</f>
        <v/>
      </c>
      <c r="H770" s="5" t="n">
        <v>46282.58333333334</v>
      </c>
      <c r="I770" t="n">
        <v>2</v>
      </c>
      <c r="J770" s="3">
        <f>G770/I770</f>
        <v/>
      </c>
      <c r="K770">
        <f>IF(J770&gt;=5100,"ставка","мин.ставка")</f>
        <v/>
      </c>
      <c r="L770" s="3">
        <f>ROUND(IF(K770="мин.ставка",I770*100,G770/102*2),2)</f>
        <v/>
      </c>
      <c r="M770" s="5" t="n">
        <v>46284.5</v>
      </c>
      <c r="N770" t="inlineStr">
        <is>
          <t>TravelLine сайт</t>
        </is>
      </c>
      <c r="O770" s="2" t="inlineStr">
        <is>
          <t>СТАНДАРТНЫЙ ДВУХМЕСТНЫЙ НОМЕР</t>
        </is>
      </c>
      <c r="P770" s="6" t="n"/>
      <c r="R770" t="inlineStr"/>
      <c r="S770" t="inlineStr">
        <is>
          <t>Тариф с завтраком</t>
        </is>
      </c>
      <c r="T770" t="n">
        <v>0</v>
      </c>
      <c r="U770" t="n">
        <v>22348.15</v>
      </c>
    </row>
    <row r="771">
      <c r="A771" t="inlineStr">
        <is>
          <t>20260802-8186-438830441</t>
        </is>
      </c>
      <c r="B771" t="n">
        <v>1</v>
      </c>
      <c r="C771" s="2" t="inlineStr">
        <is>
          <t>ОЛЬГА ПРОСКУРНИНА, АЛЕНА ПРОСКУРНИНА</t>
        </is>
      </c>
      <c r="D771" s="3" t="n">
        <v>68085</v>
      </c>
      <c r="E771" s="4" t="n">
        <v>0</v>
      </c>
      <c r="F771" t="inlineStr">
        <is>
          <t>ООО "АЛЕАН ОТДЫХ" [Чайковский]</t>
        </is>
      </c>
      <c r="G771" s="3">
        <f>ROUND(D771/(100-E771)*100,2)</f>
        <v/>
      </c>
      <c r="H771" s="5" t="n">
        <v>46236.58333333334</v>
      </c>
      <c r="I771" t="n">
        <v>6</v>
      </c>
      <c r="J771" s="3">
        <f>G771/I771</f>
        <v/>
      </c>
      <c r="K771">
        <f>IF(J771&gt;=5100,"ставка","мин.ставка")</f>
        <v/>
      </c>
      <c r="L771" s="3">
        <f>ROUND(IF(K771="мин.ставка",I771*100,G771/102*2),2)</f>
        <v/>
      </c>
      <c r="M771" s="5" t="n">
        <v>46242.5</v>
      </c>
      <c r="N771" t="inlineStr">
        <is>
          <t>TravelLine ALN</t>
        </is>
      </c>
      <c r="O771" s="2" t="inlineStr">
        <is>
          <t>СТАНДАРТНЫЙ ДВУХМЕСТНЫЙ НОМЕР</t>
        </is>
      </c>
      <c r="P771" s="6" t="n"/>
      <c r="R771" t="inlineStr"/>
      <c r="S771" t="inlineStr">
        <is>
          <t>Тариф с завтраком</t>
        </is>
      </c>
      <c r="T771" t="n">
        <v>0</v>
      </c>
      <c r="U771" t="n">
        <v>68085</v>
      </c>
    </row>
    <row r="772">
      <c r="A772" t="inlineStr">
        <is>
          <t>20260923-8186-461586020</t>
        </is>
      </c>
      <c r="B772" t="n">
        <v>1</v>
      </c>
      <c r="C772" s="2" t="inlineStr">
        <is>
          <t>Ольга Протопопова</t>
        </is>
      </c>
      <c r="D772" s="3" t="n">
        <v>18160</v>
      </c>
      <c r="E772" s="4" t="n">
        <v>20</v>
      </c>
      <c r="F772" t="inlineStr">
        <is>
          <t>ООО "КОМПАНИЯ БРОНЕВИК" [Чайковский]</t>
        </is>
      </c>
      <c r="G772" s="3">
        <f>ROUND(D772/(100-E772)*100,2)</f>
        <v/>
      </c>
      <c r="H772" s="5" t="n">
        <v>46288.58333333334</v>
      </c>
      <c r="I772" t="n">
        <v>2</v>
      </c>
      <c r="J772" s="3">
        <f>G772/I772</f>
        <v/>
      </c>
      <c r="K772">
        <f>IF(J772&gt;=5100,"ставка","мин.ставка")</f>
        <v/>
      </c>
      <c r="L772" s="3">
        <f>ROUND(IF(K772="мин.ставка",I772*100,G772/102*2),2)</f>
        <v/>
      </c>
      <c r="M772" s="5" t="n">
        <v>46290.5</v>
      </c>
      <c r="N772" t="inlineStr">
        <is>
          <t>TravelLine BR2</t>
        </is>
      </c>
      <c r="O772" s="2" t="inlineStr">
        <is>
          <t>СТАНДАРТНЫЙ ДВУХМЕСТНЫЙ НОМЕР</t>
        </is>
      </c>
      <c r="P772" s="6" t="n"/>
      <c r="R772" t="inlineStr"/>
      <c r="S772" t="inlineStr">
        <is>
          <t>Тариф с завтраком</t>
        </is>
      </c>
      <c r="T772" t="n">
        <v>0</v>
      </c>
      <c r="U772" t="n">
        <v>18160</v>
      </c>
    </row>
    <row r="773">
      <c r="A773" t="inlineStr">
        <is>
          <t>20260913-8186-465502302</t>
        </is>
      </c>
      <c r="B773" t="n">
        <v>1</v>
      </c>
      <c r="C773" s="2" t="inlineStr">
        <is>
          <t>Ольга Савостьянова</t>
        </is>
      </c>
      <c r="D773" s="3" t="n">
        <v>12936</v>
      </c>
      <c r="E773" s="4" t="n">
        <v>16</v>
      </c>
      <c r="F773" t="inlineStr">
        <is>
          <t>ООО "БРОНИРОВАНИЕ ГОСТИНИЦ" (OSTROVOK) [Чайковский]</t>
        </is>
      </c>
      <c r="G773" s="3">
        <f>ROUND(D773/(100-E773)*100,2)</f>
        <v/>
      </c>
      <c r="H773" s="5" t="n">
        <v>46278.58333333334</v>
      </c>
      <c r="I773" t="n">
        <v>2</v>
      </c>
      <c r="J773" s="3">
        <f>G773/I773</f>
        <v/>
      </c>
      <c r="K773">
        <f>IF(J773&gt;=5100,"ставка","мин.ставка")</f>
        <v/>
      </c>
      <c r="L773" s="3">
        <f>ROUND(IF(K773="мин.ставка",I773*100,G773/102*2),2)</f>
        <v/>
      </c>
      <c r="M773" s="5" t="n">
        <v>46280.5</v>
      </c>
      <c r="N773" t="inlineStr">
        <is>
          <t>TravelLine OTK</t>
        </is>
      </c>
      <c r="O773" s="2" t="inlineStr">
        <is>
          <t>СТАНДАРТНЫЙ ОДНОМЕСТНЫЙ НОМЕР</t>
        </is>
      </c>
      <c r="P773" s="6" t="n"/>
      <c r="R773" t="inlineStr"/>
      <c r="S773" t="inlineStr">
        <is>
          <t>Тариф с завтраком</t>
        </is>
      </c>
      <c r="T773" t="n">
        <v>0</v>
      </c>
      <c r="U773" t="n">
        <v>12936</v>
      </c>
    </row>
    <row r="774">
      <c r="A774" t="inlineStr">
        <is>
          <t>20260714-8186-448937681</t>
        </is>
      </c>
      <c r="B774" t="n">
        <v>1</v>
      </c>
      <c r="C774" s="2" t="inlineStr">
        <is>
          <t>Ольга Самыгина</t>
        </is>
      </c>
      <c r="D774" s="3" t="n">
        <v>21440</v>
      </c>
      <c r="E774" s="4" t="n">
        <v>18</v>
      </c>
      <c r="F774" t="inlineStr">
        <is>
          <t>Яндекс.Путешествия [Чайковский]</t>
        </is>
      </c>
      <c r="G774" s="3">
        <f>ROUND(D774/(100-E774)*100,2)</f>
        <v/>
      </c>
      <c r="H774" s="5" t="n">
        <v>46217.58333333334</v>
      </c>
      <c r="I774" t="n">
        <v>2</v>
      </c>
      <c r="J774" s="3">
        <f>G774/I774</f>
        <v/>
      </c>
      <c r="K774">
        <f>IF(J774&gt;=5100,"ставка","мин.ставка")</f>
        <v/>
      </c>
      <c r="L774" s="3">
        <f>ROUND(IF(K774="мин.ставка",I774*100,G774/102*2),2)</f>
        <v/>
      </c>
      <c r="M774" s="5" t="n">
        <v>46219.5</v>
      </c>
      <c r="N774" t="inlineStr">
        <is>
          <t>TravelLine YAX</t>
        </is>
      </c>
      <c r="O774" s="2" t="inlineStr">
        <is>
          <t>УЛУЧШЕННЫЙ ДВУХМЕСТНЫЙ НОМЕР</t>
        </is>
      </c>
      <c r="P774" s="6" t="n"/>
      <c r="R774" t="inlineStr"/>
      <c r="S774" t="inlineStr">
        <is>
          <t>Тариф с завтраком</t>
        </is>
      </c>
      <c r="T774" t="n">
        <v>0</v>
      </c>
      <c r="U774" t="n">
        <v>21440</v>
      </c>
    </row>
    <row r="775">
      <c r="A775" t="inlineStr">
        <is>
          <t>20260702-8186-443610618</t>
        </is>
      </c>
      <c r="B775" t="n">
        <v>1</v>
      </c>
      <c r="C775" s="2" t="inlineStr">
        <is>
          <t>Ольга Саппо, Александр Саппо</t>
        </is>
      </c>
      <c r="D775" s="3" t="n">
        <v>64080</v>
      </c>
      <c r="E775" s="4" t="n">
        <v>20</v>
      </c>
      <c r="F775" t="inlineStr">
        <is>
          <t>ООО "ХБ-ПРО" [Чайковский]</t>
        </is>
      </c>
      <c r="G775" s="3">
        <f>ROUND(D775/(100-E775)*100,2)</f>
        <v/>
      </c>
      <c r="H775" s="5" t="n">
        <v>46205.58333333334</v>
      </c>
      <c r="I775" t="n">
        <v>6</v>
      </c>
      <c r="J775" s="3">
        <f>G775/I775</f>
        <v/>
      </c>
      <c r="K775">
        <f>IF(J775&gt;=5100,"ставка","мин.ставка")</f>
        <v/>
      </c>
      <c r="L775" s="3">
        <f>ROUND(IF(K775="мин.ставка",I775*100,G775/102*2),2)</f>
        <v/>
      </c>
      <c r="M775" s="5" t="n">
        <v>46211.5</v>
      </c>
      <c r="N775" t="inlineStr">
        <is>
          <t>TravelLine UTS</t>
        </is>
      </c>
      <c r="O775" s="2" t="inlineStr">
        <is>
          <t>СТАНДАРТНЫЙ ДВУХМЕСТНЫЙ НОМЕР</t>
        </is>
      </c>
      <c r="P775" s="6" t="n"/>
      <c r="R775" t="inlineStr"/>
      <c r="S775" t="inlineStr">
        <is>
          <t>Тариф с завтраком</t>
        </is>
      </c>
      <c r="T775" t="n">
        <v>0</v>
      </c>
      <c r="U775" t="n">
        <v>64080</v>
      </c>
    </row>
    <row r="776">
      <c r="A776" t="inlineStr">
        <is>
          <t>20260914-8186-463592259</t>
        </is>
      </c>
      <c r="B776" t="n">
        <v>1</v>
      </c>
      <c r="C776" s="2" t="inlineStr">
        <is>
          <t>ОЛЬГА САРАТОВА</t>
        </is>
      </c>
      <c r="D776" s="3" t="n">
        <v>9647.5</v>
      </c>
      <c r="E776" s="4" t="n">
        <v>15</v>
      </c>
      <c r="F776" t="inlineStr">
        <is>
          <t>ООО "Библио-Глобус Туроператор" [Чайковский]</t>
        </is>
      </c>
      <c r="G776" s="3">
        <f>ROUND(D776/(100-E776)*100,2)</f>
        <v/>
      </c>
      <c r="H776" s="5" t="n">
        <v>46279.58333333334</v>
      </c>
      <c r="I776" t="n">
        <v>1</v>
      </c>
      <c r="J776" s="3">
        <f>G776/I776</f>
        <v/>
      </c>
      <c r="K776">
        <f>IF(J776&gt;=5100,"ставка","мин.ставка")</f>
        <v/>
      </c>
      <c r="L776" s="3">
        <f>ROUND(IF(K776="мин.ставка",I776*100,G776/102*2),2)</f>
        <v/>
      </c>
      <c r="M776" s="5" t="n">
        <v>46280.5</v>
      </c>
      <c r="N776" t="inlineStr">
        <is>
          <t>TravelLine BGL</t>
        </is>
      </c>
      <c r="O776" s="2" t="inlineStr">
        <is>
          <t>УЛУЧШЕННЫЙ ДВУХМЕСТНЫЙ НОМЕР</t>
        </is>
      </c>
      <c r="P776" s="6" t="n"/>
      <c r="R776" t="inlineStr"/>
      <c r="S776" t="inlineStr">
        <is>
          <t>Тариф с завтраком</t>
        </is>
      </c>
      <c r="T776" t="n">
        <v>0</v>
      </c>
      <c r="U776" t="n">
        <v>9647.5</v>
      </c>
    </row>
    <row r="777">
      <c r="A777" t="inlineStr">
        <is>
          <t>20260915-8186-462648104</t>
        </is>
      </c>
      <c r="B777" t="n">
        <v>1</v>
      </c>
      <c r="C777" s="2" t="inlineStr">
        <is>
          <t>Ольга Свидинская</t>
        </is>
      </c>
      <c r="D777" s="3" t="n">
        <v>21976</v>
      </c>
      <c r="E777" s="4" t="n">
        <v>18</v>
      </c>
      <c r="F777" t="inlineStr">
        <is>
          <t>ООО "Эй энд Эй" [Чайковский]</t>
        </is>
      </c>
      <c r="G777" s="3">
        <f>ROUND(D777/(100-E777)*100,2)</f>
        <v/>
      </c>
      <c r="H777" s="5" t="n">
        <v>46280.58333333334</v>
      </c>
      <c r="I777" t="n">
        <v>2</v>
      </c>
      <c r="J777" s="3">
        <f>G777/I777</f>
        <v/>
      </c>
      <c r="K777">
        <f>IF(J777&gt;=5100,"ставка","мин.ставка")</f>
        <v/>
      </c>
      <c r="L777" s="3">
        <f>ROUND(IF(K777="мин.ставка",I777*100,G777/102*2),2)</f>
        <v/>
      </c>
      <c r="M777" s="5" t="n">
        <v>46282.5</v>
      </c>
      <c r="N777" t="inlineStr">
        <is>
          <t>TravelLine ANA</t>
        </is>
      </c>
      <c r="O777" s="2" t="inlineStr">
        <is>
          <t>УЛУЧШЕННЫЙ ДВУХМЕСТНЫЙ НОМЕР</t>
        </is>
      </c>
      <c r="P777" s="6" t="n"/>
      <c r="R777" t="inlineStr"/>
      <c r="S777" t="inlineStr">
        <is>
          <t>Тариф с завтраком</t>
        </is>
      </c>
      <c r="T777" t="n">
        <v>0</v>
      </c>
      <c r="U777" t="n">
        <v>21976</v>
      </c>
    </row>
    <row r="778">
      <c r="A778" t="inlineStr">
        <is>
          <t>20260806-8186-450640950</t>
        </is>
      </c>
      <c r="B778" t="n">
        <v>1</v>
      </c>
      <c r="C778" s="2" t="inlineStr">
        <is>
          <t>ОЛЬГА СОЛДАТОВА</t>
        </is>
      </c>
      <c r="D778" s="3" t="n">
        <v>28942.5</v>
      </c>
      <c r="E778" s="4" t="n">
        <v>15</v>
      </c>
      <c r="F778" t="inlineStr">
        <is>
          <t>ООО «12Т» (ранее ONE TWO TRIP) [Чайковский]</t>
        </is>
      </c>
      <c r="G778" s="3">
        <f>ROUND(D778/(100-E778)*100,2)</f>
        <v/>
      </c>
      <c r="H778" s="5" t="n">
        <v>46240.58333333334</v>
      </c>
      <c r="I778" t="n">
        <v>3</v>
      </c>
      <c r="J778" s="3">
        <f>G778/I778</f>
        <v/>
      </c>
      <c r="K778">
        <f>IF(J778&gt;=5100,"ставка","мин.ставка")</f>
        <v/>
      </c>
      <c r="L778" s="3">
        <f>ROUND(IF(K778="мин.ставка",I778*100,G778/102*2),2)</f>
        <v/>
      </c>
      <c r="M778" s="5" t="n">
        <v>46243.5</v>
      </c>
      <c r="N778" t="inlineStr">
        <is>
          <t>TravelLine OTT</t>
        </is>
      </c>
      <c r="O778" s="2" t="inlineStr">
        <is>
          <t>СТАНДАРТНЫЙ ДВУХМЕСТНЫЙ НОМЕР</t>
        </is>
      </c>
      <c r="P778" s="6" t="n"/>
      <c r="R778" t="inlineStr"/>
      <c r="S778" t="inlineStr">
        <is>
          <t>Тариф с завтраком</t>
        </is>
      </c>
      <c r="T778" t="n">
        <v>0</v>
      </c>
      <c r="U778" t="n">
        <v>86827.5</v>
      </c>
    </row>
    <row r="779">
      <c r="A779" t="inlineStr">
        <is>
          <t>20260803-8186-441315614</t>
        </is>
      </c>
      <c r="B779" t="n">
        <v>1</v>
      </c>
      <c r="C779" s="2" t="inlineStr">
        <is>
          <t>ОЛЬГА УШАКОВА</t>
        </is>
      </c>
      <c r="D779" s="3" t="n">
        <v>6320</v>
      </c>
      <c r="E779" s="4" t="n">
        <v>20</v>
      </c>
      <c r="F779" t="inlineStr">
        <is>
          <t>ООО "ХБ-ПРО" [Чайковский]</t>
        </is>
      </c>
      <c r="G779" s="3">
        <f>ROUND(D779/(100-E779)*100,2)</f>
        <v/>
      </c>
      <c r="H779" s="5" t="n">
        <v>46237.58333333334</v>
      </c>
      <c r="I779" t="n">
        <v>1</v>
      </c>
      <c r="J779" s="3">
        <f>G779/I779</f>
        <v/>
      </c>
      <c r="K779">
        <f>IF(J779&gt;=5100,"ставка","мин.ставка")</f>
        <v/>
      </c>
      <c r="L779" s="3">
        <f>ROUND(IF(K779="мин.ставка",I779*100,G779/102*2),2)</f>
        <v/>
      </c>
      <c r="M779" s="5" t="n">
        <v>46238.5</v>
      </c>
      <c r="N779" t="inlineStr">
        <is>
          <t>TravelLine UTS</t>
        </is>
      </c>
      <c r="O779" s="2" t="inlineStr">
        <is>
          <t>СТАНДАРТНЫЙ ДВУХМЕСТНЫЙ НОМЕР (МАНСАРДА)</t>
        </is>
      </c>
      <c r="P779" s="6" t="n"/>
      <c r="R779" t="inlineStr"/>
      <c r="S779" t="inlineStr">
        <is>
          <t>Тариф с завтраком</t>
        </is>
      </c>
      <c r="T779" t="n">
        <v>0</v>
      </c>
      <c r="U779" t="n">
        <v>6320</v>
      </c>
    </row>
    <row r="780">
      <c r="A780" t="inlineStr">
        <is>
          <t>20260901-8186-425074158</t>
        </is>
      </c>
      <c r="B780" t="n">
        <v>1</v>
      </c>
      <c r="C780" s="2" t="inlineStr">
        <is>
          <t>Ольга Федрунова, Ирина Федрунова</t>
        </is>
      </c>
      <c r="D780" s="3" t="n">
        <v>30096</v>
      </c>
      <c r="E780" s="4" t="n">
        <v>18</v>
      </c>
      <c r="F780" t="inlineStr">
        <is>
          <t>Яндекс.Путешествия [Чайковский]</t>
        </is>
      </c>
      <c r="G780" s="3">
        <f>ROUND(D780/(100-E780)*100,2)</f>
        <v/>
      </c>
      <c r="H780" s="5" t="n">
        <v>46266.58333333334</v>
      </c>
      <c r="I780" t="n">
        <v>4</v>
      </c>
      <c r="J780" s="3">
        <f>G780/I780</f>
        <v/>
      </c>
      <c r="K780">
        <f>IF(J780&gt;=5100,"ставка","мин.ставка")</f>
        <v/>
      </c>
      <c r="L780" s="3">
        <f>ROUND(IF(K780="мин.ставка",I780*100,G780/102*2),2)</f>
        <v/>
      </c>
      <c r="M780" s="5" t="n">
        <v>46270.5</v>
      </c>
      <c r="N780" t="inlineStr">
        <is>
          <t>TravelLine YAX</t>
        </is>
      </c>
      <c r="O780" s="2" t="inlineStr">
        <is>
          <t>СТАНДАРТНЫЙ ДВУХМЕСТНЫЙ НОМЕР (МАНСАРДА)</t>
        </is>
      </c>
      <c r="P780" s="6" t="n"/>
      <c r="R780" t="inlineStr"/>
      <c r="S780" t="inlineStr">
        <is>
          <t>Тариф с завтраком</t>
        </is>
      </c>
      <c r="T780" t="n">
        <v>0</v>
      </c>
      <c r="U780" t="n">
        <v>30096</v>
      </c>
    </row>
    <row r="781">
      <c r="A781" t="inlineStr">
        <is>
          <t>20260910-8186-427551341</t>
        </is>
      </c>
      <c r="B781" t="n">
        <v>1</v>
      </c>
      <c r="C781" s="2" t="inlineStr">
        <is>
          <t>Ольга Шашкина, Дарья Павлова</t>
        </is>
      </c>
      <c r="D781" s="3" t="n">
        <v>36045</v>
      </c>
      <c r="E781" s="4" t="n">
        <v>0</v>
      </c>
      <c r="F781" t="inlineStr">
        <is>
          <t>Прямые бронирования (стойка) [Чайковский]</t>
        </is>
      </c>
      <c r="G781" s="3">
        <f>ROUND(D781/(100-E781)*100,2)</f>
        <v/>
      </c>
      <c r="H781" s="5" t="n">
        <v>46275.58333333334</v>
      </c>
      <c r="I781" t="n">
        <v>3</v>
      </c>
      <c r="J781" s="3">
        <f>G781/I781</f>
        <v/>
      </c>
      <c r="K781">
        <f>IF(J781&gt;=5100,"ставка","мин.ставка")</f>
        <v/>
      </c>
      <c r="L781" s="3">
        <f>ROUND(IF(K781="мин.ставка",I781*100,G781/102*2),2)</f>
        <v/>
      </c>
      <c r="M781" s="5" t="n">
        <v>46278.5</v>
      </c>
      <c r="N781" t="inlineStr">
        <is>
          <t>TravelLine ресепшн</t>
        </is>
      </c>
      <c r="O781" s="2" t="inlineStr">
        <is>
          <t>СТАНДАРТНЫЙ ДВУХМЕСТНЫЙ НОМЕР</t>
        </is>
      </c>
      <c r="P781" s="6" t="n"/>
      <c r="R781" t="inlineStr"/>
      <c r="S781" t="inlineStr">
        <is>
          <t>Тариф с завтраком</t>
        </is>
      </c>
      <c r="T781" t="n">
        <v>0</v>
      </c>
      <c r="U781" t="n">
        <v>216270</v>
      </c>
    </row>
    <row r="782">
      <c r="A782" t="inlineStr">
        <is>
          <t>20260716-8186-408701650</t>
        </is>
      </c>
      <c r="B782" t="n">
        <v>1</v>
      </c>
      <c r="C782" s="2" t="inlineStr">
        <is>
          <t>ПАВЕЛ БЕЛИЧ, Кристина Углина</t>
        </is>
      </c>
      <c r="D782" s="3" t="n">
        <v>35333</v>
      </c>
      <c r="E782" s="4" t="n">
        <v>4</v>
      </c>
      <c r="F782" t="inlineStr">
        <is>
          <t>TravelLine Booking Engine [Чайковский]</t>
        </is>
      </c>
      <c r="G782" s="3">
        <f>ROUND(D782/(100-E782)*100,2)</f>
        <v/>
      </c>
      <c r="H782" s="5" t="n">
        <v>46219.77083333334</v>
      </c>
      <c r="I782" t="n">
        <v>2</v>
      </c>
      <c r="J782" s="3">
        <f>G782/I782</f>
        <v/>
      </c>
      <c r="K782">
        <f>IF(J782&gt;=5100,"ставка","мин.ставка")</f>
        <v/>
      </c>
      <c r="L782" s="3">
        <f>ROUND(IF(K782="мин.ставка",I782*100,G782/102*2),2)</f>
        <v/>
      </c>
      <c r="M782" s="5" t="n">
        <v>46221.5</v>
      </c>
      <c r="N782" t="inlineStr">
        <is>
          <t>TravelLine сайт</t>
        </is>
      </c>
      <c r="O782" s="2" t="inlineStr">
        <is>
          <t>ЛЮКС</t>
        </is>
      </c>
      <c r="P782" s="6" t="n"/>
      <c r="R782" t="inlineStr"/>
      <c r="S782" t="inlineStr">
        <is>
          <t>Тариф с завтраком</t>
        </is>
      </c>
      <c r="T782" t="n">
        <v>0</v>
      </c>
      <c r="U782" t="n">
        <v>35333</v>
      </c>
    </row>
    <row r="783">
      <c r="A783" t="inlineStr">
        <is>
          <t>20260821-8186-456404204</t>
        </is>
      </c>
      <c r="B783" t="n">
        <v>1</v>
      </c>
      <c r="C783" s="2" t="inlineStr">
        <is>
          <t>Павел Воеводин</t>
        </is>
      </c>
      <c r="D783" s="3" t="n">
        <v>12782</v>
      </c>
      <c r="E783" s="4" t="n">
        <v>18</v>
      </c>
      <c r="F783" t="inlineStr">
        <is>
          <t>Яндекс.Путешествия [Чайковский]</t>
        </is>
      </c>
      <c r="G783" s="3">
        <f>ROUND(D783/(100-E783)*100,2)</f>
        <v/>
      </c>
      <c r="H783" s="5" t="n">
        <v>46255.58333333334</v>
      </c>
      <c r="I783" t="n">
        <v>2</v>
      </c>
      <c r="J783" s="3">
        <f>G783/I783</f>
        <v/>
      </c>
      <c r="K783">
        <f>IF(J783&gt;=5100,"ставка","мин.ставка")</f>
        <v/>
      </c>
      <c r="L783" s="3">
        <f>ROUND(IF(K783="мин.ставка",I783*100,G783/102*2),2)</f>
        <v/>
      </c>
      <c r="M783" s="5" t="n">
        <v>46257.5</v>
      </c>
      <c r="N783" t="inlineStr">
        <is>
          <t>TravelLine YAX</t>
        </is>
      </c>
      <c r="O783" s="2" t="inlineStr">
        <is>
          <t>СТАНДАРТНЫЙ ОДНОМЕСТНЫЙ НОМЕР</t>
        </is>
      </c>
      <c r="P783" s="6" t="n"/>
      <c r="R783" t="inlineStr"/>
      <c r="S783" t="inlineStr">
        <is>
          <t>Тариф с завтраком</t>
        </is>
      </c>
      <c r="T783" t="n">
        <v>0</v>
      </c>
      <c r="U783" t="n">
        <v>12782</v>
      </c>
    </row>
    <row r="784">
      <c r="A784" t="inlineStr">
        <is>
          <t>20260710-8186-447566954</t>
        </is>
      </c>
      <c r="B784" t="n">
        <v>1</v>
      </c>
      <c r="C784" s="2" t="inlineStr">
        <is>
          <t>Павел Глазов, Елена Глазова</t>
        </is>
      </c>
      <c r="D784" s="3" t="n">
        <v>65450</v>
      </c>
      <c r="E784" s="4" t="n">
        <v>0</v>
      </c>
      <c r="F784" t="inlineStr">
        <is>
          <t>ООО "АЛЕАН ОТДЫХ" [Чайковский]</t>
        </is>
      </c>
      <c r="G784" s="3">
        <f>ROUND(D784/(100-E784)*100,2)</f>
        <v/>
      </c>
      <c r="H784" s="5" t="n">
        <v>46213.58333333334</v>
      </c>
      <c r="I784" t="n">
        <v>5</v>
      </c>
      <c r="J784" s="3">
        <f>G784/I784</f>
        <v/>
      </c>
      <c r="K784">
        <f>IF(J784&gt;=5100,"ставка","мин.ставка")</f>
        <v/>
      </c>
      <c r="L784" s="3">
        <f>ROUND(IF(K784="мин.ставка",I784*100,G784/102*2),2)</f>
        <v/>
      </c>
      <c r="M784" s="5" t="n">
        <v>46218.5</v>
      </c>
      <c r="N784" t="inlineStr">
        <is>
          <t>TravelLine ALN</t>
        </is>
      </c>
      <c r="O784" s="2" t="inlineStr">
        <is>
          <t>УЛУЧШЕННЫЙ ДВУХМЕСТНЫЙ НОМЕР</t>
        </is>
      </c>
      <c r="P784" s="6" t="n"/>
      <c r="R784" t="inlineStr"/>
      <c r="S784" t="inlineStr">
        <is>
          <t>Тариф с завтраком</t>
        </is>
      </c>
      <c r="T784" t="n">
        <v>0</v>
      </c>
      <c r="U784" t="n">
        <v>65450</v>
      </c>
    </row>
    <row r="785">
      <c r="A785" t="inlineStr">
        <is>
          <t>20260729-8186-435927071</t>
        </is>
      </c>
      <c r="B785" t="n">
        <v>1</v>
      </c>
      <c r="C785" s="2" t="inlineStr">
        <is>
          <t>Павел Ефимов, АНАСТАСИЯ КУЗЬМИНА</t>
        </is>
      </c>
      <c r="D785" s="3" t="n">
        <v>71200</v>
      </c>
      <c r="E785" s="4" t="n">
        <v>4</v>
      </c>
      <c r="F785" t="inlineStr">
        <is>
          <t>TravelLine Booking Engine [Чайковский]</t>
        </is>
      </c>
      <c r="G785" s="3">
        <f>ROUND(D785/(100-E785)*100,2)</f>
        <v/>
      </c>
      <c r="H785" s="5" t="n">
        <v>46232.58333333334</v>
      </c>
      <c r="I785" t="n">
        <v>4</v>
      </c>
      <c r="J785" s="3">
        <f>G785/I785</f>
        <v/>
      </c>
      <c r="K785">
        <f>IF(J785&gt;=5100,"ставка","мин.ставка")</f>
        <v/>
      </c>
      <c r="L785" s="3">
        <f>ROUND(IF(K785="мин.ставка",I785*100,G785/102*2),2)</f>
        <v/>
      </c>
      <c r="M785" s="5" t="n">
        <v>46236.5</v>
      </c>
      <c r="N785" t="inlineStr">
        <is>
          <t>TravelLine сайт</t>
        </is>
      </c>
      <c r="O785" s="2" t="inlineStr">
        <is>
          <t>ЛЮКС ВТОРОЙ КОРПУС</t>
        </is>
      </c>
      <c r="P785" s="6" t="n"/>
      <c r="R785" t="inlineStr"/>
      <c r="S785" t="inlineStr">
        <is>
          <t>Тариф с завтраком</t>
        </is>
      </c>
      <c r="T785" t="n">
        <v>350</v>
      </c>
      <c r="U785" t="n">
        <v>71550</v>
      </c>
    </row>
    <row r="786">
      <c r="A786" t="inlineStr">
        <is>
          <t>20260808-8186-407846139</t>
        </is>
      </c>
      <c r="B786" t="n">
        <v>1</v>
      </c>
      <c r="C786" s="2" t="inlineStr">
        <is>
          <t>Павел Жуков, Анастасия Алёхина</t>
        </is>
      </c>
      <c r="D786" s="3" t="n">
        <v>16500</v>
      </c>
      <c r="E786" s="4" t="n">
        <v>0</v>
      </c>
      <c r="F786" t="inlineStr">
        <is>
          <t>Прямые бронирования (стойка) [Чайковский]</t>
        </is>
      </c>
      <c r="G786" s="3">
        <f>ROUND(D786/(100-E786)*100,2)</f>
        <v/>
      </c>
      <c r="H786" s="5" t="n">
        <v>46242.58333333334</v>
      </c>
      <c r="I786" t="n">
        <v>1</v>
      </c>
      <c r="J786" s="3">
        <f>G786/I786</f>
        <v/>
      </c>
      <c r="K786">
        <f>IF(J786&gt;=5100,"ставка","мин.ставка")</f>
        <v/>
      </c>
      <c r="L786" s="3">
        <f>ROUND(IF(K786="мин.ставка",I786*100,G786/102*2),2)</f>
        <v/>
      </c>
      <c r="M786" s="5" t="n">
        <v>46243.5</v>
      </c>
      <c r="N786" t="inlineStr">
        <is>
          <t>TravelLine ресепшн</t>
        </is>
      </c>
      <c r="O786" s="2" t="inlineStr">
        <is>
          <t>ПОЛУЛЮКС</t>
        </is>
      </c>
      <c r="P786" s="6" t="n"/>
      <c r="R786" t="inlineStr"/>
      <c r="S786" t="inlineStr">
        <is>
          <t>Тариф с завтраком</t>
        </is>
      </c>
      <c r="T786" t="n">
        <v>0</v>
      </c>
      <c r="U786" t="n">
        <v>16500</v>
      </c>
    </row>
    <row r="787">
      <c r="A787" t="inlineStr">
        <is>
          <t>20260703-8186-447242080</t>
        </is>
      </c>
      <c r="B787" t="n">
        <v>1</v>
      </c>
      <c r="C787" s="2" t="inlineStr">
        <is>
          <t>ПАВЕЛ Карпенко</t>
        </is>
      </c>
      <c r="D787" s="3" t="n">
        <v>9315</v>
      </c>
      <c r="E787" s="4" t="n">
        <v>0</v>
      </c>
      <c r="F787" t="inlineStr">
        <is>
          <t>Прямые бронирования (стойка) [Чайковский]</t>
        </is>
      </c>
      <c r="G787" s="3">
        <f>ROUND(D787/(100-E787)*100,2)</f>
        <v/>
      </c>
      <c r="H787" s="5" t="n">
        <v>46206.58333333334</v>
      </c>
      <c r="I787" t="n">
        <v>1</v>
      </c>
      <c r="J787" s="3">
        <f>G787/I787</f>
        <v/>
      </c>
      <c r="K787">
        <f>IF(J787&gt;=5100,"ставка","мин.ставка")</f>
        <v/>
      </c>
      <c r="L787" s="3">
        <f>ROUND(IF(K787="мин.ставка",I787*100,G787/102*2),2)</f>
        <v/>
      </c>
      <c r="M787" s="5" t="n">
        <v>46207.5</v>
      </c>
      <c r="N787" t="inlineStr">
        <is>
          <t>TravelLine ресепшн</t>
        </is>
      </c>
      <c r="O787" s="2" t="inlineStr">
        <is>
          <t>СЕМЕЙНЫЙ НОМЕР КАТЕГОРИИ "СТАНДАРТ" ВТОРОЙ КОРПУС</t>
        </is>
      </c>
      <c r="P787" s="6" t="n"/>
      <c r="R787" t="inlineStr"/>
      <c r="S787" t="inlineStr">
        <is>
          <t>Тариф с завтраком</t>
        </is>
      </c>
      <c r="T787" t="n">
        <v>0</v>
      </c>
      <c r="U787" t="n">
        <v>9315</v>
      </c>
    </row>
    <row r="788">
      <c r="A788" t="inlineStr">
        <is>
          <t>20260721-8186-451946348</t>
        </is>
      </c>
      <c r="B788" t="n">
        <v>1</v>
      </c>
      <c r="C788" s="2" t="inlineStr">
        <is>
          <t>ПАВЕЛ Карпенко</t>
        </is>
      </c>
      <c r="D788" s="3" t="n">
        <v>14220</v>
      </c>
      <c r="E788" s="4" t="n">
        <v>0</v>
      </c>
      <c r="F788" t="inlineStr">
        <is>
          <t>Прямые бронирования (стойка) [Чайковский]</t>
        </is>
      </c>
      <c r="G788" s="3">
        <f>ROUND(D788/(100-E788)*100,2)</f>
        <v/>
      </c>
      <c r="H788" s="5" t="n">
        <v>46224.58333333334</v>
      </c>
      <c r="I788" t="n">
        <v>1</v>
      </c>
      <c r="J788" s="3">
        <f>G788/I788</f>
        <v/>
      </c>
      <c r="K788">
        <f>IF(J788&gt;=5100,"ставка","мин.ставка")</f>
        <v/>
      </c>
      <c r="L788" s="3">
        <f>ROUND(IF(K788="мин.ставка",I788*100,G788/102*2),2)</f>
        <v/>
      </c>
      <c r="M788" s="5" t="n">
        <v>46225.5</v>
      </c>
      <c r="N788" t="inlineStr">
        <is>
          <t>TravelLine ресепшн</t>
        </is>
      </c>
      <c r="O788" s="2" t="inlineStr">
        <is>
          <t>ЛЮКС ВТОРОЙ КОРПУС</t>
        </is>
      </c>
      <c r="P788" s="6" t="n"/>
      <c r="R788" t="inlineStr"/>
      <c r="S788" t="inlineStr">
        <is>
          <t>Тариф с завтраком</t>
        </is>
      </c>
      <c r="T788" t="n">
        <v>0</v>
      </c>
      <c r="U788" t="n">
        <v>14220</v>
      </c>
    </row>
    <row r="789">
      <c r="A789" t="inlineStr">
        <is>
          <t>20260807-8186-456585118</t>
        </is>
      </c>
      <c r="B789" t="n">
        <v>1</v>
      </c>
      <c r="C789" s="2" t="inlineStr">
        <is>
          <t>ПАВЕЛ Карпенко</t>
        </is>
      </c>
      <c r="D789" s="3" t="n">
        <v>14220</v>
      </c>
      <c r="E789" s="4" t="n">
        <v>0</v>
      </c>
      <c r="F789" t="inlineStr">
        <is>
          <t>Прямые бронирования (стойка) [Чайковский]</t>
        </is>
      </c>
      <c r="G789" s="3">
        <f>ROUND(D789/(100-E789)*100,2)</f>
        <v/>
      </c>
      <c r="H789" s="5" t="n">
        <v>46241.58333333334</v>
      </c>
      <c r="I789" t="n">
        <v>1</v>
      </c>
      <c r="J789" s="3">
        <f>G789/I789</f>
        <v/>
      </c>
      <c r="K789">
        <f>IF(J789&gt;=5100,"ставка","мин.ставка")</f>
        <v/>
      </c>
      <c r="L789" s="3">
        <f>ROUND(IF(K789="мин.ставка",I789*100,G789/102*2),2)</f>
        <v/>
      </c>
      <c r="M789" s="5" t="n">
        <v>46242.5</v>
      </c>
      <c r="N789" t="inlineStr">
        <is>
          <t>TravelLine ресепшн</t>
        </is>
      </c>
      <c r="O789" s="2" t="inlineStr">
        <is>
          <t>ЛЮКС ВТОРОЙ КОРПУС</t>
        </is>
      </c>
      <c r="P789" s="6" t="n"/>
      <c r="R789" t="inlineStr"/>
      <c r="S789" t="inlineStr">
        <is>
          <t>Тариф с завтраком</t>
        </is>
      </c>
      <c r="T789" t="n">
        <v>0</v>
      </c>
      <c r="U789" t="n">
        <v>14220</v>
      </c>
    </row>
    <row r="790">
      <c r="A790" t="inlineStr">
        <is>
          <t>20260917-8186-466595912</t>
        </is>
      </c>
      <c r="B790" t="n">
        <v>1</v>
      </c>
      <c r="C790" s="2" t="inlineStr">
        <is>
          <t>ПАВЕЛ Карпенко</t>
        </is>
      </c>
      <c r="D790" s="3" t="n">
        <v>14450</v>
      </c>
      <c r="E790" s="4" t="n">
        <v>0</v>
      </c>
      <c r="F790" t="inlineStr">
        <is>
          <t>Прямые бронирования (стойка) [Чайковский]</t>
        </is>
      </c>
      <c r="G790" s="3">
        <f>ROUND(D790/(100-E790)*100,2)</f>
        <v/>
      </c>
      <c r="H790" s="5" t="n">
        <v>46282.58333333334</v>
      </c>
      <c r="I790" t="n">
        <v>1</v>
      </c>
      <c r="J790" s="3">
        <f>G790/I790</f>
        <v/>
      </c>
      <c r="K790">
        <f>IF(J790&gt;=5100,"ставка","мин.ставка")</f>
        <v/>
      </c>
      <c r="L790" s="3">
        <f>ROUND(IF(K790="мин.ставка",I790*100,G790/102*2),2)</f>
        <v/>
      </c>
      <c r="M790" s="5" t="n">
        <v>46283.5</v>
      </c>
      <c r="N790" t="inlineStr">
        <is>
          <t>TravelLine ресепшн</t>
        </is>
      </c>
      <c r="O790" s="2" t="inlineStr">
        <is>
          <t>СЕМЕЙНЫЙ НОМЕР КАТЕГОРИИ "СТАНДАРТ" ВТОРОЙ КОРПУС</t>
        </is>
      </c>
      <c r="P790" s="6" t="n"/>
      <c r="R790" t="inlineStr"/>
      <c r="S790" t="inlineStr">
        <is>
          <t>Тариф с завтраком</t>
        </is>
      </c>
      <c r="T790" t="n">
        <v>0</v>
      </c>
      <c r="U790" t="n">
        <v>14450</v>
      </c>
    </row>
    <row r="791">
      <c r="A791" t="inlineStr">
        <is>
          <t>20260901-8186-421878685</t>
        </is>
      </c>
      <c r="B791" t="n">
        <v>1</v>
      </c>
      <c r="C791" s="2" t="inlineStr">
        <is>
          <t>ПАВЕЛ ЛОГИНОВ, ФИЛИПП ЛОГИНОВ</t>
        </is>
      </c>
      <c r="D791" s="3" t="n">
        <v>45390</v>
      </c>
      <c r="E791" s="4" t="n">
        <v>0</v>
      </c>
      <c r="F791" t="inlineStr">
        <is>
          <t>ООО "АЛЕАН ОТДЫХ" [Чайковский]</t>
        </is>
      </c>
      <c r="G791" s="3">
        <f>ROUND(D791/(100-E791)*100,2)</f>
        <v/>
      </c>
      <c r="H791" s="5" t="n">
        <v>46266.58333333334</v>
      </c>
      <c r="I791" t="n">
        <v>4</v>
      </c>
      <c r="J791" s="3">
        <f>G791/I791</f>
        <v/>
      </c>
      <c r="K791">
        <f>IF(J791&gt;=5100,"ставка","мин.ставка")</f>
        <v/>
      </c>
      <c r="L791" s="3">
        <f>ROUND(IF(K791="мин.ставка",I791*100,G791/102*2),2)</f>
        <v/>
      </c>
      <c r="M791" s="5" t="n">
        <v>46270.5</v>
      </c>
      <c r="N791" t="inlineStr">
        <is>
          <t>TravelLine ALN</t>
        </is>
      </c>
      <c r="O791" s="2" t="inlineStr">
        <is>
          <t>СТАНДАРТНЫЙ ДВУХМЕСТНЫЙ НОМЕР</t>
        </is>
      </c>
      <c r="P791" s="6" t="n"/>
      <c r="R791" t="inlineStr"/>
      <c r="S791" t="inlineStr">
        <is>
          <t>Тариф с завтраком</t>
        </is>
      </c>
      <c r="T791" t="n">
        <v>0</v>
      </c>
      <c r="U791" t="n">
        <v>45390</v>
      </c>
    </row>
    <row r="792">
      <c r="A792" t="inlineStr">
        <is>
          <t>20260718-8186-433966251</t>
        </is>
      </c>
      <c r="B792" t="n">
        <v>1</v>
      </c>
      <c r="C792" s="2" t="inlineStr">
        <is>
          <t>Павел Рыбальский, ОКСАНА РЫБАЛЬСКАЯ</t>
        </is>
      </c>
      <c r="D792" s="3" t="n">
        <v>14922.6</v>
      </c>
      <c r="E792" s="4" t="n">
        <v>4</v>
      </c>
      <c r="F792" t="inlineStr">
        <is>
          <t>TravelLine Booking Engine [Чайковский]</t>
        </is>
      </c>
      <c r="G792" s="3">
        <f>ROUND(D792/(100-E792)*100,2)</f>
        <v/>
      </c>
      <c r="H792" s="5" t="n">
        <v>46227.58333333334</v>
      </c>
      <c r="I792" t="n">
        <v>1</v>
      </c>
      <c r="J792" s="3">
        <f>G792/I792</f>
        <v/>
      </c>
      <c r="K792">
        <f>IF(J792&gt;=5100,"ставка","мин.ставка")</f>
        <v/>
      </c>
      <c r="L792" s="3">
        <f>ROUND(IF(K792="мин.ставка",I792*100,G792/102*2),2)</f>
        <v/>
      </c>
      <c r="M792" s="5" t="n">
        <v>46228.5</v>
      </c>
      <c r="N792" t="inlineStr">
        <is>
          <t>TravelLine сайт</t>
        </is>
      </c>
      <c r="O792" s="2" t="inlineStr">
        <is>
          <t>УЛУЧШЕННЫЙ ДВУХМЕСТНЫЙ НОМЕР</t>
        </is>
      </c>
      <c r="P792" s="6" t="n"/>
      <c r="R792" t="inlineStr"/>
      <c r="S792" t="inlineStr">
        <is>
          <t>Тариф с завтраком</t>
        </is>
      </c>
      <c r="T792" t="n">
        <v>0</v>
      </c>
      <c r="U792" t="n">
        <v>14922.6</v>
      </c>
    </row>
    <row r="793">
      <c r="A793" t="inlineStr">
        <is>
          <t>20260912-8186-460732993</t>
        </is>
      </c>
      <c r="B793" t="n">
        <v>1</v>
      </c>
      <c r="C793" s="2" t="inlineStr">
        <is>
          <t>Павел Свобода, Софья Суродина</t>
        </is>
      </c>
      <c r="D793" s="3" t="n">
        <v>13200</v>
      </c>
      <c r="E793" s="4" t="n">
        <v>20</v>
      </c>
      <c r="F793" t="inlineStr">
        <is>
          <t>ООО "КОМПАНИЯ БРОНЕВИК" [Чайковский]</t>
        </is>
      </c>
      <c r="G793" s="3">
        <f>ROUND(D793/(100-E793)*100,2)</f>
        <v/>
      </c>
      <c r="H793" s="5" t="n">
        <v>46277.58333333334</v>
      </c>
      <c r="I793" t="n">
        <v>1</v>
      </c>
      <c r="J793" s="3">
        <f>G793/I793</f>
        <v/>
      </c>
      <c r="K793">
        <f>IF(J793&gt;=5100,"ставка","мин.ставка")</f>
        <v/>
      </c>
      <c r="L793" s="3">
        <f>ROUND(IF(K793="мин.ставка",I793*100,G793/102*2),2)</f>
        <v/>
      </c>
      <c r="M793" s="5" t="n">
        <v>46278.5</v>
      </c>
      <c r="N793" t="inlineStr">
        <is>
          <t>TravelLine BR2</t>
        </is>
      </c>
      <c r="O793" s="2" t="inlineStr">
        <is>
          <t>ПОЛУЛЮКС</t>
        </is>
      </c>
      <c r="P793" s="6" t="n"/>
      <c r="R793" t="inlineStr"/>
      <c r="S793" t="inlineStr">
        <is>
          <t>Тариф с завтраком</t>
        </is>
      </c>
      <c r="T793" t="n">
        <v>0</v>
      </c>
      <c r="U793" t="n">
        <v>13200</v>
      </c>
    </row>
    <row r="794">
      <c r="A794" t="inlineStr">
        <is>
          <t>20260720-8186-448843941</t>
        </is>
      </c>
      <c r="B794" t="n">
        <v>1</v>
      </c>
      <c r="C794" s="2" t="inlineStr">
        <is>
          <t>Павел Субботин, ЛУИЗА СУББОТИНА, МИХАИЛ СУББОТИН</t>
        </is>
      </c>
      <c r="D794" s="3" t="n">
        <v>27194.5</v>
      </c>
      <c r="E794" s="4" t="n">
        <v>4</v>
      </c>
      <c r="F794" t="inlineStr">
        <is>
          <t>TravelLine Booking Engine [Чайковский]</t>
        </is>
      </c>
      <c r="G794" s="3">
        <f>ROUND(D794/(100-E794)*100,2)</f>
        <v/>
      </c>
      <c r="H794" s="5" t="n">
        <v>46223.58333333334</v>
      </c>
      <c r="I794" t="n">
        <v>2</v>
      </c>
      <c r="J794" s="3">
        <f>G794/I794</f>
        <v/>
      </c>
      <c r="K794">
        <f>IF(J794&gt;=5100,"ставка","мин.ставка")</f>
        <v/>
      </c>
      <c r="L794" s="3">
        <f>ROUND(IF(K794="мин.ставка",I794*100,G794/102*2),2)</f>
        <v/>
      </c>
      <c r="M794" s="5" t="n">
        <v>46225.5</v>
      </c>
      <c r="N794" t="inlineStr">
        <is>
          <t>TravelLine сайт</t>
        </is>
      </c>
      <c r="O794" s="2" t="inlineStr">
        <is>
          <t>СЕМЕЙНЫЙ НОМЕР КАТЕГОРИИ "СТАНДАРТ" ВТОРОЙ КОРПУС</t>
        </is>
      </c>
      <c r="P794" s="6" t="n"/>
      <c r="R794" t="inlineStr"/>
      <c r="S794" t="inlineStr">
        <is>
          <t>Тариф с завтраком</t>
        </is>
      </c>
      <c r="T794" t="n">
        <v>0</v>
      </c>
      <c r="U794" t="n">
        <v>27194.5</v>
      </c>
    </row>
    <row r="795">
      <c r="A795" t="inlineStr">
        <is>
          <t>20260810-8186-414060341</t>
        </is>
      </c>
      <c r="B795" t="n">
        <v>1</v>
      </c>
      <c r="C795" s="2" t="inlineStr">
        <is>
          <t>Павел Токарев, Кристина Банникова</t>
        </is>
      </c>
      <c r="D795" s="3" t="n">
        <v>14774</v>
      </c>
      <c r="E795" s="4" t="n">
        <v>17</v>
      </c>
      <c r="F795" t="inlineStr">
        <is>
          <t>ООО «Интернет Трэвел» (OZON) [Чайковский]</t>
        </is>
      </c>
      <c r="G795" s="3">
        <f>ROUND(D795/(100-E795)*100,2)</f>
        <v/>
      </c>
      <c r="H795" s="5" t="n">
        <v>46244.58333333334</v>
      </c>
      <c r="I795" t="n">
        <v>1</v>
      </c>
      <c r="J795" s="3">
        <f>G795/I795</f>
        <v/>
      </c>
      <c r="K795">
        <f>IF(J795&gt;=5100,"ставка","мин.ставка")</f>
        <v/>
      </c>
      <c r="L795" s="3">
        <f>ROUND(IF(K795="мин.ставка",I795*100,G795/102*2),2)</f>
        <v/>
      </c>
      <c r="M795" s="5" t="n">
        <v>46245.5</v>
      </c>
      <c r="N795" t="inlineStr">
        <is>
          <t>TravelLine OZ2</t>
        </is>
      </c>
      <c r="O795" s="2" t="inlineStr">
        <is>
          <t>ЛЮКС</t>
        </is>
      </c>
      <c r="P795" s="6" t="n"/>
      <c r="R795" t="inlineStr"/>
      <c r="S795" t="inlineStr">
        <is>
          <t>Тариф с завтраком</t>
        </is>
      </c>
      <c r="T795" t="n">
        <v>0</v>
      </c>
      <c r="U795" t="n">
        <v>14774</v>
      </c>
    </row>
    <row r="796">
      <c r="A796" t="inlineStr">
        <is>
          <t>20260708-8186-447095510</t>
        </is>
      </c>
      <c r="B796" t="n">
        <v>1</v>
      </c>
      <c r="C796" s="2" t="inlineStr">
        <is>
          <t>ПАВЛЕ ЕЛИСЕЕВ, Ольга Елисеева</t>
        </is>
      </c>
      <c r="D796" s="3" t="n">
        <v>18160</v>
      </c>
      <c r="E796" s="4" t="n">
        <v>20</v>
      </c>
      <c r="F796" t="inlineStr">
        <is>
          <t>ООО "КОМПАНИЯ БРОНЕВИК" [Чайковский]</t>
        </is>
      </c>
      <c r="G796" s="3">
        <f>ROUND(D796/(100-E796)*100,2)</f>
        <v/>
      </c>
      <c r="H796" s="5" t="n">
        <v>46211.58333333334</v>
      </c>
      <c r="I796" t="n">
        <v>2</v>
      </c>
      <c r="J796" s="3">
        <f>G796/I796</f>
        <v/>
      </c>
      <c r="K796">
        <f>IF(J796&gt;=5100,"ставка","мин.ставка")</f>
        <v/>
      </c>
      <c r="L796" s="3">
        <f>ROUND(IF(K796="мин.ставка",I796*100,G796/102*2),2)</f>
        <v/>
      </c>
      <c r="M796" s="5" t="n">
        <v>46213.5</v>
      </c>
      <c r="N796" t="inlineStr">
        <is>
          <t>TravelLine BR2</t>
        </is>
      </c>
      <c r="O796" s="2" t="inlineStr">
        <is>
          <t>СТАНДАРТНЫЙ ДВУХМЕСТНЫЙ НОМЕР</t>
        </is>
      </c>
      <c r="P796" s="6" t="n"/>
      <c r="R796" t="inlineStr"/>
      <c r="S796" t="inlineStr">
        <is>
          <t>Тариф с завтраком</t>
        </is>
      </c>
      <c r="T796" t="n">
        <v>4000</v>
      </c>
      <c r="U796" t="n">
        <v>22160</v>
      </c>
    </row>
    <row r="797">
      <c r="A797" t="inlineStr">
        <is>
          <t>20260711-8186-411332065</t>
        </is>
      </c>
      <c r="B797" t="n">
        <v>1</v>
      </c>
      <c r="C797" s="2" t="inlineStr">
        <is>
          <t>Петр Качкаев, Олеся Громовая</t>
        </is>
      </c>
      <c r="D797" s="3" t="n">
        <v>10680</v>
      </c>
      <c r="E797" s="4" t="n">
        <v>0</v>
      </c>
      <c r="F797" t="inlineStr">
        <is>
          <t>Прямые бронирования (стойка) [Чайковский]</t>
        </is>
      </c>
      <c r="G797" s="3">
        <f>ROUND(D797/(100-E797)*100,2)</f>
        <v/>
      </c>
      <c r="H797" s="5" t="n">
        <v>46214.58333333334</v>
      </c>
      <c r="I797" t="n">
        <v>1</v>
      </c>
      <c r="J797" s="3">
        <f>G797/I797</f>
        <v/>
      </c>
      <c r="K797">
        <f>IF(J797&gt;=5100,"ставка","мин.ставка")</f>
        <v/>
      </c>
      <c r="L797" s="3">
        <f>ROUND(IF(K797="мин.ставка",I797*100,G797/102*2),2)</f>
        <v/>
      </c>
      <c r="M797" s="5" t="n">
        <v>46215.5</v>
      </c>
      <c r="N797" t="inlineStr">
        <is>
          <t>TravelLine ресепшн</t>
        </is>
      </c>
      <c r="O797" s="2" t="inlineStr">
        <is>
          <t>СТАНДАРТНЫЙ ДВУХМЕСТНЫЙ НОМЕР</t>
        </is>
      </c>
      <c r="P797" s="6" t="n"/>
      <c r="R797" t="inlineStr"/>
      <c r="S797" t="inlineStr">
        <is>
          <t>Тариф с завтраком</t>
        </is>
      </c>
      <c r="T797" t="n">
        <v>0</v>
      </c>
      <c r="U797" t="n">
        <v>10680</v>
      </c>
    </row>
    <row r="798">
      <c r="A798" t="inlineStr">
        <is>
          <t>20260709-8186-448291072</t>
        </is>
      </c>
      <c r="B798" t="n">
        <v>1</v>
      </c>
      <c r="C798" s="2" t="inlineStr">
        <is>
          <t>ПЛАМЕН ДОБЫЧИН</t>
        </is>
      </c>
      <c r="D798" s="3" t="n">
        <v>6557</v>
      </c>
      <c r="E798" s="4" t="n">
        <v>0</v>
      </c>
      <c r="F798" t="inlineStr">
        <is>
          <t>Прямые бронирования (стойка) [Чайковский]</t>
        </is>
      </c>
      <c r="G798" s="3">
        <f>ROUND(D798/(100-E798)*100,2)</f>
        <v/>
      </c>
      <c r="H798" s="5" t="n">
        <v>46212.58333333334</v>
      </c>
      <c r="I798" t="n">
        <v>1</v>
      </c>
      <c r="J798" s="3">
        <f>G798/I798</f>
        <v/>
      </c>
      <c r="K798">
        <f>IF(J798&gt;=5100,"ставка","мин.ставка")</f>
        <v/>
      </c>
      <c r="L798" s="3">
        <f>ROUND(IF(K798="мин.ставка",I798*100,G798/102*2),2)</f>
        <v/>
      </c>
      <c r="M798" s="5" t="n">
        <v>46213.5</v>
      </c>
      <c r="N798" t="inlineStr">
        <is>
          <t>TravelLine CMB</t>
        </is>
      </c>
      <c r="O798" s="2" t="inlineStr">
        <is>
          <t>СТАНДАРТНЫЙ ДВУХМЕСТНЫЙ НОМЕР (МАНСАРДА)</t>
        </is>
      </c>
      <c r="P798" s="6" t="n"/>
      <c r="R798" t="inlineStr"/>
      <c r="S798" t="inlineStr">
        <is>
          <t>Тариф с завтраком</t>
        </is>
      </c>
      <c r="T798" t="n">
        <v>0</v>
      </c>
      <c r="U798" t="n">
        <v>6557</v>
      </c>
    </row>
    <row r="799">
      <c r="A799" t="inlineStr">
        <is>
          <t>20260904-8186-463419173</t>
        </is>
      </c>
      <c r="B799" t="n">
        <v>1</v>
      </c>
      <c r="C799" s="2" t="inlineStr">
        <is>
          <t>Полина Аксиненко</t>
        </is>
      </c>
      <c r="D799" s="3" t="n">
        <v>56280</v>
      </c>
      <c r="E799" s="4" t="n">
        <v>16</v>
      </c>
      <c r="F799" t="inlineStr">
        <is>
          <t>ООО "БРОНИРОВАНИЕ ГОСТИНИЦ" (OSTROVOK) [Чайковский]</t>
        </is>
      </c>
      <c r="G799" s="3">
        <f>ROUND(D799/(100-E799)*100,2)</f>
        <v/>
      </c>
      <c r="H799" s="5" t="n">
        <v>46269.58333333334</v>
      </c>
      <c r="I799" t="n">
        <v>5</v>
      </c>
      <c r="J799" s="3">
        <f>G799/I799</f>
        <v/>
      </c>
      <c r="K799">
        <f>IF(J799&gt;=5100,"ставка","мин.ставка")</f>
        <v/>
      </c>
      <c r="L799" s="3">
        <f>ROUND(IF(K799="мин.ставка",I799*100,G799/102*2),2)</f>
        <v/>
      </c>
      <c r="M799" s="5" t="n">
        <v>46274.5</v>
      </c>
      <c r="N799" t="inlineStr">
        <is>
          <t>TravelLine OTK</t>
        </is>
      </c>
      <c r="O799" s="2" t="inlineStr">
        <is>
          <t>УЛУЧШЕННЫЙ ДВУХМЕСТНЫЙ НОМЕР</t>
        </is>
      </c>
      <c r="P799" s="6" t="n"/>
      <c r="R799" t="inlineStr"/>
      <c r="S799" t="inlineStr">
        <is>
          <t>Тариф с завтраком</t>
        </is>
      </c>
      <c r="T799" t="n">
        <v>0</v>
      </c>
      <c r="U799" t="n">
        <v>56280</v>
      </c>
    </row>
    <row r="800">
      <c r="A800" t="inlineStr">
        <is>
          <t>20260828-8186-461460335</t>
        </is>
      </c>
      <c r="B800" t="n">
        <v>1</v>
      </c>
      <c r="C800" s="2" t="inlineStr">
        <is>
          <t>Полина Аксиненко</t>
        </is>
      </c>
      <c r="D800" s="3" t="n">
        <v>28602</v>
      </c>
      <c r="E800" s="4" t="n">
        <v>16</v>
      </c>
      <c r="F800" t="inlineStr">
        <is>
          <t>ООО "БРОНИРОВАНИЕ ГОСТИНИЦ" (OSTROVOK) [Чайковский]</t>
        </is>
      </c>
      <c r="G800" s="3">
        <f>ROUND(D800/(100-E800)*100,2)</f>
        <v/>
      </c>
      <c r="H800" s="5" t="n">
        <v>46262.58333333334</v>
      </c>
      <c r="I800" t="n">
        <v>3</v>
      </c>
      <c r="J800" s="3">
        <f>G800/I800</f>
        <v/>
      </c>
      <c r="K800">
        <f>IF(J800&gt;=5100,"ставка","мин.ставка")</f>
        <v/>
      </c>
      <c r="L800" s="3">
        <f>ROUND(IF(K800="мин.ставка",I800*100,G800/102*2),2)</f>
        <v/>
      </c>
      <c r="M800" s="5" t="n">
        <v>46265.5</v>
      </c>
      <c r="N800" t="inlineStr">
        <is>
          <t>TravelLine OTK</t>
        </is>
      </c>
      <c r="O800" s="2" t="inlineStr">
        <is>
          <t>ПОЛУЛЮКС</t>
        </is>
      </c>
      <c r="P800" s="6" t="n"/>
      <c r="R800" t="inlineStr"/>
      <c r="S800" t="inlineStr">
        <is>
          <t>Тариф с завтраком</t>
        </is>
      </c>
      <c r="T800" t="n">
        <v>0</v>
      </c>
      <c r="U800" t="n">
        <v>28602</v>
      </c>
    </row>
    <row r="801">
      <c r="A801" t="inlineStr">
        <is>
          <t>20260913-8186-464324763</t>
        </is>
      </c>
      <c r="B801" t="n">
        <v>1</v>
      </c>
      <c r="C801" s="2" t="inlineStr">
        <is>
          <t>Рамазан Ибрагимов, Евгения Ибрагимова</t>
        </is>
      </c>
      <c r="D801" s="3" t="n">
        <v>53133</v>
      </c>
      <c r="E801" s="4" t="n">
        <v>4</v>
      </c>
      <c r="F801" t="inlineStr">
        <is>
          <t>TravelLine Booking Engine [Чайковский]</t>
        </is>
      </c>
      <c r="G801" s="3">
        <f>ROUND(D801/(100-E801)*100,2)</f>
        <v/>
      </c>
      <c r="H801" s="5" t="n">
        <v>46278.58333333334</v>
      </c>
      <c r="I801" t="n">
        <v>3</v>
      </c>
      <c r="J801" s="3">
        <f>G801/I801</f>
        <v/>
      </c>
      <c r="K801">
        <f>IF(J801&gt;=5100,"ставка","мин.ставка")</f>
        <v/>
      </c>
      <c r="L801" s="3">
        <f>ROUND(IF(K801="мин.ставка",I801*100,G801/102*2),2)</f>
        <v/>
      </c>
      <c r="M801" s="5" t="n">
        <v>46281.5</v>
      </c>
      <c r="N801" t="inlineStr">
        <is>
          <t>TravelLine сайт</t>
        </is>
      </c>
      <c r="O801" s="2" t="inlineStr">
        <is>
          <t>ЛЮКС ВТОРОЙ КОРПУС</t>
        </is>
      </c>
      <c r="P801" s="6" t="n"/>
      <c r="R801" t="inlineStr"/>
      <c r="S801" t="inlineStr">
        <is>
          <t>Тариф с завтраком</t>
        </is>
      </c>
      <c r="T801" t="n">
        <v>0</v>
      </c>
      <c r="U801" t="n">
        <v>53133</v>
      </c>
    </row>
    <row r="802">
      <c r="A802" t="inlineStr">
        <is>
          <t>20260715-8186-403957014</t>
        </is>
      </c>
      <c r="B802" t="n">
        <v>1</v>
      </c>
      <c r="C802" s="2" t="inlineStr">
        <is>
          <t>Раушания Камалова</t>
        </is>
      </c>
      <c r="D802" s="3" t="n">
        <v>23502.5</v>
      </c>
      <c r="E802" s="4" t="n">
        <v>4</v>
      </c>
      <c r="F802" t="inlineStr">
        <is>
          <t>TravelLine Booking Engine [Чайковский]</t>
        </is>
      </c>
      <c r="G802" s="3">
        <f>ROUND(D802/(100-E802)*100,2)</f>
        <v/>
      </c>
      <c r="H802" s="5" t="n">
        <v>46218.58333333334</v>
      </c>
      <c r="I802" t="n">
        <v>3</v>
      </c>
      <c r="J802" s="3">
        <f>G802/I802</f>
        <v/>
      </c>
      <c r="K802">
        <f>IF(J802&gt;=5100,"ставка","мин.ставка")</f>
        <v/>
      </c>
      <c r="L802" s="3">
        <f>ROUND(IF(K802="мин.ставка",I802*100,G802/102*2),2)</f>
        <v/>
      </c>
      <c r="M802" s="5" t="n">
        <v>46221.5</v>
      </c>
      <c r="N802" t="inlineStr">
        <is>
          <t>TravelLine сайт</t>
        </is>
      </c>
      <c r="O802" s="2" t="inlineStr">
        <is>
          <t>СТАНДАРТНЫЙ ДВУХМЕСТНЫЙ НОМЕР (МАНСАРДА)</t>
        </is>
      </c>
      <c r="P802" s="6" t="n"/>
      <c r="R802" t="inlineStr"/>
      <c r="S802" t="inlineStr">
        <is>
          <t>Тариф с завтраком</t>
        </is>
      </c>
      <c r="T802" t="n">
        <v>0</v>
      </c>
      <c r="U802" t="n">
        <v>23502.5</v>
      </c>
    </row>
    <row r="803">
      <c r="A803" t="inlineStr">
        <is>
          <t>20260913-8186-458347426</t>
        </is>
      </c>
      <c r="B803" t="n">
        <v>1</v>
      </c>
      <c r="C803" s="2" t="inlineStr">
        <is>
          <t>Регина Гирфанова</t>
        </is>
      </c>
      <c r="D803" s="3" t="n">
        <v>66738</v>
      </c>
      <c r="E803" s="4" t="n">
        <v>16</v>
      </c>
      <c r="F803" t="inlineStr">
        <is>
          <t>ООО "БРОНИРОВАНИЕ ГОСТИНИЦ" (OSTROVOK) [Чайковский]</t>
        </is>
      </c>
      <c r="G803" s="3">
        <f>ROUND(D803/(100-E803)*100,2)</f>
        <v/>
      </c>
      <c r="H803" s="5" t="n">
        <v>46278.58333333334</v>
      </c>
      <c r="I803" t="n">
        <v>7</v>
      </c>
      <c r="J803" s="3">
        <f>G803/I803</f>
        <v/>
      </c>
      <c r="K803">
        <f>IF(J803&gt;=5100,"ставка","мин.ставка")</f>
        <v/>
      </c>
      <c r="L803" s="3">
        <f>ROUND(IF(K803="мин.ставка",I803*100,G803/102*2),2)</f>
        <v/>
      </c>
      <c r="M803" s="5" t="n">
        <v>46285.5</v>
      </c>
      <c r="N803" t="inlineStr">
        <is>
          <t>TravelLine OTK</t>
        </is>
      </c>
      <c r="O803" s="2" t="inlineStr">
        <is>
          <t>СТАНДАРТНЫЙ ДВУХМЕСТНЫЙ НОМЕР</t>
        </is>
      </c>
      <c r="P803" s="6" t="n"/>
      <c r="R803" t="inlineStr"/>
      <c r="S803" t="inlineStr">
        <is>
          <t>Тариф с завтраком</t>
        </is>
      </c>
      <c r="T803" t="n">
        <v>0</v>
      </c>
      <c r="U803" t="n">
        <v>66738</v>
      </c>
    </row>
    <row r="804">
      <c r="A804" t="inlineStr">
        <is>
          <t>20260820-8186-455722511</t>
        </is>
      </c>
      <c r="B804" t="n">
        <v>1</v>
      </c>
      <c r="C804" s="2" t="inlineStr">
        <is>
          <t>РИНАТ ТЕМИРБУЛАТОВ</t>
        </is>
      </c>
      <c r="D804" s="3" t="n">
        <v>9080</v>
      </c>
      <c r="E804" s="4" t="n">
        <v>20</v>
      </c>
      <c r="F804" t="inlineStr">
        <is>
          <t>ООО "ХБ-ПРО" [Чайковский]</t>
        </is>
      </c>
      <c r="G804" s="3">
        <f>ROUND(D804/(100-E804)*100,2)</f>
        <v/>
      </c>
      <c r="H804" s="5" t="n">
        <v>46254.58333333334</v>
      </c>
      <c r="I804" t="n">
        <v>1</v>
      </c>
      <c r="J804" s="3">
        <f>G804/I804</f>
        <v/>
      </c>
      <c r="K804">
        <f>IF(J804&gt;=5100,"ставка","мин.ставка")</f>
        <v/>
      </c>
      <c r="L804" s="3">
        <f>ROUND(IF(K804="мин.ставка",I804*100,G804/102*2),2)</f>
        <v/>
      </c>
      <c r="M804" s="5" t="n">
        <v>46255.5</v>
      </c>
      <c r="N804" t="inlineStr">
        <is>
          <t>TravelLine UTS</t>
        </is>
      </c>
      <c r="O804" s="2" t="inlineStr">
        <is>
          <t>СТАНДАРТНЫЙ ДВУХМЕСТНЫЙ НОМЕР</t>
        </is>
      </c>
      <c r="P804" s="6" t="n"/>
      <c r="R804" t="inlineStr"/>
      <c r="S804" t="inlineStr">
        <is>
          <t>Тариф с завтраком</t>
        </is>
      </c>
      <c r="T804" t="n">
        <v>0</v>
      </c>
      <c r="U804" t="n">
        <v>9080</v>
      </c>
    </row>
    <row r="805">
      <c r="A805" t="inlineStr">
        <is>
          <t>20260930-8186-468223714</t>
        </is>
      </c>
      <c r="B805" t="n">
        <v>1</v>
      </c>
      <c r="C805" s="2" t="inlineStr">
        <is>
          <t>Розалия Рыбина</t>
        </is>
      </c>
      <c r="D805" s="3" t="n">
        <v>17056</v>
      </c>
      <c r="E805" s="4" t="n">
        <v>18</v>
      </c>
      <c r="F805" t="inlineStr">
        <is>
          <t>ООО "Эй энд Эй" [Чайковский]</t>
        </is>
      </c>
      <c r="G805" s="3">
        <f>ROUND(D805/(100-E805)*100,2)</f>
        <v/>
      </c>
      <c r="H805" s="5" t="n">
        <v>46295.58333333334</v>
      </c>
      <c r="I805" t="n">
        <v>2</v>
      </c>
      <c r="J805" s="3">
        <f>G805/I805</f>
        <v/>
      </c>
      <c r="K805">
        <f>IF(J805&gt;=5100,"ставка","мин.ставка")</f>
        <v/>
      </c>
      <c r="L805" s="3">
        <f>ROUND(IF(K805="мин.ставка",I805*100,G805/102*2),2)</f>
        <v/>
      </c>
      <c r="M805" s="5" t="n">
        <v>46297.5</v>
      </c>
      <c r="N805" t="inlineStr">
        <is>
          <t>TravelLine ANA</t>
        </is>
      </c>
      <c r="O805" s="2" t="inlineStr">
        <is>
          <t>СТАНДАРТНЫЙ ДВУХМЕСТНЫЙ НОМЕР</t>
        </is>
      </c>
      <c r="P805" s="6" t="n"/>
      <c r="R805" t="inlineStr"/>
      <c r="S805" t="inlineStr">
        <is>
          <t>Тариф с завтраком</t>
        </is>
      </c>
      <c r="T805" t="n">
        <v>0</v>
      </c>
      <c r="U805" t="n">
        <v>17056</v>
      </c>
    </row>
    <row r="806">
      <c r="A806" t="inlineStr">
        <is>
          <t>20260908-8186-464325070</t>
        </is>
      </c>
      <c r="B806" t="n">
        <v>1</v>
      </c>
      <c r="C806" s="2" t="inlineStr">
        <is>
          <t>Роман Алеев</t>
        </is>
      </c>
      <c r="D806" s="3" t="n">
        <v>9307</v>
      </c>
      <c r="E806" s="4" t="n">
        <v>18</v>
      </c>
      <c r="F806" t="inlineStr">
        <is>
          <t>ООО "Эй энд Эй" [Чайковский]</t>
        </is>
      </c>
      <c r="G806" s="3">
        <f>ROUND(D806/(100-E806)*100,2)</f>
        <v/>
      </c>
      <c r="H806" s="5" t="n">
        <v>46273.58333333334</v>
      </c>
      <c r="I806" t="n">
        <v>1</v>
      </c>
      <c r="J806" s="3">
        <f>G806/I806</f>
        <v/>
      </c>
      <c r="K806">
        <f>IF(J806&gt;=5100,"ставка","мин.ставка")</f>
        <v/>
      </c>
      <c r="L806" s="3">
        <f>ROUND(IF(K806="мин.ставка",I806*100,G806/102*2),2)</f>
        <v/>
      </c>
      <c r="M806" s="5" t="n">
        <v>46274.5</v>
      </c>
      <c r="N806" t="inlineStr">
        <is>
          <t>TravelLine ANA</t>
        </is>
      </c>
      <c r="O806" s="2" t="inlineStr">
        <is>
          <t>СТАНДАРТНЫЙ ДВУХМЕСТНЫЙ НОМЕР</t>
        </is>
      </c>
      <c r="P806" s="6" t="n"/>
      <c r="R806" t="inlineStr"/>
      <c r="S806" t="inlineStr">
        <is>
          <t>Тариф с завтраком</t>
        </is>
      </c>
      <c r="T806" t="n">
        <v>0</v>
      </c>
      <c r="U806" t="n">
        <v>9307</v>
      </c>
    </row>
    <row r="807">
      <c r="A807" t="inlineStr">
        <is>
          <t>20260909-8186-464775049</t>
        </is>
      </c>
      <c r="B807" t="n">
        <v>1</v>
      </c>
      <c r="C807" s="2" t="inlineStr">
        <is>
          <t>Роман Алеев</t>
        </is>
      </c>
      <c r="D807" s="3" t="n">
        <v>9307</v>
      </c>
      <c r="E807" s="4" t="n">
        <v>18</v>
      </c>
      <c r="F807" t="inlineStr">
        <is>
          <t>ООО "Эй энд Эй" [Чайковский]</t>
        </is>
      </c>
      <c r="G807" s="3">
        <f>ROUND(D807/(100-E807)*100,2)</f>
        <v/>
      </c>
      <c r="H807" s="5" t="n">
        <v>46274.58333333334</v>
      </c>
      <c r="I807" t="n">
        <v>1</v>
      </c>
      <c r="J807" s="3">
        <f>G807/I807</f>
        <v/>
      </c>
      <c r="K807">
        <f>IF(J807&gt;=5100,"ставка","мин.ставка")</f>
        <v/>
      </c>
      <c r="L807" s="3">
        <f>ROUND(IF(K807="мин.ставка",I807*100,G807/102*2),2)</f>
        <v/>
      </c>
      <c r="M807" s="5" t="n">
        <v>46275.5</v>
      </c>
      <c r="N807" t="inlineStr">
        <is>
          <t>TravelLine ANA</t>
        </is>
      </c>
      <c r="O807" s="2" t="inlineStr">
        <is>
          <t>СТАНДАРТНЫЙ ДВУХМЕСТНЫЙ НОМЕР</t>
        </is>
      </c>
      <c r="P807" s="6" t="n"/>
      <c r="R807" t="inlineStr"/>
      <c r="S807" t="inlineStr">
        <is>
          <t>Тариф с завтраком</t>
        </is>
      </c>
      <c r="T807" t="n">
        <v>0</v>
      </c>
      <c r="U807" t="n">
        <v>9307</v>
      </c>
    </row>
    <row r="808">
      <c r="A808" t="inlineStr">
        <is>
          <t>20260729-8186-450751367</t>
        </is>
      </c>
      <c r="B808" t="n">
        <v>1</v>
      </c>
      <c r="C808" s="2" t="inlineStr">
        <is>
          <t>Роман Крайнов</t>
        </is>
      </c>
      <c r="D808" s="3" t="n">
        <v>53184.6</v>
      </c>
      <c r="E808" s="4" t="n">
        <v>4</v>
      </c>
      <c r="F808" t="inlineStr">
        <is>
          <t>TravelLine Booking Engine [Чайковский]</t>
        </is>
      </c>
      <c r="G808" s="3">
        <f>ROUND(D808/(100-E808)*100,2)</f>
        <v/>
      </c>
      <c r="H808" s="5" t="n">
        <v>46232.58333333334</v>
      </c>
      <c r="I808" t="n">
        <v>4</v>
      </c>
      <c r="J808" s="3">
        <f>G808/I808</f>
        <v/>
      </c>
      <c r="K808">
        <f>IF(J808&gt;=5100,"ставка","мин.ставка")</f>
        <v/>
      </c>
      <c r="L808" s="3">
        <f>ROUND(IF(K808="мин.ставка",I808*100,G808/102*2),2)</f>
        <v/>
      </c>
      <c r="M808" s="5" t="n">
        <v>46236.5</v>
      </c>
      <c r="N808" t="inlineStr">
        <is>
          <t>TravelLine сайт</t>
        </is>
      </c>
      <c r="O808" s="2" t="inlineStr">
        <is>
          <t>УЛУЧШЕННЫЙ ДВУХМЕСТНЫЙ НОМЕР</t>
        </is>
      </c>
      <c r="P808" s="6" t="n"/>
      <c r="R808" t="inlineStr"/>
      <c r="S808" t="inlineStr">
        <is>
          <t>Тариф с завтраком</t>
        </is>
      </c>
      <c r="T808" t="n">
        <v>0</v>
      </c>
      <c r="U808" t="n">
        <v>53184.6</v>
      </c>
    </row>
    <row r="809">
      <c r="A809" t="inlineStr">
        <is>
          <t>20260913-8186-454223445</t>
        </is>
      </c>
      <c r="B809" t="n">
        <v>1</v>
      </c>
      <c r="C809" s="2" t="inlineStr">
        <is>
          <t>Роман Кучерявый, Елена Калюжная</t>
        </is>
      </c>
      <c r="D809" s="3" t="n">
        <v>68085</v>
      </c>
      <c r="E809" s="4" t="n">
        <v>0</v>
      </c>
      <c r="F809" t="inlineStr">
        <is>
          <t>ООО «ХОМЛИН ЛЭНД» (ПЕГАС) [Чайковский]</t>
        </is>
      </c>
      <c r="G809" s="3">
        <f>ROUND(D809/(100-E809)*100,2)</f>
        <v/>
      </c>
      <c r="H809" s="5" t="n">
        <v>46278.58333333334</v>
      </c>
      <c r="I809" t="n">
        <v>6</v>
      </c>
      <c r="J809" s="3">
        <f>G809/I809</f>
        <v/>
      </c>
      <c r="K809">
        <f>IF(J809&gt;=5100,"ставка","мин.ставка")</f>
        <v/>
      </c>
      <c r="L809" s="3">
        <f>ROUND(IF(K809="мин.ставка",I809*100,G809/102*2),2)</f>
        <v/>
      </c>
      <c r="M809" s="5" t="n">
        <v>46284.5</v>
      </c>
      <c r="N809" t="inlineStr">
        <is>
          <t>TravelLine PGS</t>
        </is>
      </c>
      <c r="O809" s="2" t="inlineStr">
        <is>
          <t>СТАНДАРТНЫЙ ДВУХМЕСТНЫЙ НОМЕР</t>
        </is>
      </c>
      <c r="P809" s="6" t="n"/>
      <c r="R809" t="inlineStr"/>
      <c r="S809" t="inlineStr">
        <is>
          <t>Тариф с завтраком</t>
        </is>
      </c>
      <c r="T809" t="n">
        <v>0</v>
      </c>
      <c r="U809" t="n">
        <v>68085</v>
      </c>
    </row>
    <row r="810">
      <c r="A810" t="inlineStr">
        <is>
          <t>20260922-8186-467755700</t>
        </is>
      </c>
      <c r="B810" t="n">
        <v>1</v>
      </c>
      <c r="C810" s="2" t="inlineStr">
        <is>
          <t>Роман Маланичев</t>
        </is>
      </c>
      <c r="D810" s="3" t="n">
        <v>40200</v>
      </c>
      <c r="E810" s="4" t="n">
        <v>18</v>
      </c>
      <c r="F810" t="inlineStr">
        <is>
          <t>Яндекс.Путешествия [Чайковский]</t>
        </is>
      </c>
      <c r="G810" s="3">
        <f>ROUND(D810/(100-E810)*100,2)</f>
        <v/>
      </c>
      <c r="H810" s="5" t="n">
        <v>46287.58333333334</v>
      </c>
      <c r="I810" t="n">
        <v>4</v>
      </c>
      <c r="J810" s="3">
        <f>G810/I810</f>
        <v/>
      </c>
      <c r="K810">
        <f>IF(J810&gt;=5100,"ставка","мин.ставка")</f>
        <v/>
      </c>
      <c r="L810" s="3">
        <f>ROUND(IF(K810="мин.ставка",I810*100,G810/102*2),2)</f>
        <v/>
      </c>
      <c r="M810" s="5" t="n">
        <v>46291.5</v>
      </c>
      <c r="N810" t="inlineStr">
        <is>
          <t>TravelLine YAX</t>
        </is>
      </c>
      <c r="O810" s="2" t="inlineStr">
        <is>
          <t>УЛУЧШЕННЫЙ ДВУХМЕСТНЫЙ НОМЕР</t>
        </is>
      </c>
      <c r="P810" s="6" t="n"/>
      <c r="R810" t="inlineStr"/>
      <c r="S810" t="inlineStr">
        <is>
          <t>Тариф с завтраком</t>
        </is>
      </c>
      <c r="T810" t="n">
        <v>0</v>
      </c>
      <c r="U810" t="n">
        <v>40200</v>
      </c>
    </row>
    <row r="811">
      <c r="A811" t="inlineStr">
        <is>
          <t>20260827-8186-461645701</t>
        </is>
      </c>
      <c r="B811" t="n">
        <v>1</v>
      </c>
      <c r="C811" s="2" t="inlineStr">
        <is>
          <t>Роман Новосельский, Анна Новосельская</t>
        </is>
      </c>
      <c r="D811" s="3" t="n">
        <v>26286.15</v>
      </c>
      <c r="E811" s="4" t="n">
        <v>4</v>
      </c>
      <c r="F811" t="inlineStr">
        <is>
          <t>TravelLine Booking Engine [Чайковский]</t>
        </is>
      </c>
      <c r="G811" s="3">
        <f>ROUND(D811/(100-E811)*100,2)</f>
        <v/>
      </c>
      <c r="H811" s="5" t="n">
        <v>46261.58333333334</v>
      </c>
      <c r="I811" t="n">
        <v>2</v>
      </c>
      <c r="J811" s="3">
        <f>G811/I811</f>
        <v/>
      </c>
      <c r="K811">
        <f>IF(J811&gt;=5100,"ставка","мин.ставка")</f>
        <v/>
      </c>
      <c r="L811" s="3">
        <f>ROUND(IF(K811="мин.ставка",I811*100,G811/102*2),2)</f>
        <v/>
      </c>
      <c r="M811" s="5" t="n">
        <v>46263.5</v>
      </c>
      <c r="N811" t="inlineStr">
        <is>
          <t>TravelLine сайт</t>
        </is>
      </c>
      <c r="O811" s="2" t="inlineStr">
        <is>
          <t>СТАНДАРТНЫЙ ДВУХМЕСТНЫЙ НОМЕР</t>
        </is>
      </c>
      <c r="P811" s="6" t="n"/>
      <c r="R811" t="inlineStr"/>
      <c r="S811" t="inlineStr">
        <is>
          <t>Тариф с завтраком</t>
        </is>
      </c>
      <c r="T811" t="n">
        <v>0</v>
      </c>
      <c r="U811" t="n">
        <v>48634.3</v>
      </c>
    </row>
    <row r="812">
      <c r="A812" t="inlineStr">
        <is>
          <t>20260701-8186-442331632</t>
        </is>
      </c>
      <c r="B812" t="n">
        <v>1</v>
      </c>
      <c r="C812" s="2" t="inlineStr">
        <is>
          <t>РОМАН СЕМЕНОВ, НАТАЛИЯ СЕМЕНЮК</t>
        </is>
      </c>
      <c r="D812" s="3" t="n">
        <v>13350</v>
      </c>
      <c r="E812" s="4" t="n">
        <v>0</v>
      </c>
      <c r="F812" t="inlineStr">
        <is>
          <t>Прямые бронирования (стойка) [Чайковский]</t>
        </is>
      </c>
      <c r="G812" s="3">
        <f>ROUND(D812/(100-E812)*100,2)</f>
        <v/>
      </c>
      <c r="H812" s="5" t="n">
        <v>46204.58333333334</v>
      </c>
      <c r="I812" t="n">
        <v>1</v>
      </c>
      <c r="J812" s="3">
        <f>G812/I812</f>
        <v/>
      </c>
      <c r="K812">
        <f>IF(J812&gt;=5100,"ставка","мин.ставка")</f>
        <v/>
      </c>
      <c r="L812" s="3">
        <f>ROUND(IF(K812="мин.ставка",I812*100,G812/102*2),2)</f>
        <v/>
      </c>
      <c r="M812" s="5" t="n">
        <v>46205.5</v>
      </c>
      <c r="N812" t="inlineStr">
        <is>
          <t>TravelLine ресепшн</t>
        </is>
      </c>
      <c r="O812" s="2" t="inlineStr">
        <is>
          <t>СТАНДАРТНЫЙ ДВУХМЕСТНЫЙ НОМЕР</t>
        </is>
      </c>
      <c r="P812" s="6" t="n"/>
      <c r="R812" t="inlineStr"/>
      <c r="S812" t="inlineStr">
        <is>
          <t>Тариф с завтраком</t>
        </is>
      </c>
      <c r="T812" t="n">
        <v>0</v>
      </c>
      <c r="U812" t="n">
        <v>13350</v>
      </c>
    </row>
    <row r="813">
      <c r="A813" t="inlineStr">
        <is>
          <t>20260910-8186-464069556</t>
        </is>
      </c>
      <c r="B813" t="n">
        <v>1</v>
      </c>
      <c r="C813" s="2" t="inlineStr">
        <is>
          <t>Роман Солодовник, НАТАЛЬЯ Солодовник</t>
        </is>
      </c>
      <c r="D813" s="3" t="n">
        <v>13695</v>
      </c>
      <c r="E813" s="4" t="n">
        <v>17</v>
      </c>
      <c r="F813" t="inlineStr">
        <is>
          <t>ООО «Интернет Трэвел» (OZON) [Чайковский]</t>
        </is>
      </c>
      <c r="G813" s="3">
        <f>ROUND(D813/(100-E813)*100,2)</f>
        <v/>
      </c>
      <c r="H813" s="5" t="n">
        <v>46275.58333333334</v>
      </c>
      <c r="I813" t="n">
        <v>1</v>
      </c>
      <c r="J813" s="3">
        <f>G813/I813</f>
        <v/>
      </c>
      <c r="K813">
        <f>IF(J813&gt;=5100,"ставка","мин.ставка")</f>
        <v/>
      </c>
      <c r="L813" s="3">
        <f>ROUND(IF(K813="мин.ставка",I813*100,G813/102*2),2)</f>
        <v/>
      </c>
      <c r="M813" s="5" t="n">
        <v>46276.5</v>
      </c>
      <c r="N813" t="inlineStr">
        <is>
          <t>TravelLine OZ2</t>
        </is>
      </c>
      <c r="O813" s="2" t="inlineStr">
        <is>
          <t>ПОЛУЛЮКС</t>
        </is>
      </c>
      <c r="P813" s="6" t="n"/>
      <c r="R813" t="inlineStr"/>
      <c r="S813" t="inlineStr">
        <is>
          <t>Тариф с завтраком</t>
        </is>
      </c>
      <c r="T813" t="n">
        <v>0</v>
      </c>
      <c r="U813" t="n">
        <v>13695</v>
      </c>
    </row>
    <row r="814">
      <c r="A814" t="inlineStr">
        <is>
          <t>20260818-8186-443505889</t>
        </is>
      </c>
      <c r="B814" t="n">
        <v>1</v>
      </c>
      <c r="C814" s="2" t="inlineStr">
        <is>
          <t>Роман Федотов</t>
        </is>
      </c>
      <c r="D814" s="3" t="n">
        <v>64080</v>
      </c>
      <c r="E814" s="4" t="n">
        <v>18</v>
      </c>
      <c r="F814" t="inlineStr">
        <is>
          <t>Яндекс.Путешествия [Чайковский]</t>
        </is>
      </c>
      <c r="G814" s="3">
        <f>ROUND(D814/(100-E814)*100,2)</f>
        <v/>
      </c>
      <c r="H814" s="5" t="n">
        <v>46252.58333333334</v>
      </c>
      <c r="I814" t="n">
        <v>6</v>
      </c>
      <c r="J814" s="3">
        <f>G814/I814</f>
        <v/>
      </c>
      <c r="K814">
        <f>IF(J814&gt;=5100,"ставка","мин.ставка")</f>
        <v/>
      </c>
      <c r="L814" s="3">
        <f>ROUND(IF(K814="мин.ставка",I814*100,G814/102*2),2)</f>
        <v/>
      </c>
      <c r="M814" s="5" t="n">
        <v>46258.5</v>
      </c>
      <c r="N814" t="inlineStr">
        <is>
          <t>TravelLine YAX</t>
        </is>
      </c>
      <c r="O814" s="2" t="inlineStr">
        <is>
          <t>СТАНДАРТНЫЙ ДВУХМЕСТНЫЙ НОМЕР</t>
        </is>
      </c>
      <c r="P814" s="6" t="n"/>
      <c r="R814" t="inlineStr"/>
      <c r="S814" t="inlineStr">
        <is>
          <t>Тариф с завтраком</t>
        </is>
      </c>
      <c r="T814" t="n">
        <v>0</v>
      </c>
      <c r="U814" t="n">
        <v>118560</v>
      </c>
    </row>
    <row r="815">
      <c r="A815" t="inlineStr">
        <is>
          <t>20260712-8186-444317307</t>
        </is>
      </c>
      <c r="B815" t="n">
        <v>1</v>
      </c>
      <c r="C815" s="2" t="inlineStr">
        <is>
          <t>РОМАН ХРОМЦОВ, Анна Курносова</t>
        </is>
      </c>
      <c r="D815" s="3" t="n">
        <v>9080</v>
      </c>
      <c r="E815" s="4" t="n">
        <v>20</v>
      </c>
      <c r="F815" t="inlineStr">
        <is>
          <t>ООО "КОМПАНИЯ БРОНЕВИК" [Чайковский]</t>
        </is>
      </c>
      <c r="G815" s="3">
        <f>ROUND(D815/(100-E815)*100,2)</f>
        <v/>
      </c>
      <c r="H815" s="5" t="n">
        <v>46215.58333333334</v>
      </c>
      <c r="I815" t="n">
        <v>1</v>
      </c>
      <c r="J815" s="3">
        <f>G815/I815</f>
        <v/>
      </c>
      <c r="K815">
        <f>IF(J815&gt;=5100,"ставка","мин.ставка")</f>
        <v/>
      </c>
      <c r="L815" s="3">
        <f>ROUND(IF(K815="мин.ставка",I815*100,G815/102*2),2)</f>
        <v/>
      </c>
      <c r="M815" s="5" t="n">
        <v>46216.5</v>
      </c>
      <c r="N815" t="inlineStr">
        <is>
          <t>TravelLine BR2</t>
        </is>
      </c>
      <c r="O815" s="2" t="inlineStr">
        <is>
          <t>СТАНДАРТНЫЙ ДВУХМЕСТНЫЙ НОМЕР</t>
        </is>
      </c>
      <c r="P815" s="6" t="n"/>
      <c r="R815" t="inlineStr"/>
      <c r="S815" t="inlineStr">
        <is>
          <t>Тариф с завтраком</t>
        </is>
      </c>
      <c r="T815" t="n">
        <v>2000</v>
      </c>
      <c r="U815" t="n">
        <v>11080</v>
      </c>
    </row>
    <row r="816">
      <c r="A816" t="inlineStr">
        <is>
          <t>20260717-8186-434712508</t>
        </is>
      </c>
      <c r="B816" t="n">
        <v>1</v>
      </c>
      <c r="C816" s="2" t="inlineStr">
        <is>
          <t>РОМАН ЧЕРНЫЙ, София Швеина</t>
        </is>
      </c>
      <c r="D816" s="3" t="n">
        <v>16500</v>
      </c>
      <c r="E816" s="4" t="n">
        <v>0</v>
      </c>
      <c r="F816" t="inlineStr">
        <is>
          <t>Прямые бронирования (стойка) [Чайковский]</t>
        </is>
      </c>
      <c r="G816" s="3">
        <f>ROUND(D816/(100-E816)*100,2)</f>
        <v/>
      </c>
      <c r="H816" s="5" t="n">
        <v>46220.58333333334</v>
      </c>
      <c r="I816" t="n">
        <v>1</v>
      </c>
      <c r="J816" s="3">
        <f>G816/I816</f>
        <v/>
      </c>
      <c r="K816">
        <f>IF(J816&gt;=5100,"ставка","мин.ставка")</f>
        <v/>
      </c>
      <c r="L816" s="3">
        <f>ROUND(IF(K816="мин.ставка",I816*100,G816/102*2),2)</f>
        <v/>
      </c>
      <c r="M816" s="5" t="n">
        <v>46221.5</v>
      </c>
      <c r="N816" t="inlineStr">
        <is>
          <t>TravelLine ресепшн</t>
        </is>
      </c>
      <c r="O816" s="2" t="inlineStr">
        <is>
          <t>ПОЛУЛЮКС</t>
        </is>
      </c>
      <c r="P816" s="6" t="n"/>
      <c r="R816" t="inlineStr"/>
      <c r="S816" t="inlineStr">
        <is>
          <t>Тариф с завтраком</t>
        </is>
      </c>
      <c r="T816" t="n">
        <v>0</v>
      </c>
      <c r="U816" t="n">
        <v>16500</v>
      </c>
    </row>
    <row r="817">
      <c r="A817" t="inlineStr">
        <is>
          <t>20260811-8186-457112074</t>
        </is>
      </c>
      <c r="B817" t="n">
        <v>1</v>
      </c>
      <c r="C817" s="2" t="inlineStr">
        <is>
          <t>Рузания Ильясова</t>
        </is>
      </c>
      <c r="D817" s="3" t="n">
        <v>26228</v>
      </c>
      <c r="E817" s="4" t="n">
        <v>17</v>
      </c>
      <c r="F817" t="inlineStr">
        <is>
          <t>ООО «Интернет Трэвел» (OZON) [Чайковский]</t>
        </is>
      </c>
      <c r="G817" s="3">
        <f>ROUND(D817/(100-E817)*100,2)</f>
        <v/>
      </c>
      <c r="H817" s="5" t="n">
        <v>46245.58333333334</v>
      </c>
      <c r="I817" t="n">
        <v>2</v>
      </c>
      <c r="J817" s="3">
        <f>G817/I817</f>
        <v/>
      </c>
      <c r="K817">
        <f>IF(J817&gt;=5100,"ставка","мин.ставка")</f>
        <v/>
      </c>
      <c r="L817" s="3">
        <f>ROUND(IF(K817="мин.ставка",I817*100,G817/102*2),2)</f>
        <v/>
      </c>
      <c r="M817" s="5" t="n">
        <v>46247.5</v>
      </c>
      <c r="N817" t="inlineStr">
        <is>
          <t>TravelLine OZ2</t>
        </is>
      </c>
      <c r="O817" s="2" t="inlineStr">
        <is>
          <t>ЛЮКС ВТОРОЙ КОРПУС</t>
        </is>
      </c>
      <c r="P817" s="6" t="n"/>
      <c r="R817" t="inlineStr"/>
      <c r="S817" t="inlineStr">
        <is>
          <t>Тариф с завтраком</t>
        </is>
      </c>
      <c r="T817" t="n">
        <v>0</v>
      </c>
      <c r="U817" t="n">
        <v>26228</v>
      </c>
    </row>
    <row r="818">
      <c r="A818" t="inlineStr">
        <is>
          <t>20260819-8186-459377986</t>
        </is>
      </c>
      <c r="B818" t="n">
        <v>1</v>
      </c>
      <c r="C818" s="2" t="inlineStr">
        <is>
          <t>Руслан Балабушко, Марина Балабушко</t>
        </is>
      </c>
      <c r="D818" s="3" t="n">
        <v>21976</v>
      </c>
      <c r="E818" s="4" t="n">
        <v>18</v>
      </c>
      <c r="F818" t="inlineStr">
        <is>
          <t>ООО "Эй энд Эй" [Чайковский]</t>
        </is>
      </c>
      <c r="G818" s="3">
        <f>ROUND(D818/(100-E818)*100,2)</f>
        <v/>
      </c>
      <c r="H818" s="5" t="n">
        <v>46253.58333333334</v>
      </c>
      <c r="I818" t="n">
        <v>2</v>
      </c>
      <c r="J818" s="3">
        <f>G818/I818</f>
        <v/>
      </c>
      <c r="K818">
        <f>IF(J818&gt;=5100,"ставка","мин.ставка")</f>
        <v/>
      </c>
      <c r="L818" s="3">
        <f>ROUND(IF(K818="мин.ставка",I818*100,G818/102*2),2)</f>
        <v/>
      </c>
      <c r="M818" s="5" t="n">
        <v>46255.5</v>
      </c>
      <c r="N818" t="inlineStr">
        <is>
          <t>TravelLine ANA</t>
        </is>
      </c>
      <c r="O818" s="2" t="inlineStr">
        <is>
          <t>УЛУЧШЕННЫЙ ДВУХМЕСТНЫЙ НОМЕР</t>
        </is>
      </c>
      <c r="P818" s="6" t="n"/>
      <c r="R818" t="inlineStr"/>
      <c r="S818" t="inlineStr">
        <is>
          <t>Тариф с завтраком</t>
        </is>
      </c>
      <c r="T818" t="n">
        <v>4000</v>
      </c>
      <c r="U818" t="n">
        <v>25976</v>
      </c>
    </row>
    <row r="819">
      <c r="A819" t="inlineStr">
        <is>
          <t>20260906-8186-464177351</t>
        </is>
      </c>
      <c r="B819" t="n">
        <v>1</v>
      </c>
      <c r="C819" s="2" t="inlineStr">
        <is>
          <t>Руслан Мустафаев</t>
        </is>
      </c>
      <c r="D819" s="3" t="n">
        <v>15400</v>
      </c>
      <c r="E819" s="4" t="n">
        <v>0</v>
      </c>
      <c r="F819" t="inlineStr">
        <is>
          <t>Прямые бронирования (стойка) [Чайковский]</t>
        </is>
      </c>
      <c r="G819" s="3">
        <f>ROUND(D819/(100-E819)*100,2)</f>
        <v/>
      </c>
      <c r="H819" s="5" t="n">
        <v>46271.58333333334</v>
      </c>
      <c r="I819" t="n">
        <v>1</v>
      </c>
      <c r="J819" s="3">
        <f>G819/I819</f>
        <v/>
      </c>
      <c r="K819">
        <f>IF(J819&gt;=5100,"ставка","мин.ставка")</f>
        <v/>
      </c>
      <c r="L819" s="3">
        <f>ROUND(IF(K819="мин.ставка",I819*100,G819/102*2),2)</f>
        <v/>
      </c>
      <c r="M819" s="5" t="n">
        <v>46272.5</v>
      </c>
      <c r="N819" t="inlineStr">
        <is>
          <t>TravelLine ресепшн</t>
        </is>
      </c>
      <c r="O819" s="2" t="inlineStr">
        <is>
          <t>УЛУЧШЕННЫЙ ДВУХМЕСТНЫЙ НОМЕР</t>
        </is>
      </c>
      <c r="P819" s="6" t="n"/>
      <c r="R819" t="inlineStr"/>
      <c r="S819" t="inlineStr">
        <is>
          <t>Тариф с завтраком</t>
        </is>
      </c>
      <c r="T819" t="n">
        <v>0</v>
      </c>
      <c r="U819" t="n">
        <v>15400</v>
      </c>
    </row>
    <row r="820">
      <c r="A820" t="inlineStr">
        <is>
          <t>20260808-8186-453192486</t>
        </is>
      </c>
      <c r="B820" t="n">
        <v>1</v>
      </c>
      <c r="C820" s="2" t="inlineStr">
        <is>
          <t>Руслан Хабибуллин, Марина Хабибуллина</t>
        </is>
      </c>
      <c r="D820" s="3" t="n">
        <v>33660</v>
      </c>
      <c r="E820" s="4" t="n">
        <v>0</v>
      </c>
      <c r="F820" t="inlineStr">
        <is>
          <t>ООО «ХОМЛИН ЛЭНД» (ПЕГАС) [Чайковский]</t>
        </is>
      </c>
      <c r="G820" s="3">
        <f>ROUND(D820/(100-E820)*100,2)</f>
        <v/>
      </c>
      <c r="H820" s="5" t="n">
        <v>46242.58333333334</v>
      </c>
      <c r="I820" t="n">
        <v>4</v>
      </c>
      <c r="J820" s="3">
        <f>G820/I820</f>
        <v/>
      </c>
      <c r="K820">
        <f>IF(J820&gt;=5100,"ставка","мин.ставка")</f>
        <v/>
      </c>
      <c r="L820" s="3">
        <f>ROUND(IF(K820="мин.ставка",I820*100,G820/102*2),2)</f>
        <v/>
      </c>
      <c r="M820" s="5" t="n">
        <v>46246.5</v>
      </c>
      <c r="N820" t="inlineStr">
        <is>
          <t>TravelLine PGS</t>
        </is>
      </c>
      <c r="O820" s="2" t="inlineStr">
        <is>
          <t>СТАНДАРТНЫЙ ДВУХМЕСТНЫЙ НОМЕР (МАНСАРДА)</t>
        </is>
      </c>
      <c r="P820" s="6" t="n"/>
      <c r="R820" t="inlineStr"/>
      <c r="S820" t="inlineStr">
        <is>
          <t>Тариф с завтраком</t>
        </is>
      </c>
      <c r="T820" t="n">
        <v>0</v>
      </c>
      <c r="U820" t="n">
        <v>33660</v>
      </c>
    </row>
    <row r="821">
      <c r="A821" t="inlineStr">
        <is>
          <t>20260810-8186-457351716</t>
        </is>
      </c>
      <c r="B821" t="n">
        <v>1</v>
      </c>
      <c r="C821" s="2" t="inlineStr">
        <is>
          <t>РУФИНА ШАКИРОВА</t>
        </is>
      </c>
      <c r="D821" s="3" t="n">
        <v>8900</v>
      </c>
      <c r="E821" s="4" t="n">
        <v>0</v>
      </c>
      <c r="F821" t="inlineStr">
        <is>
          <t>Прямые бронирования (стойка) [Чайковский]</t>
        </is>
      </c>
      <c r="G821" s="3">
        <f>ROUND(D821/(100-E821)*100,2)</f>
        <v/>
      </c>
      <c r="H821" s="5" t="n">
        <v>46244.58333333334</v>
      </c>
      <c r="I821" t="n">
        <v>1</v>
      </c>
      <c r="J821" s="3">
        <f>G821/I821</f>
        <v/>
      </c>
      <c r="K821">
        <f>IF(J821&gt;=5100,"ставка","мин.ставка")</f>
        <v/>
      </c>
      <c r="L821" s="3">
        <f>ROUND(IF(K821="мин.ставка",I821*100,G821/102*2),2)</f>
        <v/>
      </c>
      <c r="M821" s="5" t="n">
        <v>46245.5</v>
      </c>
      <c r="N821" t="inlineStr">
        <is>
          <t>TravelLine ресепшн</t>
        </is>
      </c>
      <c r="O821" s="2" t="inlineStr">
        <is>
          <t>СЕМЕЙНЫЙ НОМЕР КАТЕГОРИИ "СТАНДАРТ" ВТОРОЙ КОРПУС</t>
        </is>
      </c>
      <c r="P821" s="6" t="n"/>
      <c r="R821" t="inlineStr"/>
      <c r="S821" t="inlineStr">
        <is>
          <t>Тариф с завтраком</t>
        </is>
      </c>
      <c r="T821" t="n">
        <v>0</v>
      </c>
      <c r="U821" t="n">
        <v>8900</v>
      </c>
    </row>
    <row r="822">
      <c r="A822" t="inlineStr">
        <is>
          <t>20260710-8186-431599148</t>
        </is>
      </c>
      <c r="B822" t="n">
        <v>1</v>
      </c>
      <c r="C822" s="2" t="inlineStr">
        <is>
          <t>Садик Алимов, Анна Алимова</t>
        </is>
      </c>
      <c r="D822" s="3" t="n">
        <v>11560</v>
      </c>
      <c r="E822" s="4" t="n">
        <v>18</v>
      </c>
      <c r="F822" t="inlineStr">
        <is>
          <t>Яндекс.Путешествия [Чайковский]</t>
        </is>
      </c>
      <c r="G822" s="3">
        <f>ROUND(D822/(100-E822)*100,2)</f>
        <v/>
      </c>
      <c r="H822" s="5" t="n">
        <v>46213.58333333334</v>
      </c>
      <c r="I822" t="n">
        <v>1</v>
      </c>
      <c r="J822" s="3">
        <f>G822/I822</f>
        <v/>
      </c>
      <c r="K822">
        <f>IF(J822&gt;=5100,"ставка","мин.ставка")</f>
        <v/>
      </c>
      <c r="L822" s="3">
        <f>ROUND(IF(K822="мин.ставка",I822*100,G822/102*2),2)</f>
        <v/>
      </c>
      <c r="M822" s="5" t="n">
        <v>46214.5</v>
      </c>
      <c r="N822" t="inlineStr">
        <is>
          <t>TravelLine YAX</t>
        </is>
      </c>
      <c r="O822" s="2" t="inlineStr">
        <is>
          <t>семейный номер категории "стандарт"</t>
        </is>
      </c>
      <c r="P822" s="6" t="n"/>
      <c r="R822" t="inlineStr"/>
      <c r="S822" t="inlineStr">
        <is>
          <t>Тариф с завтраком</t>
        </is>
      </c>
      <c r="T822" t="n">
        <v>0</v>
      </c>
      <c r="U822" t="n">
        <v>11560</v>
      </c>
    </row>
    <row r="823">
      <c r="A823" t="inlineStr">
        <is>
          <t>20260728-8186-454019745</t>
        </is>
      </c>
      <c r="B823" t="n">
        <v>1</v>
      </c>
      <c r="C823" s="2" t="inlineStr">
        <is>
          <t>САМИР НАГИЕВ, ОЛЕСЯ САФРОНОВА</t>
        </is>
      </c>
      <c r="D823" s="3" t="n">
        <v>12325</v>
      </c>
      <c r="E823" s="4" t="n">
        <v>15</v>
      </c>
      <c r="F823" t="inlineStr">
        <is>
          <t>ООО «12Т» (ранее ONE TWO TRIP) [Чайковский]</t>
        </is>
      </c>
      <c r="G823" s="3">
        <f>ROUND(D823/(100-E823)*100,2)</f>
        <v/>
      </c>
      <c r="H823" s="5" t="n">
        <v>46231.58333333334</v>
      </c>
      <c r="I823" t="n">
        <v>1</v>
      </c>
      <c r="J823" s="3">
        <f>G823/I823</f>
        <v/>
      </c>
      <c r="K823">
        <f>IF(J823&gt;=5100,"ставка","мин.ставка")</f>
        <v/>
      </c>
      <c r="L823" s="3">
        <f>ROUND(IF(K823="мин.ставка",I823*100,G823/102*2),2)</f>
        <v/>
      </c>
      <c r="M823" s="5" t="n">
        <v>46232.5</v>
      </c>
      <c r="N823" t="inlineStr">
        <is>
          <t>TravelLine OTT</t>
        </is>
      </c>
      <c r="O823" s="2" t="inlineStr">
        <is>
          <t>ЛЮКС ВТОРОЙ КОРПУС</t>
        </is>
      </c>
      <c r="P823" s="6" t="n"/>
      <c r="R823" t="inlineStr"/>
      <c r="S823" t="inlineStr">
        <is>
          <t>Тариф с завтраком</t>
        </is>
      </c>
      <c r="T823" t="n">
        <v>0</v>
      </c>
      <c r="U823" t="n">
        <v>12325</v>
      </c>
    </row>
    <row r="824">
      <c r="A824" t="inlineStr">
        <is>
          <t>20260805-8186-456086133</t>
        </is>
      </c>
      <c r="B824" t="n">
        <v>1</v>
      </c>
      <c r="C824" s="2" t="inlineStr">
        <is>
          <t>Самир Нагиев, ОЛЕСЯ САФРОНОВА</t>
        </is>
      </c>
      <c r="D824" s="3" t="n">
        <v>11600</v>
      </c>
      <c r="E824" s="4" t="n">
        <v>20</v>
      </c>
      <c r="F824" t="inlineStr">
        <is>
          <t>ООО "КОМПАНИЯ БРОНЕВИК" [Чайковский]</t>
        </is>
      </c>
      <c r="G824" s="3">
        <f>ROUND(D824/(100-E824)*100,2)</f>
        <v/>
      </c>
      <c r="H824" s="5" t="n">
        <v>46239.58333333334</v>
      </c>
      <c r="I824" t="n">
        <v>1</v>
      </c>
      <c r="J824" s="3">
        <f>G824/I824</f>
        <v/>
      </c>
      <c r="K824">
        <f>IF(J824&gt;=5100,"ставка","мин.ставка")</f>
        <v/>
      </c>
      <c r="L824" s="3">
        <f>ROUND(IF(K824="мин.ставка",I824*100,G824/102*2),2)</f>
        <v/>
      </c>
      <c r="M824" s="5" t="n">
        <v>46240.5</v>
      </c>
      <c r="N824" t="inlineStr">
        <is>
          <t>TravelLine BR2</t>
        </is>
      </c>
      <c r="O824" s="2" t="inlineStr">
        <is>
          <t>ЛЮКС ВТОРОЙ КОРПУС</t>
        </is>
      </c>
      <c r="P824" s="6" t="n"/>
      <c r="R824" t="inlineStr"/>
      <c r="S824" t="inlineStr">
        <is>
          <t>Основной тариф без завтрака</t>
        </is>
      </c>
      <c r="T824" t="n">
        <v>0</v>
      </c>
      <c r="U824" t="n">
        <v>11600</v>
      </c>
    </row>
    <row r="825">
      <c r="A825" t="inlineStr">
        <is>
          <t>20260923-8186-464989668</t>
        </is>
      </c>
      <c r="B825" t="n">
        <v>1</v>
      </c>
      <c r="C825" s="2" t="inlineStr">
        <is>
          <t>СВЕТЛАНА АНДРЕЕВА</t>
        </is>
      </c>
      <c r="D825" s="3" t="n">
        <v>9647.5</v>
      </c>
      <c r="E825" s="4" t="n">
        <v>15</v>
      </c>
      <c r="F825" t="inlineStr">
        <is>
          <t>ООО «12Т» (ранее ONE TWO TRIP) [Чайковский]</t>
        </is>
      </c>
      <c r="G825" s="3">
        <f>ROUND(D825/(100-E825)*100,2)</f>
        <v/>
      </c>
      <c r="H825" s="5" t="n">
        <v>46288.58333333334</v>
      </c>
      <c r="I825" t="n">
        <v>1</v>
      </c>
      <c r="J825" s="3">
        <f>G825/I825</f>
        <v/>
      </c>
      <c r="K825">
        <f>IF(J825&gt;=5100,"ставка","мин.ставка")</f>
        <v/>
      </c>
      <c r="L825" s="3">
        <f>ROUND(IF(K825="мин.ставка",I825*100,G825/102*2),2)</f>
        <v/>
      </c>
      <c r="M825" s="5" t="n">
        <v>46289.5</v>
      </c>
      <c r="N825" t="inlineStr">
        <is>
          <t>TravelLine OTT</t>
        </is>
      </c>
      <c r="O825" s="2" t="inlineStr">
        <is>
          <t>СТАНДАРТНЫЙ ДВУХМЕСТНЫЙ НОМЕР</t>
        </is>
      </c>
      <c r="P825" s="6" t="n"/>
      <c r="R825" t="inlineStr"/>
      <c r="S825" t="inlineStr">
        <is>
          <t>Тариф с завтраком</t>
        </is>
      </c>
      <c r="T825" t="n">
        <v>0</v>
      </c>
      <c r="U825" t="n">
        <v>9647.5</v>
      </c>
    </row>
    <row r="826">
      <c r="A826" t="inlineStr">
        <is>
          <t>20260819-8186-412191327</t>
        </is>
      </c>
      <c r="B826" t="n">
        <v>1</v>
      </c>
      <c r="C826" s="2" t="inlineStr">
        <is>
          <t>Светлана Гилёва, Людмила РОГОЖНЕВА</t>
        </is>
      </c>
      <c r="D826" s="3" t="n">
        <v>29700</v>
      </c>
      <c r="E826" s="4" t="n">
        <v>0</v>
      </c>
      <c r="F826" t="inlineStr">
        <is>
          <t>Прямые бронирования (стойка) [Чайковский]</t>
        </is>
      </c>
      <c r="G826" s="3">
        <f>ROUND(D826/(100-E826)*100,2)</f>
        <v/>
      </c>
      <c r="H826" s="5" t="n">
        <v>46249.58333333334</v>
      </c>
      <c r="I826" t="n">
        <v>3</v>
      </c>
      <c r="J826" s="3">
        <f>G826/I826</f>
        <v/>
      </c>
      <c r="K826">
        <f>IF(J826&gt;=5100,"ставка","мин.ставка")</f>
        <v/>
      </c>
      <c r="L826" s="3">
        <f>ROUND(IF(K826="мин.ставка",I826*100,G826/102*2),2)</f>
        <v/>
      </c>
      <c r="M826" s="5" t="n">
        <v>46252.5</v>
      </c>
      <c r="N826" t="inlineStr">
        <is>
          <t>TravelLine ресепшн</t>
        </is>
      </c>
      <c r="O826" s="2" t="inlineStr">
        <is>
          <t>СТАНДАРТНЫЙ ДВУХМЕСТНЫЙ НОМЕР (МАНСАРДА)</t>
        </is>
      </c>
      <c r="P826" s="6" t="n"/>
      <c r="R826" t="inlineStr"/>
      <c r="S826" t="inlineStr">
        <is>
          <t>Тариф с завтраком</t>
        </is>
      </c>
      <c r="T826" t="n">
        <v>0</v>
      </c>
      <c r="U826" t="n">
        <v>29700</v>
      </c>
    </row>
    <row r="827">
      <c r="A827" t="inlineStr">
        <is>
          <t>20260831-8186-446583307</t>
        </is>
      </c>
      <c r="B827" t="n">
        <v>1</v>
      </c>
      <c r="C827" s="2" t="inlineStr">
        <is>
          <t>Светлана Говорина</t>
        </is>
      </c>
      <c r="D827" s="3" t="n">
        <v>45400</v>
      </c>
      <c r="E827" s="4" t="n">
        <v>18</v>
      </c>
      <c r="F827" t="inlineStr">
        <is>
          <t>Яндекс.Путешествия [Чайковский]</t>
        </is>
      </c>
      <c r="G827" s="3">
        <f>ROUND(D827/(100-E827)*100,2)</f>
        <v/>
      </c>
      <c r="H827" s="5" t="n">
        <v>46265.58333333334</v>
      </c>
      <c r="I827" t="n">
        <v>5</v>
      </c>
      <c r="J827" s="3">
        <f>G827/I827</f>
        <v/>
      </c>
      <c r="K827">
        <f>IF(J827&gt;=5100,"ставка","мин.ставка")</f>
        <v/>
      </c>
      <c r="L827" s="3">
        <f>ROUND(IF(K827="мин.ставка",I827*100,G827/102*2),2)</f>
        <v/>
      </c>
      <c r="M827" s="5" t="n">
        <v>46270.5</v>
      </c>
      <c r="N827" t="inlineStr">
        <is>
          <t>TravelLine YAX</t>
        </is>
      </c>
      <c r="O827" s="2" t="inlineStr">
        <is>
          <t>ПОЛУЛЮКС</t>
        </is>
      </c>
      <c r="P827" s="6" t="n"/>
      <c r="R827" t="inlineStr"/>
      <c r="S827" t="inlineStr">
        <is>
          <t>Тариф с завтраком</t>
        </is>
      </c>
      <c r="T827" t="n">
        <v>0</v>
      </c>
      <c r="U827" t="n">
        <v>45400</v>
      </c>
    </row>
    <row r="828">
      <c r="A828" t="inlineStr">
        <is>
          <t>20260914-8186-463592251</t>
        </is>
      </c>
      <c r="B828" t="n">
        <v>1</v>
      </c>
      <c r="C828" s="2" t="inlineStr">
        <is>
          <t>СВЕТЛАНА КОРСУНСКАЯ</t>
        </is>
      </c>
      <c r="D828" s="3" t="n">
        <v>9647.5</v>
      </c>
      <c r="E828" s="4" t="n">
        <v>15</v>
      </c>
      <c r="F828" t="inlineStr">
        <is>
          <t>ООО "Библио-Глобус Туроператор" [Чайковский]</t>
        </is>
      </c>
      <c r="G828" s="3">
        <f>ROUND(D828/(100-E828)*100,2)</f>
        <v/>
      </c>
      <c r="H828" s="5" t="n">
        <v>46279.58333333334</v>
      </c>
      <c r="I828" t="n">
        <v>1</v>
      </c>
      <c r="J828" s="3">
        <f>G828/I828</f>
        <v/>
      </c>
      <c r="K828">
        <f>IF(J828&gt;=5100,"ставка","мин.ставка")</f>
        <v/>
      </c>
      <c r="L828" s="3">
        <f>ROUND(IF(K828="мин.ставка",I828*100,G828/102*2),2)</f>
        <v/>
      </c>
      <c r="M828" s="5" t="n">
        <v>46280.5</v>
      </c>
      <c r="N828" t="inlineStr">
        <is>
          <t>TravelLine BGL</t>
        </is>
      </c>
      <c r="O828" s="2" t="inlineStr">
        <is>
          <t>СТАНДАРТНЫЙ ДВУХМЕСТНЫЙ НОМЕР</t>
        </is>
      </c>
      <c r="P828" s="6" t="n"/>
      <c r="R828" t="inlineStr"/>
      <c r="S828" t="inlineStr">
        <is>
          <t>Тариф с завтраком</t>
        </is>
      </c>
      <c r="T828" t="n">
        <v>0</v>
      </c>
      <c r="U828" t="n">
        <v>9647.5</v>
      </c>
    </row>
    <row r="829">
      <c r="A829" t="inlineStr">
        <is>
          <t>20260812-8186-451725472</t>
        </is>
      </c>
      <c r="B829" t="n">
        <v>1</v>
      </c>
      <c r="C829" s="2" t="inlineStr">
        <is>
          <t>Светлана Кривашапова, Анна Янчалкова</t>
        </is>
      </c>
      <c r="D829" s="3" t="n">
        <v>107322.6</v>
      </c>
      <c r="E829" s="4" t="n">
        <v>4</v>
      </c>
      <c r="F829" t="inlineStr">
        <is>
          <t>TravelLine Booking Engine [Чайковский]</t>
        </is>
      </c>
      <c r="G829" s="3">
        <f>ROUND(D829/(100-E829)*100,2)</f>
        <v/>
      </c>
      <c r="H829" s="5" t="n">
        <v>46246.58333333334</v>
      </c>
      <c r="I829" t="n">
        <v>7</v>
      </c>
      <c r="J829" s="3">
        <f>G829/I829</f>
        <v/>
      </c>
      <c r="K829">
        <f>IF(J829&gt;=5100,"ставка","мин.ставка")</f>
        <v/>
      </c>
      <c r="L829" s="3">
        <f>ROUND(IF(K829="мин.ставка",I829*100,G829/102*2),2)</f>
        <v/>
      </c>
      <c r="M829" s="5" t="n">
        <v>46253.5</v>
      </c>
      <c r="N829" t="inlineStr">
        <is>
          <t>TravelLine сайт</t>
        </is>
      </c>
      <c r="O829" s="2" t="inlineStr">
        <is>
          <t>УЛУЧШЕННЫЙ ДВУХМЕСТНЫЙ НОМЕР</t>
        </is>
      </c>
      <c r="P829" s="6" t="n"/>
      <c r="R829" t="inlineStr"/>
      <c r="S829" t="inlineStr">
        <is>
          <t>Тариф с завтраком</t>
        </is>
      </c>
      <c r="T829" t="n">
        <v>0</v>
      </c>
      <c r="U829" t="n">
        <v>107322.6</v>
      </c>
    </row>
    <row r="830">
      <c r="A830" t="inlineStr">
        <is>
          <t>20260812-8186-456358699</t>
        </is>
      </c>
      <c r="B830" t="n">
        <v>1</v>
      </c>
      <c r="C830" s="2" t="inlineStr">
        <is>
          <t>Светлана Михалева, Анастасия Михалева</t>
        </is>
      </c>
      <c r="D830" s="3" t="n">
        <v>21360</v>
      </c>
      <c r="E830" s="4" t="n">
        <v>20</v>
      </c>
      <c r="F830" t="inlineStr">
        <is>
          <t>ООО «Дубль Гис» (OTELLO) [Чайковский]</t>
        </is>
      </c>
      <c r="G830" s="3">
        <f>ROUND(D830/(100-E830)*100,2)</f>
        <v/>
      </c>
      <c r="H830" s="5" t="n">
        <v>46246.58333333334</v>
      </c>
      <c r="I830" t="n">
        <v>2</v>
      </c>
      <c r="J830" s="3">
        <f>G830/I830</f>
        <v/>
      </c>
      <c r="K830">
        <f>IF(J830&gt;=5100,"ставка","мин.ставка")</f>
        <v/>
      </c>
      <c r="L830" s="3">
        <f>ROUND(IF(K830="мин.ставка",I830*100,G830/102*2),2)</f>
        <v/>
      </c>
      <c r="M830" s="5" t="n">
        <v>46248.5</v>
      </c>
      <c r="N830" t="inlineStr">
        <is>
          <t>TravelLine OL2</t>
        </is>
      </c>
      <c r="O830" s="2" t="inlineStr">
        <is>
          <t>СТАНДАРТНЫЙ ДВУХМЕСТНЫЙ НОМЕР</t>
        </is>
      </c>
      <c r="P830" s="6" t="n"/>
      <c r="R830" t="inlineStr"/>
      <c r="S830" t="inlineStr">
        <is>
          <t>Тариф с завтраком</t>
        </is>
      </c>
      <c r="T830" t="n">
        <v>0</v>
      </c>
      <c r="U830" t="n">
        <v>21360</v>
      </c>
    </row>
    <row r="831">
      <c r="A831" t="inlineStr">
        <is>
          <t>20260914-8186-465267939</t>
        </is>
      </c>
      <c r="B831" t="n">
        <v>1</v>
      </c>
      <c r="C831" s="2" t="inlineStr">
        <is>
          <t>Светлана Носницына, ВЯЧЕСЛАВ БОЧАРОВ</t>
        </is>
      </c>
      <c r="D831" s="3" t="n">
        <v>26499.75</v>
      </c>
      <c r="E831" s="4" t="n">
        <v>4</v>
      </c>
      <c r="F831" t="inlineStr">
        <is>
          <t>TravelLine Booking Engine [Чайковский]</t>
        </is>
      </c>
      <c r="G831" s="3">
        <f>ROUND(D831/(100-E831)*100,2)</f>
        <v/>
      </c>
      <c r="H831" s="5" t="n">
        <v>46279.58333333334</v>
      </c>
      <c r="I831" t="n">
        <v>2</v>
      </c>
      <c r="J831" s="3">
        <f>G831/I831</f>
        <v/>
      </c>
      <c r="K831">
        <f>IF(J831&gt;=5100,"ставка","мин.ставка")</f>
        <v/>
      </c>
      <c r="L831" s="3">
        <f>ROUND(IF(K831="мин.ставка",I831*100,G831/102*2),2)</f>
        <v/>
      </c>
      <c r="M831" s="5" t="n">
        <v>46281.5</v>
      </c>
      <c r="N831" t="inlineStr">
        <is>
          <t>TravelLine сайт</t>
        </is>
      </c>
      <c r="O831" s="2" t="inlineStr">
        <is>
          <t>СТАНДАРТНЫЙ ДВУХМЕСТНЫЙ НОМЕР</t>
        </is>
      </c>
      <c r="P831" s="6" t="n"/>
      <c r="R831" t="inlineStr"/>
      <c r="S831" t="inlineStr">
        <is>
          <t>Тариф с завтраком</t>
        </is>
      </c>
      <c r="T831" t="n">
        <v>0</v>
      </c>
      <c r="U831" t="n">
        <v>26499.75</v>
      </c>
    </row>
    <row r="832">
      <c r="A832" t="inlineStr">
        <is>
          <t>20260817-8186-425895976</t>
        </is>
      </c>
      <c r="B832" t="n">
        <v>1</v>
      </c>
      <c r="C832" s="2" t="inlineStr">
        <is>
          <t>СВЕТЛАНА РУДСКАЯ, СЕРГЕЙ ХАРЧЕНКО</t>
        </is>
      </c>
      <c r="D832" s="3" t="n">
        <v>43350</v>
      </c>
      <c r="E832" s="4" t="n">
        <v>0</v>
      </c>
      <c r="F832" t="inlineStr">
        <is>
          <t>Прямые бронирования (стойка) [Чайковский]</t>
        </is>
      </c>
      <c r="G832" s="3">
        <f>ROUND(D832/(100-E832)*100,2)</f>
        <v/>
      </c>
      <c r="H832" s="5" t="n">
        <v>46255.58333333334</v>
      </c>
      <c r="I832" t="n">
        <v>3</v>
      </c>
      <c r="J832" s="3">
        <f>G832/I832</f>
        <v/>
      </c>
      <c r="K832">
        <f>IF(J832&gt;=5100,"ставка","мин.ставка")</f>
        <v/>
      </c>
      <c r="L832" s="3">
        <f>ROUND(IF(K832="мин.ставка",I832*100,G832/102*2),2)</f>
        <v/>
      </c>
      <c r="M832" s="5" t="n">
        <v>46258.5</v>
      </c>
      <c r="N832" t="inlineStr">
        <is>
          <t>TravelLine ресепшн</t>
        </is>
      </c>
      <c r="O832" s="2" t="inlineStr">
        <is>
          <t>семейный номер категории "стандарт"</t>
        </is>
      </c>
      <c r="P832" s="6" t="n"/>
      <c r="R832" t="inlineStr"/>
      <c r="S832" t="inlineStr">
        <is>
          <t>Тариф с завтраком</t>
        </is>
      </c>
      <c r="T832" t="n">
        <v>0</v>
      </c>
      <c r="U832" t="n">
        <v>43350</v>
      </c>
    </row>
    <row r="833">
      <c r="A833" t="inlineStr">
        <is>
          <t>20260830-8186-455487869</t>
        </is>
      </c>
      <c r="B833" t="n">
        <v>1</v>
      </c>
      <c r="C833" s="2" t="inlineStr">
        <is>
          <t>СВЕТЛАНА РУДСКАЯ, СЕРГЕЙ ХАРЧЕНКО</t>
        </is>
      </c>
      <c r="D833" s="3" t="n">
        <v>28900</v>
      </c>
      <c r="E833" s="4" t="n">
        <v>0</v>
      </c>
      <c r="F833" t="inlineStr">
        <is>
          <t>Прямые бронирования (стойка) [Чайковский]</t>
        </is>
      </c>
      <c r="G833" s="3">
        <f>ROUND(D833/(100-E833)*100,2)</f>
        <v/>
      </c>
      <c r="H833" s="5" t="n">
        <v>46265.58333333334</v>
      </c>
      <c r="I833" t="n">
        <v>2</v>
      </c>
      <c r="J833" s="3">
        <f>G833/I833</f>
        <v/>
      </c>
      <c r="K833">
        <f>IF(J833&gt;=5100,"ставка","мин.ставка")</f>
        <v/>
      </c>
      <c r="L833" s="3">
        <f>ROUND(IF(K833="мин.ставка",I833*100,G833/102*2),2)</f>
        <v/>
      </c>
      <c r="M833" s="5" t="n">
        <v>46267.5</v>
      </c>
      <c r="N833" t="inlineStr">
        <is>
          <t>TravelLine ресепшн</t>
        </is>
      </c>
      <c r="O833" s="2" t="inlineStr">
        <is>
          <t>СЕМЕЙНЫЙ НОМЕР КАТЕГОРИИ "СТАНДАРТ" ВТОРОЙ КОРПУС</t>
        </is>
      </c>
      <c r="P833" s="6" t="n"/>
      <c r="R833" t="inlineStr"/>
      <c r="S833" t="inlineStr">
        <is>
          <t>Тариф с завтраком</t>
        </is>
      </c>
      <c r="T833" t="n">
        <v>0</v>
      </c>
      <c r="U833" t="n">
        <v>28900</v>
      </c>
    </row>
    <row r="834">
      <c r="A834" t="inlineStr">
        <is>
          <t>20260823-8186-427400890</t>
        </is>
      </c>
      <c r="B834" t="n">
        <v>1</v>
      </c>
      <c r="C834" s="2" t="inlineStr">
        <is>
          <t>Светлана Серебрякова, Майя Серебрякова</t>
        </is>
      </c>
      <c r="D834" s="3" t="n">
        <v>22161</v>
      </c>
      <c r="E834" s="4" t="n">
        <v>18</v>
      </c>
      <c r="F834" t="inlineStr">
        <is>
          <t>Яндекс.Путешествия [Чайковский]</t>
        </is>
      </c>
      <c r="G834" s="3">
        <f>ROUND(D834/(100-E834)*100,2)</f>
        <v/>
      </c>
      <c r="H834" s="5" t="n">
        <v>46257.58333333334</v>
      </c>
      <c r="I834" t="n">
        <v>2</v>
      </c>
      <c r="J834" s="3">
        <f>G834/I834</f>
        <v/>
      </c>
      <c r="K834">
        <f>IF(J834&gt;=5100,"ставка","мин.ставка")</f>
        <v/>
      </c>
      <c r="L834" s="3">
        <f>ROUND(IF(K834="мин.ставка",I834*100,G834/102*2),2)</f>
        <v/>
      </c>
      <c r="M834" s="5" t="n">
        <v>46259.5</v>
      </c>
      <c r="N834" t="inlineStr">
        <is>
          <t>TravelLine YAX</t>
        </is>
      </c>
      <c r="O834" s="2" t="inlineStr">
        <is>
          <t>СТАНДАРТНЫЙ ДВУХМЕСТНЫЙ НОМЕР</t>
        </is>
      </c>
      <c r="P834" s="6" t="n"/>
      <c r="R834" t="inlineStr"/>
      <c r="S834" t="inlineStr">
        <is>
          <t>Тариф с завтраком</t>
        </is>
      </c>
      <c r="T834" t="n">
        <v>0</v>
      </c>
      <c r="U834" t="n">
        <v>22161</v>
      </c>
    </row>
    <row r="835">
      <c r="A835" t="inlineStr">
        <is>
          <t>20260823-8186-458898583</t>
        </is>
      </c>
      <c r="B835" t="n">
        <v>1</v>
      </c>
      <c r="C835" s="2" t="inlineStr">
        <is>
          <t>Светлана Слепцова</t>
        </is>
      </c>
      <c r="D835" s="3" t="n">
        <v>6557</v>
      </c>
      <c r="E835" s="4" t="n">
        <v>18</v>
      </c>
      <c r="F835" t="inlineStr">
        <is>
          <t>Яндекс.Путешествия [Чайковский]</t>
        </is>
      </c>
      <c r="G835" s="3">
        <f>ROUND(D835/(100-E835)*100,2)</f>
        <v/>
      </c>
      <c r="H835" s="5" t="n">
        <v>46257.58333333334</v>
      </c>
      <c r="I835" t="n">
        <v>1</v>
      </c>
      <c r="J835" s="3">
        <f>G835/I835</f>
        <v/>
      </c>
      <c r="K835">
        <f>IF(J835&gt;=5100,"ставка","мин.ставка")</f>
        <v/>
      </c>
      <c r="L835" s="3">
        <f>ROUND(IF(K835="мин.ставка",I835*100,G835/102*2),2)</f>
        <v/>
      </c>
      <c r="M835" s="5" t="n">
        <v>46258.5</v>
      </c>
      <c r="N835" t="inlineStr">
        <is>
          <t>TravelLine YAX</t>
        </is>
      </c>
      <c r="O835" s="2" t="inlineStr">
        <is>
          <t>СТАНДАРТНЫЙ ДВУХМЕСТНЫЙ НОМЕР (МАНСАРДА)</t>
        </is>
      </c>
      <c r="P835" s="6" t="n"/>
      <c r="R835" t="inlineStr"/>
      <c r="S835" t="inlineStr">
        <is>
          <t>Тариф с завтраком</t>
        </is>
      </c>
      <c r="T835" t="n">
        <v>0</v>
      </c>
      <c r="U835" t="n">
        <v>6557</v>
      </c>
    </row>
    <row r="836">
      <c r="A836" t="inlineStr">
        <is>
          <t>20260927-8186-461038134</t>
        </is>
      </c>
      <c r="B836" t="n">
        <v>1</v>
      </c>
      <c r="C836" s="2" t="inlineStr">
        <is>
          <t>Светлана Слепцова</t>
        </is>
      </c>
      <c r="D836" s="3" t="n">
        <v>6320</v>
      </c>
      <c r="E836" s="4" t="n">
        <v>18</v>
      </c>
      <c r="F836" t="inlineStr">
        <is>
          <t>Яндекс.Путешествия [Чайковский]</t>
        </is>
      </c>
      <c r="G836" s="3">
        <f>ROUND(D836/(100-E836)*100,2)</f>
        <v/>
      </c>
      <c r="H836" s="5" t="n">
        <v>46292.58333333334</v>
      </c>
      <c r="I836" t="n">
        <v>1</v>
      </c>
      <c r="J836" s="3">
        <f>G836/I836</f>
        <v/>
      </c>
      <c r="K836">
        <f>IF(J836&gt;=5100,"ставка","мин.ставка")</f>
        <v/>
      </c>
      <c r="L836" s="3">
        <f>ROUND(IF(K836="мин.ставка",I836*100,G836/102*2),2)</f>
        <v/>
      </c>
      <c r="M836" s="5" t="n">
        <v>46293.5</v>
      </c>
      <c r="N836" t="inlineStr">
        <is>
          <t>TravelLine YAX</t>
        </is>
      </c>
      <c r="O836" s="2" t="inlineStr">
        <is>
          <t>СТАНДАРТНЫЙ ДВУХМЕСТНЫЙ НОМЕР (МАНСАРДА)</t>
        </is>
      </c>
      <c r="P836" s="6" t="n"/>
      <c r="R836" t="inlineStr"/>
      <c r="S836" t="inlineStr">
        <is>
          <t>Тариф с завтраком</t>
        </is>
      </c>
      <c r="T836" t="n">
        <v>0</v>
      </c>
      <c r="U836" t="n">
        <v>6320</v>
      </c>
    </row>
    <row r="837">
      <c r="A837" t="inlineStr">
        <is>
          <t>20260808-8186-411825729</t>
        </is>
      </c>
      <c r="B837" t="n">
        <v>1</v>
      </c>
      <c r="C837" s="2" t="inlineStr">
        <is>
          <t>Светлана Смирнова, Дмитрий Букатов</t>
        </is>
      </c>
      <c r="D837" s="3" t="n">
        <v>15840</v>
      </c>
      <c r="E837" s="4" t="n">
        <v>18</v>
      </c>
      <c r="F837" t="inlineStr">
        <is>
          <t>Яндекс.Путешествия [Чайковский]</t>
        </is>
      </c>
      <c r="G837" s="3">
        <f>ROUND(D837/(100-E837)*100,2)</f>
        <v/>
      </c>
      <c r="H837" s="5" t="n">
        <v>46242.58333333334</v>
      </c>
      <c r="I837" t="n">
        <v>2</v>
      </c>
      <c r="J837" s="3">
        <f>G837/I837</f>
        <v/>
      </c>
      <c r="K837">
        <f>IF(J837&gt;=5100,"ставка","мин.ставка")</f>
        <v/>
      </c>
      <c r="L837" s="3">
        <f>ROUND(IF(K837="мин.ставка",I837*100,G837/102*2),2)</f>
        <v/>
      </c>
      <c r="M837" s="5" t="n">
        <v>46244.5</v>
      </c>
      <c r="N837" t="inlineStr">
        <is>
          <t>TravelLine YAX</t>
        </is>
      </c>
      <c r="O837" s="2" t="inlineStr">
        <is>
          <t>СТАНДАРТНЫЙ ДВУХМЕСТНЫЙ НОМЕР (МАНСАРДА)</t>
        </is>
      </c>
      <c r="P837" s="6" t="n"/>
      <c r="R837" t="inlineStr"/>
      <c r="S837" t="inlineStr">
        <is>
          <t>Тариф с завтраком</t>
        </is>
      </c>
      <c r="T837" t="n">
        <v>0</v>
      </c>
      <c r="U837" t="n">
        <v>15840</v>
      </c>
    </row>
    <row r="838">
      <c r="A838" t="inlineStr">
        <is>
          <t>20260928-8186-464218932</t>
        </is>
      </c>
      <c r="B838" t="n">
        <v>1</v>
      </c>
      <c r="C838" s="2" t="inlineStr">
        <is>
          <t>Светлана Федорова, Лев Родин</t>
        </is>
      </c>
      <c r="D838" s="3" t="n">
        <v>14850</v>
      </c>
      <c r="E838" s="4" t="n">
        <v>18</v>
      </c>
      <c r="F838" t="inlineStr">
        <is>
          <t>Яндекс.Путешествия [Чайковский]</t>
        </is>
      </c>
      <c r="G838" s="3">
        <f>ROUND(D838/(100-E838)*100,2)</f>
        <v/>
      </c>
      <c r="H838" s="5" t="n">
        <v>46293.58333333334</v>
      </c>
      <c r="I838" t="n">
        <v>2</v>
      </c>
      <c r="J838" s="3">
        <f>G838/I838</f>
        <v/>
      </c>
      <c r="K838">
        <f>IF(J838&gt;=5100,"ставка","мин.ставка")</f>
        <v/>
      </c>
      <c r="L838" s="3">
        <f>ROUND(IF(K838="мин.ставка",I838*100,G838/102*2),2)</f>
        <v/>
      </c>
      <c r="M838" s="5" t="n">
        <v>46295.5</v>
      </c>
      <c r="N838" t="inlineStr">
        <is>
          <t>TravelLine YAX</t>
        </is>
      </c>
      <c r="O838" s="2" t="inlineStr">
        <is>
          <t>СТАНДАРТНЫЙ ДВУХМЕСТНЫЙ НОМЕР (МАНСАРДА)</t>
        </is>
      </c>
      <c r="P838" s="6" t="n"/>
      <c r="R838" t="inlineStr"/>
      <c r="S838" t="inlineStr">
        <is>
          <t>Тариф с завтраком</t>
        </is>
      </c>
      <c r="T838" t="n">
        <v>0</v>
      </c>
      <c r="U838" t="n">
        <v>14850</v>
      </c>
    </row>
    <row r="839">
      <c r="A839" t="inlineStr">
        <is>
          <t>20260901-8186-461767094</t>
        </is>
      </c>
      <c r="B839" t="n">
        <v>1</v>
      </c>
      <c r="C839" s="2" t="inlineStr">
        <is>
          <t>Светлана Четверткова, Ксения Четверткова</t>
        </is>
      </c>
      <c r="D839" s="3" t="n">
        <v>39600</v>
      </c>
      <c r="E839" s="4" t="n">
        <v>20</v>
      </c>
      <c r="F839" t="inlineStr">
        <is>
          <t>ООО «Дубль Гис» (OTELLO) [Чайковский]</t>
        </is>
      </c>
      <c r="G839" s="3">
        <f>ROUND(D839/(100-E839)*100,2)</f>
        <v/>
      </c>
      <c r="H839" s="5" t="n">
        <v>46266.58333333334</v>
      </c>
      <c r="I839" t="n">
        <v>3</v>
      </c>
      <c r="J839" s="3">
        <f>G839/I839</f>
        <v/>
      </c>
      <c r="K839">
        <f>IF(J839&gt;=5100,"ставка","мин.ставка")</f>
        <v/>
      </c>
      <c r="L839" s="3">
        <f>ROUND(IF(K839="мин.ставка",I839*100,G839/102*2),2)</f>
        <v/>
      </c>
      <c r="M839" s="5" t="n">
        <v>46269.5</v>
      </c>
      <c r="N839" t="inlineStr">
        <is>
          <t>TravelLine OL2</t>
        </is>
      </c>
      <c r="O839" s="2" t="inlineStr">
        <is>
          <t>ПОЛУЛЮКС</t>
        </is>
      </c>
      <c r="P839" s="6" t="n"/>
      <c r="R839" t="inlineStr"/>
      <c r="S839" t="inlineStr">
        <is>
          <t>Тариф с завтраком</t>
        </is>
      </c>
      <c r="T839" t="n">
        <v>0</v>
      </c>
      <c r="U839" t="n">
        <v>39600</v>
      </c>
    </row>
    <row r="840">
      <c r="A840" t="inlineStr">
        <is>
          <t>20260718-8186-450585289</t>
        </is>
      </c>
      <c r="B840" t="n">
        <v>1</v>
      </c>
      <c r="C840" s="2" t="inlineStr">
        <is>
          <t>Святослав Семенов</t>
        </is>
      </c>
      <c r="D840" s="3" t="n">
        <v>10115</v>
      </c>
      <c r="E840" s="4" t="n">
        <v>15</v>
      </c>
      <c r="F840" t="inlineStr">
        <is>
          <t>ООО Тинькофф Путешествия [Чайковский]</t>
        </is>
      </c>
      <c r="G840" s="3">
        <f>ROUND(D840/(100-E840)*100,2)</f>
        <v/>
      </c>
      <c r="H840" s="5" t="n">
        <v>46221.58333333334</v>
      </c>
      <c r="I840" t="n">
        <v>1</v>
      </c>
      <c r="J840" s="3">
        <f>G840/I840</f>
        <v/>
      </c>
      <c r="K840">
        <f>IF(J840&gt;=5100,"ставка","мин.ставка")</f>
        <v/>
      </c>
      <c r="L840" s="3">
        <f>ROUND(IF(K840="мин.ставка",I840*100,G840/102*2),2)</f>
        <v/>
      </c>
      <c r="M840" s="5" t="n">
        <v>46222.5</v>
      </c>
      <c r="N840" t="inlineStr">
        <is>
          <t>TravelLine TNK</t>
        </is>
      </c>
      <c r="O840" s="2" t="inlineStr">
        <is>
          <t>УЛУЧШЕННЫЙ ДВУХМЕСТНЫЙ НОМЕР</t>
        </is>
      </c>
      <c r="P840" s="6" t="n"/>
      <c r="R840" t="inlineStr"/>
      <c r="S840" t="inlineStr">
        <is>
          <t>Основной тариф без завтрака</t>
        </is>
      </c>
      <c r="T840" t="n">
        <v>0</v>
      </c>
      <c r="U840" t="n">
        <v>10115</v>
      </c>
    </row>
    <row r="841">
      <c r="A841" t="inlineStr">
        <is>
          <t>20260720-8186-434464061</t>
        </is>
      </c>
      <c r="B841" t="n">
        <v>1</v>
      </c>
      <c r="C841" s="2" t="inlineStr">
        <is>
          <t>СЕВДА МАМЕДОВА, РОМАН МЕЖОВ</t>
        </is>
      </c>
      <c r="D841" s="3" t="n">
        <v>66000</v>
      </c>
      <c r="E841" s="4" t="n">
        <v>20</v>
      </c>
      <c r="F841" t="inlineStr">
        <is>
          <t>ООО "ХБ-ПРО" [Чайковский]</t>
        </is>
      </c>
      <c r="G841" s="3">
        <f>ROUND(D841/(100-E841)*100,2)</f>
        <v/>
      </c>
      <c r="H841" s="5" t="n">
        <v>46223.58333333334</v>
      </c>
      <c r="I841" t="n">
        <v>5</v>
      </c>
      <c r="J841" s="3">
        <f>G841/I841</f>
        <v/>
      </c>
      <c r="K841">
        <f>IF(J841&gt;=5100,"ставка","мин.ставка")</f>
        <v/>
      </c>
      <c r="L841" s="3">
        <f>ROUND(IF(K841="мин.ставка",I841*100,G841/102*2),2)</f>
        <v/>
      </c>
      <c r="M841" s="5" t="n">
        <v>46228.75</v>
      </c>
      <c r="N841" t="inlineStr">
        <is>
          <t>TravelLine UTS</t>
        </is>
      </c>
      <c r="O841" s="2" t="inlineStr">
        <is>
          <t>ПОЛУЛЮКС</t>
        </is>
      </c>
      <c r="P841" s="6" t="n"/>
      <c r="R841" t="inlineStr"/>
      <c r="S841" t="inlineStr">
        <is>
          <t>Тариф с завтраком</t>
        </is>
      </c>
      <c r="T841" t="n">
        <v>8250</v>
      </c>
      <c r="U841" t="n">
        <v>74250</v>
      </c>
    </row>
    <row r="842">
      <c r="A842" t="inlineStr">
        <is>
          <t>20260816-8186-457807232</t>
        </is>
      </c>
      <c r="B842" t="n">
        <v>1</v>
      </c>
      <c r="C842" s="2" t="inlineStr">
        <is>
          <t>Семен Влах, Екатерина Суханова</t>
        </is>
      </c>
      <c r="D842" s="3" t="n">
        <v>32752.5</v>
      </c>
      <c r="E842" s="4" t="n">
        <v>4</v>
      </c>
      <c r="F842" t="inlineStr">
        <is>
          <t>TravelLine Booking Engine [Чайковский]</t>
        </is>
      </c>
      <c r="G842" s="3">
        <f>ROUND(D842/(100-E842)*100,2)</f>
        <v/>
      </c>
      <c r="H842" s="5" t="n">
        <v>46250.58333333334</v>
      </c>
      <c r="I842" t="n">
        <v>2</v>
      </c>
      <c r="J842" s="3">
        <f>G842/I842</f>
        <v/>
      </c>
      <c r="K842">
        <f>IF(J842&gt;=5100,"ставка","мин.ставка")</f>
        <v/>
      </c>
      <c r="L842" s="3">
        <f>ROUND(IF(K842="мин.ставка",I842*100,G842/102*2),2)</f>
        <v/>
      </c>
      <c r="M842" s="5" t="n">
        <v>46252.5</v>
      </c>
      <c r="N842" t="inlineStr">
        <is>
          <t>TravelLine сайт</t>
        </is>
      </c>
      <c r="O842" s="2" t="inlineStr">
        <is>
          <t>ПОЛУЛЮКС</t>
        </is>
      </c>
      <c r="P842" s="6" t="n"/>
      <c r="R842" t="inlineStr"/>
      <c r="S842" t="inlineStr">
        <is>
          <t>Тариф с завтраком</t>
        </is>
      </c>
      <c r="T842" t="n">
        <v>300</v>
      </c>
      <c r="U842" t="n">
        <v>33052.5</v>
      </c>
    </row>
    <row r="843">
      <c r="A843" t="inlineStr">
        <is>
          <t>20260915-8186-434150224</t>
        </is>
      </c>
      <c r="B843" t="n">
        <v>1</v>
      </c>
      <c r="C843" s="2" t="inlineStr">
        <is>
          <t>Семен Гурьев</t>
        </is>
      </c>
      <c r="D843" s="3" t="n">
        <v>19635</v>
      </c>
      <c r="E843" s="4" t="n">
        <v>15</v>
      </c>
      <c r="F843" t="inlineStr">
        <is>
          <t>ООО "АКАДЕМ-ОНЛАЙН" [Чайковский]</t>
        </is>
      </c>
      <c r="G843" s="3">
        <f>ROUND(D843/(100-E843)*100,2)</f>
        <v/>
      </c>
      <c r="H843" s="5" t="n">
        <v>46280.58333333334</v>
      </c>
      <c r="I843" t="n">
        <v>3</v>
      </c>
      <c r="J843" s="3">
        <f>G843/I843</f>
        <v/>
      </c>
      <c r="K843">
        <f>IF(J843&gt;=5100,"ставка","мин.ставка")</f>
        <v/>
      </c>
      <c r="L843" s="3">
        <f>ROUND(IF(K843="мин.ставка",I843*100,G843/102*2),2)</f>
        <v/>
      </c>
      <c r="M843" s="5" t="n">
        <v>46283.5</v>
      </c>
      <c r="N843" t="inlineStr">
        <is>
          <t>TravelLine ACS</t>
        </is>
      </c>
      <c r="O843" s="2" t="inlineStr">
        <is>
          <t>СТАНДАРТНЫЙ ОДНОМЕСТНЫЙ НОМЕР</t>
        </is>
      </c>
      <c r="P843" s="6" t="n"/>
      <c r="R843" t="inlineStr"/>
      <c r="S843" t="inlineStr">
        <is>
          <t>Тариф с завтраком</t>
        </is>
      </c>
      <c r="T843" t="n">
        <v>0</v>
      </c>
      <c r="U843" t="n">
        <v>19635</v>
      </c>
    </row>
    <row r="844">
      <c r="A844" t="inlineStr">
        <is>
          <t>20260802-8186-429074020</t>
        </is>
      </c>
      <c r="B844" t="n">
        <v>1</v>
      </c>
      <c r="C844" s="2" t="inlineStr">
        <is>
          <t>Семен Клямкин, ЕЛЕНА МЕЩЕРЯКОВА</t>
        </is>
      </c>
      <c r="D844" s="3" t="n">
        <v>56737.5</v>
      </c>
      <c r="E844" s="4" t="n">
        <v>20</v>
      </c>
      <c r="F844" t="inlineStr">
        <is>
          <t>ООО «Дубль Гис» (OTELLO) [Чайковский]</t>
        </is>
      </c>
      <c r="G844" s="3">
        <f>ROUND(D844/(100-E844)*100,2)</f>
        <v/>
      </c>
      <c r="H844" s="5" t="n">
        <v>46236.58333333334</v>
      </c>
      <c r="I844" t="n">
        <v>5</v>
      </c>
      <c r="J844" s="3">
        <f>G844/I844</f>
        <v/>
      </c>
      <c r="K844">
        <f>IF(J844&gt;=5100,"ставка","мин.ставка")</f>
        <v/>
      </c>
      <c r="L844" s="3">
        <f>ROUND(IF(K844="мин.ставка",I844*100,G844/102*2),2)</f>
        <v/>
      </c>
      <c r="M844" s="5" t="n">
        <v>46241.5</v>
      </c>
      <c r="N844" t="inlineStr">
        <is>
          <t>TravelLine OL2</t>
        </is>
      </c>
      <c r="O844" s="2" t="inlineStr">
        <is>
          <t>СТАНДАРТНЫЙ ДВУХМЕСТНЫЙ НОМЕР</t>
        </is>
      </c>
      <c r="P844" s="6" t="n"/>
      <c r="R844" t="inlineStr"/>
      <c r="S844" t="inlineStr">
        <is>
          <t>Тариф с завтраком</t>
        </is>
      </c>
      <c r="T844" t="n">
        <v>0</v>
      </c>
      <c r="U844" t="n">
        <v>113475</v>
      </c>
    </row>
    <row r="845">
      <c r="A845" t="inlineStr">
        <is>
          <t>20260827-8186-461645701</t>
        </is>
      </c>
      <c r="B845" t="n">
        <v>1</v>
      </c>
      <c r="C845" s="2" t="inlineStr">
        <is>
          <t>Семён Новосельский</t>
        </is>
      </c>
      <c r="D845" s="3" t="n">
        <v>22348.15</v>
      </c>
      <c r="E845" s="4" t="n">
        <v>4</v>
      </c>
      <c r="F845" t="inlineStr">
        <is>
          <t>TravelLine Booking Engine [Чайковский]</t>
        </is>
      </c>
      <c r="G845" s="3">
        <f>ROUND(D845/(100-E845)*100,2)</f>
        <v/>
      </c>
      <c r="H845" s="5" t="n">
        <v>46261.58333333334</v>
      </c>
      <c r="I845" t="n">
        <v>2</v>
      </c>
      <c r="J845" s="3">
        <f>G845/I845</f>
        <v/>
      </c>
      <c r="K845">
        <f>IF(J845&gt;=5100,"ставка","мин.ставка")</f>
        <v/>
      </c>
      <c r="L845" s="3">
        <f>ROUND(IF(K845="мин.ставка",I845*100,G845/102*2),2)</f>
        <v/>
      </c>
      <c r="M845" s="5" t="n">
        <v>46263.5</v>
      </c>
      <c r="N845" t="inlineStr">
        <is>
          <t>TravelLine сайт</t>
        </is>
      </c>
      <c r="O845" s="2" t="inlineStr">
        <is>
          <t>СТАНДАРТНЫЙ ДВУХМЕСТНЫЙ НОМЕР</t>
        </is>
      </c>
      <c r="P845" s="6" t="n"/>
      <c r="R845" t="inlineStr"/>
      <c r="S845" t="inlineStr">
        <is>
          <t>Тариф с завтраком</t>
        </is>
      </c>
      <c r="T845" t="n">
        <v>0</v>
      </c>
      <c r="U845" t="n">
        <v>48634.3</v>
      </c>
    </row>
    <row r="846">
      <c r="A846" t="inlineStr">
        <is>
          <t>20260711-8186-430006493</t>
        </is>
      </c>
      <c r="B846" t="n">
        <v>1</v>
      </c>
      <c r="C846" s="2" t="inlineStr">
        <is>
          <t>Сергей Денисов, Юлия Денисова</t>
        </is>
      </c>
      <c r="D846" s="3" t="n">
        <v>56737.5</v>
      </c>
      <c r="E846" s="4" t="n">
        <v>0</v>
      </c>
      <c r="F846" t="inlineStr">
        <is>
          <t>ООО "АЛЕАН ОТДЫХ" [Чайковский]</t>
        </is>
      </c>
      <c r="G846" s="3">
        <f>ROUND(D846/(100-E846)*100,2)</f>
        <v/>
      </c>
      <c r="H846" s="5" t="n">
        <v>46214.58333333334</v>
      </c>
      <c r="I846" t="n">
        <v>5</v>
      </c>
      <c r="J846" s="3">
        <f>G846/I846</f>
        <v/>
      </c>
      <c r="K846">
        <f>IF(J846&gt;=5100,"ставка","мин.ставка")</f>
        <v/>
      </c>
      <c r="L846" s="3">
        <f>ROUND(IF(K846="мин.ставка",I846*100,G846/102*2),2)</f>
        <v/>
      </c>
      <c r="M846" s="5" t="n">
        <v>46219.58333333334</v>
      </c>
      <c r="N846" t="inlineStr">
        <is>
          <t>TravelLine ALN</t>
        </is>
      </c>
      <c r="O846" s="2" t="inlineStr">
        <is>
          <t>СТАНДАРТНЫЙ ДВУХМЕСТНЫЙ НОМЕР</t>
        </is>
      </c>
      <c r="P846" s="6" t="n"/>
      <c r="R846" t="inlineStr"/>
      <c r="S846" t="inlineStr">
        <is>
          <t>Тариф с завтраком</t>
        </is>
      </c>
      <c r="T846" t="n">
        <v>9175</v>
      </c>
      <c r="U846" t="n">
        <v>65912.5</v>
      </c>
    </row>
    <row r="847">
      <c r="A847" t="inlineStr">
        <is>
          <t>20260922-8186-464618227</t>
        </is>
      </c>
      <c r="B847" t="n">
        <v>1</v>
      </c>
      <c r="C847" s="2" t="inlineStr">
        <is>
          <t>Сергей Иванов, Юлия Иванова</t>
        </is>
      </c>
      <c r="D847" s="3" t="n">
        <v>20025</v>
      </c>
      <c r="E847" s="4" t="n">
        <v>18</v>
      </c>
      <c r="F847" t="inlineStr">
        <is>
          <t>Яндекс.Путешествия [Чайковский]</t>
        </is>
      </c>
      <c r="G847" s="3">
        <f>ROUND(D847/(100-E847)*100,2)</f>
        <v/>
      </c>
      <c r="H847" s="5" t="n">
        <v>46287.58333333334</v>
      </c>
      <c r="I847" t="n">
        <v>2</v>
      </c>
      <c r="J847" s="3">
        <f>G847/I847</f>
        <v/>
      </c>
      <c r="K847">
        <f>IF(J847&gt;=5100,"ставка","мин.ставка")</f>
        <v/>
      </c>
      <c r="L847" s="3">
        <f>ROUND(IF(K847="мин.ставка",I847*100,G847/102*2),2)</f>
        <v/>
      </c>
      <c r="M847" s="5" t="n">
        <v>46289.5</v>
      </c>
      <c r="N847" t="inlineStr">
        <is>
          <t>TravelLine YAX</t>
        </is>
      </c>
      <c r="O847" s="2" t="inlineStr">
        <is>
          <t>СТАНДАРТНЫЙ ДВУХМЕСТНЫЙ НОМЕР</t>
        </is>
      </c>
      <c r="P847" s="6" t="n"/>
      <c r="R847" t="inlineStr"/>
      <c r="S847" t="inlineStr">
        <is>
          <t>Тариф с завтраком</t>
        </is>
      </c>
      <c r="T847" t="n">
        <v>0</v>
      </c>
      <c r="U847" t="n">
        <v>20025</v>
      </c>
    </row>
    <row r="848">
      <c r="A848" t="inlineStr">
        <is>
          <t>20260720-8186-450544842</t>
        </is>
      </c>
      <c r="B848" t="n">
        <v>1</v>
      </c>
      <c r="C848" s="2" t="inlineStr">
        <is>
          <t>СЕРГЕЙ КИРИЛИХИН</t>
        </is>
      </c>
      <c r="D848" s="3" t="n">
        <v>11390</v>
      </c>
      <c r="E848" s="4" t="n">
        <v>15</v>
      </c>
      <c r="F848" t="inlineStr">
        <is>
          <t>ООО "БРОНИРОВАНИЕ ГОСТИНИЦ" (OSTROVOK) [Чайковский]</t>
        </is>
      </c>
      <c r="G848" s="3">
        <f>ROUND(D848/(100-E848)*100,2)</f>
        <v/>
      </c>
      <c r="H848" s="5" t="n">
        <v>46223.58333333334</v>
      </c>
      <c r="I848" t="n">
        <v>1</v>
      </c>
      <c r="J848" s="3">
        <f>G848/I848</f>
        <v/>
      </c>
      <c r="K848">
        <f>IF(J848&gt;=5100,"ставка","мин.ставка")</f>
        <v/>
      </c>
      <c r="L848" s="3">
        <f>ROUND(IF(K848="мин.ставка",I848*100,G848/102*2),2)</f>
        <v/>
      </c>
      <c r="M848" s="5" t="n">
        <v>46224.5</v>
      </c>
      <c r="N848" t="inlineStr">
        <is>
          <t>TravelLine OTK</t>
        </is>
      </c>
      <c r="O848" s="2" t="inlineStr">
        <is>
          <t>УЛУЧШЕННЫЙ ДВУХМЕСТНЫЙ НОМЕР</t>
        </is>
      </c>
      <c r="P848" s="6" t="n"/>
      <c r="R848" t="inlineStr"/>
      <c r="S848" t="inlineStr">
        <is>
          <t>Тариф с завтраком</t>
        </is>
      </c>
      <c r="T848" t="n">
        <v>0</v>
      </c>
      <c r="U848" t="n">
        <v>11390</v>
      </c>
    </row>
    <row r="849">
      <c r="A849" t="inlineStr">
        <is>
          <t>20260809-8186-457090858</t>
        </is>
      </c>
      <c r="B849" t="n">
        <v>1</v>
      </c>
      <c r="C849" s="2" t="inlineStr">
        <is>
          <t>СЕРГЕЙ КОРЧИН</t>
        </is>
      </c>
      <c r="D849" s="3" t="n">
        <v>12450</v>
      </c>
      <c r="E849" s="4" t="n">
        <v>0</v>
      </c>
      <c r="F849" t="inlineStr">
        <is>
          <t>Прямые бронирования (стойка) [Чайковский]</t>
        </is>
      </c>
      <c r="G849" s="3">
        <f>ROUND(D849/(100-E849)*100,2)</f>
        <v/>
      </c>
      <c r="H849" s="5" t="n">
        <v>46243.58333333334</v>
      </c>
      <c r="I849" t="n">
        <v>1</v>
      </c>
      <c r="J849" s="3">
        <f>G849/I849</f>
        <v/>
      </c>
      <c r="K849">
        <f>IF(J849&gt;=5100,"ставка","мин.ставка")</f>
        <v/>
      </c>
      <c r="L849" s="3">
        <f>ROUND(IF(K849="мин.ставка",I849*100,G849/102*2),2)</f>
        <v/>
      </c>
      <c r="M849" s="5" t="n">
        <v>46244.5</v>
      </c>
      <c r="N849" t="inlineStr">
        <is>
          <t>TravelLine ресепшн</t>
        </is>
      </c>
      <c r="O849" s="2" t="inlineStr">
        <is>
          <t>СЕМЕЙНЫЙ НОМЕР КАТЕГОРИИ "СТАНДАРТ" ВТОРОЙ КОРПУС</t>
        </is>
      </c>
      <c r="P849" s="6" t="n"/>
      <c r="R849" t="inlineStr"/>
      <c r="S849" t="inlineStr">
        <is>
          <t>Тариф с завтраком</t>
        </is>
      </c>
      <c r="T849" t="n">
        <v>0</v>
      </c>
      <c r="U849" t="n">
        <v>12450</v>
      </c>
    </row>
    <row r="850">
      <c r="A850" t="inlineStr">
        <is>
          <t>20260810-8186-457337413</t>
        </is>
      </c>
      <c r="B850" t="n">
        <v>1</v>
      </c>
      <c r="C850" s="2" t="inlineStr">
        <is>
          <t>СЕРГЕЙ КОРЧИН</t>
        </is>
      </c>
      <c r="D850" s="3" t="n">
        <v>6930</v>
      </c>
      <c r="E850" s="4" t="n">
        <v>0</v>
      </c>
      <c r="F850" t="inlineStr">
        <is>
          <t>Прямые бронирования (стойка) [Чайковский]</t>
        </is>
      </c>
      <c r="G850" s="3">
        <f>ROUND(D850/(100-E850)*100,2)</f>
        <v/>
      </c>
      <c r="H850" s="5" t="n">
        <v>46244.58333333334</v>
      </c>
      <c r="I850" t="n">
        <v>1</v>
      </c>
      <c r="J850" s="3">
        <f>G850/I850</f>
        <v/>
      </c>
      <c r="K850">
        <f>IF(J850&gt;=5100,"ставка","мин.ставка")</f>
        <v/>
      </c>
      <c r="L850" s="3">
        <f>ROUND(IF(K850="мин.ставка",I850*100,G850/102*2),2)</f>
        <v/>
      </c>
      <c r="M850" s="5" t="n">
        <v>46245.5</v>
      </c>
      <c r="N850" t="inlineStr">
        <is>
          <t>TravelLine ресепшн</t>
        </is>
      </c>
      <c r="O850" s="2" t="inlineStr">
        <is>
          <t>СТАНДАРТНЫЙ ОДНОМЕСТНЫЙ НОМЕР</t>
        </is>
      </c>
      <c r="P850" s="6" t="n"/>
      <c r="R850" t="inlineStr"/>
      <c r="S850" t="inlineStr">
        <is>
          <t>Тариф с завтраком</t>
        </is>
      </c>
      <c r="T850" t="n">
        <v>0</v>
      </c>
      <c r="U850" t="n">
        <v>6930</v>
      </c>
    </row>
    <row r="851">
      <c r="A851" t="inlineStr">
        <is>
          <t>20260801-8186-454949220</t>
        </is>
      </c>
      <c r="B851" t="n">
        <v>1</v>
      </c>
      <c r="C851" s="2" t="inlineStr">
        <is>
          <t>СЕРГЕЙ КОРЧИН</t>
        </is>
      </c>
      <c r="D851" s="3" t="n">
        <v>26180</v>
      </c>
      <c r="E851" s="4" t="n">
        <v>16</v>
      </c>
      <c r="F851" t="inlineStr">
        <is>
          <t>ООО "БРОНИРОВАНИЕ ГОСТИНИЦ" (OSTROVOK) [Чайковский]</t>
        </is>
      </c>
      <c r="G851" s="3">
        <f>ROUND(D851/(100-E851)*100,2)</f>
        <v/>
      </c>
      <c r="H851" s="5" t="n">
        <v>46235.58333333334</v>
      </c>
      <c r="I851" t="n">
        <v>4</v>
      </c>
      <c r="J851" s="3">
        <f>G851/I851</f>
        <v/>
      </c>
      <c r="K851">
        <f>IF(J851&gt;=5100,"ставка","мин.ставка")</f>
        <v/>
      </c>
      <c r="L851" s="3">
        <f>ROUND(IF(K851="мин.ставка",I851*100,G851/102*2),2)</f>
        <v/>
      </c>
      <c r="M851" s="5" t="n">
        <v>46239.5</v>
      </c>
      <c r="N851" t="inlineStr">
        <is>
          <t>TravelLine OTK</t>
        </is>
      </c>
      <c r="O851" s="2" t="inlineStr">
        <is>
          <t>СТАНДАРТНЫЙ ОДНОМЕСТНЫЙ НОМЕР</t>
        </is>
      </c>
      <c r="P851" s="6" t="n"/>
      <c r="R851" t="inlineStr"/>
      <c r="S851" t="inlineStr">
        <is>
          <t>Тариф с завтраком</t>
        </is>
      </c>
      <c r="T851" t="n">
        <v>0</v>
      </c>
      <c r="U851" t="n">
        <v>26180</v>
      </c>
    </row>
    <row r="852">
      <c r="A852" t="inlineStr">
        <is>
          <t>20260807-8186-456681097</t>
        </is>
      </c>
      <c r="B852" t="n">
        <v>1</v>
      </c>
      <c r="C852" s="2" t="inlineStr">
        <is>
          <t>СЕРГЕЙ КОРЧИН</t>
        </is>
      </c>
      <c r="D852" s="3" t="n">
        <v>20916</v>
      </c>
      <c r="E852" s="4" t="n">
        <v>16</v>
      </c>
      <c r="F852" t="inlineStr">
        <is>
          <t>ООО "БРОНИРОВАНИЕ ГОСТИНИЦ" (OSTROVOK) [Чайковский]</t>
        </is>
      </c>
      <c r="G852" s="3">
        <f>ROUND(D852/(100-E852)*100,2)</f>
        <v/>
      </c>
      <c r="H852" s="5" t="n">
        <v>46241.58333333334</v>
      </c>
      <c r="I852" t="n">
        <v>2</v>
      </c>
      <c r="J852" s="3">
        <f>G852/I852</f>
        <v/>
      </c>
      <c r="K852">
        <f>IF(J852&gt;=5100,"ставка","мин.ставка")</f>
        <v/>
      </c>
      <c r="L852" s="3">
        <f>ROUND(IF(K852="мин.ставка",I852*100,G852/102*2),2)</f>
        <v/>
      </c>
      <c r="M852" s="5" t="n">
        <v>46243.5</v>
      </c>
      <c r="N852" t="inlineStr">
        <is>
          <t>TravelLine OTK</t>
        </is>
      </c>
      <c r="O852" s="2" t="inlineStr">
        <is>
          <t>СЕМЕЙНЫЙ НОМЕР КАТЕГОРИИ "СТАНДАРТ" ВТОРОЙ КОРПУС</t>
        </is>
      </c>
      <c r="P852" s="6" t="n"/>
      <c r="R852" t="inlineStr"/>
      <c r="S852" t="inlineStr">
        <is>
          <t>Тариф с завтраком</t>
        </is>
      </c>
      <c r="T852" t="n">
        <v>200</v>
      </c>
      <c r="U852" t="n">
        <v>21116</v>
      </c>
    </row>
    <row r="853">
      <c r="A853" t="inlineStr">
        <is>
          <t>20260914-8186-463962780</t>
        </is>
      </c>
      <c r="B853" t="n">
        <v>1</v>
      </c>
      <c r="C853" s="2" t="inlineStr">
        <is>
          <t>Сергей Котов, Елена Котова</t>
        </is>
      </c>
      <c r="D853" s="3" t="n">
        <v>28050</v>
      </c>
      <c r="E853" s="4" t="n">
        <v>15</v>
      </c>
      <c r="F853" t="inlineStr">
        <is>
          <t>ООО Тинькофф Путешествия [Чайковский]</t>
        </is>
      </c>
      <c r="G853" s="3">
        <f>ROUND(D853/(100-E853)*100,2)</f>
        <v/>
      </c>
      <c r="H853" s="5" t="n">
        <v>46279.58333333334</v>
      </c>
      <c r="I853" t="n">
        <v>2</v>
      </c>
      <c r="J853" s="3">
        <f>G853/I853</f>
        <v/>
      </c>
      <c r="K853">
        <f>IF(J853&gt;=5100,"ставка","мин.ставка")</f>
        <v/>
      </c>
      <c r="L853" s="3">
        <f>ROUND(IF(K853="мин.ставка",I853*100,G853/102*2),2)</f>
        <v/>
      </c>
      <c r="M853" s="5" t="n">
        <v>46281.5</v>
      </c>
      <c r="N853" t="inlineStr">
        <is>
          <t>TravelLine TNK</t>
        </is>
      </c>
      <c r="O853" s="2" t="inlineStr">
        <is>
          <t>ПОЛУЛЮКС</t>
        </is>
      </c>
      <c r="P853" s="6" t="n"/>
      <c r="R853" t="inlineStr"/>
      <c r="S853" t="inlineStr">
        <is>
          <t>Тариф с завтраком</t>
        </is>
      </c>
      <c r="T853" t="n">
        <v>0</v>
      </c>
      <c r="U853" t="n">
        <v>28050</v>
      </c>
    </row>
    <row r="854">
      <c r="A854" t="inlineStr">
        <is>
          <t>20260912-8186-465616787</t>
        </is>
      </c>
      <c r="B854" t="n">
        <v>1</v>
      </c>
      <c r="C854" s="2" t="inlineStr">
        <is>
          <t>Сергей Краузе, Елена Мариевская</t>
        </is>
      </c>
      <c r="D854" s="3" t="n">
        <v>11214</v>
      </c>
      <c r="E854" s="4" t="n">
        <v>16</v>
      </c>
      <c r="F854" t="inlineStr">
        <is>
          <t>ООО "БРОНИРОВАНИЕ ГОСТИНИЦ" (OSTROVOK) [Чайковский]</t>
        </is>
      </c>
      <c r="G854" s="3">
        <f>ROUND(D854/(100-E854)*100,2)</f>
        <v/>
      </c>
      <c r="H854" s="5" t="n">
        <v>46277.58333333334</v>
      </c>
      <c r="I854" t="n">
        <v>1</v>
      </c>
      <c r="J854" s="3">
        <f>G854/I854</f>
        <v/>
      </c>
      <c r="K854">
        <f>IF(J854&gt;=5100,"ставка","мин.ставка")</f>
        <v/>
      </c>
      <c r="L854" s="3">
        <f>ROUND(IF(K854="мин.ставка",I854*100,G854/102*2),2)</f>
        <v/>
      </c>
      <c r="M854" s="5" t="n">
        <v>46278.5</v>
      </c>
      <c r="N854" t="inlineStr">
        <is>
          <t>TravelLine OTK</t>
        </is>
      </c>
      <c r="O854" s="2" t="inlineStr">
        <is>
          <t>СТАНДАРТНЫЙ ДВУХМЕСТНЫЙ НОМЕР</t>
        </is>
      </c>
      <c r="P854" s="6" t="n"/>
      <c r="R854" t="inlineStr"/>
      <c r="S854" t="inlineStr">
        <is>
          <t>Тариф с завтраком</t>
        </is>
      </c>
      <c r="T854" t="n">
        <v>0</v>
      </c>
      <c r="U854" t="n">
        <v>11214</v>
      </c>
    </row>
    <row r="855">
      <c r="A855" t="inlineStr">
        <is>
          <t>20260702-8186-447117619</t>
        </is>
      </c>
      <c r="B855" t="n">
        <v>1</v>
      </c>
      <c r="C855" s="2" t="inlineStr">
        <is>
          <t>сергей кривченко</t>
        </is>
      </c>
      <c r="D855" s="3" t="n">
        <v>12350</v>
      </c>
      <c r="E855" s="4" t="n">
        <v>0</v>
      </c>
      <c r="F855" t="inlineStr">
        <is>
          <t>Прямые бронирования (стойка) [Чайковский]</t>
        </is>
      </c>
      <c r="G855" s="3">
        <f>ROUND(D855/(100-E855)*100,2)</f>
        <v/>
      </c>
      <c r="H855" s="5" t="n">
        <v>46205.58333333334</v>
      </c>
      <c r="I855" t="n">
        <v>1</v>
      </c>
      <c r="J855" s="3">
        <f>G855/I855</f>
        <v/>
      </c>
      <c r="K855">
        <f>IF(J855&gt;=5100,"ставка","мин.ставка")</f>
        <v/>
      </c>
      <c r="L855" s="3">
        <f>ROUND(IF(K855="мин.ставка",I855*100,G855/102*2),2)</f>
        <v/>
      </c>
      <c r="M855" s="5" t="n">
        <v>46206.5</v>
      </c>
      <c r="N855" t="inlineStr">
        <is>
          <t>TravelLine ресепшн</t>
        </is>
      </c>
      <c r="O855" s="2" t="inlineStr">
        <is>
          <t>СЕМЕЙНЫЙ НОМЕР КАТЕГОРИИ "СТАНДАРТ" ВТОРОЙ КОРПУС</t>
        </is>
      </c>
      <c r="P855" s="6" t="n"/>
      <c r="R855" t="inlineStr"/>
      <c r="S855" t="inlineStr">
        <is>
          <t>Тариф с завтраком</t>
        </is>
      </c>
      <c r="T855" t="n">
        <v>0</v>
      </c>
      <c r="U855" t="n">
        <v>12350</v>
      </c>
    </row>
    <row r="856">
      <c r="A856" t="inlineStr">
        <is>
          <t>20260708-8186-448685660</t>
        </is>
      </c>
      <c r="B856" t="n">
        <v>1</v>
      </c>
      <c r="C856" s="2" t="inlineStr">
        <is>
          <t>сергей кривченко</t>
        </is>
      </c>
      <c r="D856" s="3" t="n">
        <v>17800</v>
      </c>
      <c r="E856" s="4" t="n">
        <v>0</v>
      </c>
      <c r="F856" t="inlineStr">
        <is>
          <t>Прямые бронирования (стойка) [Чайковский]</t>
        </is>
      </c>
      <c r="G856" s="3">
        <f>ROUND(D856/(100-E856)*100,2)</f>
        <v/>
      </c>
      <c r="H856" s="5" t="n">
        <v>46211.58333333334</v>
      </c>
      <c r="I856" t="n">
        <v>1</v>
      </c>
      <c r="J856" s="3">
        <f>G856/I856</f>
        <v/>
      </c>
      <c r="K856">
        <f>IF(J856&gt;=5100,"ставка","мин.ставка")</f>
        <v/>
      </c>
      <c r="L856" s="3">
        <f>ROUND(IF(K856="мин.ставка",I856*100,G856/102*2),2)</f>
        <v/>
      </c>
      <c r="M856" s="5" t="n">
        <v>46212.5</v>
      </c>
      <c r="N856" t="inlineStr">
        <is>
          <t>TravelLine ресепшн</t>
        </is>
      </c>
      <c r="O856" s="2" t="inlineStr">
        <is>
          <t>ЛЮКС ВТОРОЙ КОРПУС</t>
        </is>
      </c>
      <c r="P856" s="6" t="n"/>
      <c r="R856" t="inlineStr"/>
      <c r="S856" t="inlineStr">
        <is>
          <t>Тариф с завтраком</t>
        </is>
      </c>
      <c r="T856" t="n">
        <v>0</v>
      </c>
      <c r="U856" t="n">
        <v>17800</v>
      </c>
    </row>
    <row r="857">
      <c r="A857" t="inlineStr">
        <is>
          <t>20260806-8186-456464200</t>
        </is>
      </c>
      <c r="B857" t="n">
        <v>1</v>
      </c>
      <c r="C857" s="2" t="inlineStr">
        <is>
          <t>сергей кривченко</t>
        </is>
      </c>
      <c r="D857" s="3" t="n">
        <v>16020</v>
      </c>
      <c r="E857" s="4" t="n">
        <v>0</v>
      </c>
      <c r="F857" t="inlineStr">
        <is>
          <t>Прямые бронирования (стойка) [Чайковский]</t>
        </is>
      </c>
      <c r="G857" s="3">
        <f>ROUND(D857/(100-E857)*100,2)</f>
        <v/>
      </c>
      <c r="H857" s="5" t="n">
        <v>46240.58333333334</v>
      </c>
      <c r="I857" t="n">
        <v>1</v>
      </c>
      <c r="J857" s="3">
        <f>G857/I857</f>
        <v/>
      </c>
      <c r="K857">
        <f>IF(J857&gt;=5100,"ставка","мин.ставка")</f>
        <v/>
      </c>
      <c r="L857" s="3">
        <f>ROUND(IF(K857="мин.ставка",I857*100,G857/102*2),2)</f>
        <v/>
      </c>
      <c r="M857" s="5" t="n">
        <v>46241.5</v>
      </c>
      <c r="N857" t="inlineStr">
        <is>
          <t>TravelLine ресепшн</t>
        </is>
      </c>
      <c r="O857" s="2" t="inlineStr">
        <is>
          <t>ЛЮКС ВТОРОЙ КОРПУС</t>
        </is>
      </c>
      <c r="P857" s="6" t="n"/>
      <c r="R857" t="inlineStr"/>
      <c r="S857" t="inlineStr">
        <is>
          <t>Тариф с завтраком</t>
        </is>
      </c>
      <c r="T857" t="n">
        <v>0</v>
      </c>
      <c r="U857" t="n">
        <v>16020</v>
      </c>
    </row>
    <row r="858">
      <c r="A858" t="inlineStr">
        <is>
          <t>20260710-8186-449225976</t>
        </is>
      </c>
      <c r="B858" t="n">
        <v>1</v>
      </c>
      <c r="C858" s="2" t="inlineStr">
        <is>
          <t>сергей кривченко</t>
        </is>
      </c>
      <c r="D858" s="3" t="n">
        <v>9315</v>
      </c>
      <c r="E858" s="4" t="n">
        <v>0</v>
      </c>
      <c r="F858" t="inlineStr">
        <is>
          <t>Прямые бронирования (стойка) [Чайковский]</t>
        </is>
      </c>
      <c r="G858" s="3">
        <f>ROUND(D858/(100-E858)*100,2)</f>
        <v/>
      </c>
      <c r="H858" s="5" t="n">
        <v>46213.58333333334</v>
      </c>
      <c r="I858" t="n">
        <v>1</v>
      </c>
      <c r="J858" s="3">
        <f>G858/I858</f>
        <v/>
      </c>
      <c r="K858">
        <f>IF(J858&gt;=5100,"ставка","мин.ставка")</f>
        <v/>
      </c>
      <c r="L858" s="3">
        <f>ROUND(IF(K858="мин.ставка",I858*100,G858/102*2),2)</f>
        <v/>
      </c>
      <c r="M858" s="5" t="n">
        <v>46214.5</v>
      </c>
      <c r="N858" t="inlineStr">
        <is>
          <t>TravelLine ресепшн</t>
        </is>
      </c>
      <c r="O858" s="2" t="inlineStr">
        <is>
          <t>СТАНДАРТНЫЙ ДВУХМЕСТНЫЙ НОМЕР</t>
        </is>
      </c>
      <c r="P858" s="6" t="n"/>
      <c r="R858" t="inlineStr"/>
      <c r="S858" t="inlineStr">
        <is>
          <t>Тариф с завтраком</t>
        </is>
      </c>
      <c r="T858" t="n">
        <v>0</v>
      </c>
      <c r="U858" t="n">
        <v>9315</v>
      </c>
    </row>
    <row r="859">
      <c r="A859" t="inlineStr">
        <is>
          <t>20260730-8186-454570903</t>
        </is>
      </c>
      <c r="B859" t="n">
        <v>1</v>
      </c>
      <c r="C859" s="2" t="inlineStr">
        <is>
          <t>сергей кривченко</t>
        </is>
      </c>
      <c r="D859" s="3" t="n">
        <v>12015</v>
      </c>
      <c r="E859" s="4" t="n">
        <v>0</v>
      </c>
      <c r="F859" t="inlineStr">
        <is>
          <t>Прямые бронирования (стойка) [Чайковский]</t>
        </is>
      </c>
      <c r="G859" s="3">
        <f>ROUND(D859/(100-E859)*100,2)</f>
        <v/>
      </c>
      <c r="H859" s="5" t="n">
        <v>46233.58333333334</v>
      </c>
      <c r="I859" t="n">
        <v>1</v>
      </c>
      <c r="J859" s="3">
        <f>G859/I859</f>
        <v/>
      </c>
      <c r="K859">
        <f>IF(J859&gt;=5100,"ставка","мин.ставка")</f>
        <v/>
      </c>
      <c r="L859" s="3">
        <f>ROUND(IF(K859="мин.ставка",I859*100,G859/102*2),2)</f>
        <v/>
      </c>
      <c r="M859" s="5" t="n">
        <v>46234.5</v>
      </c>
      <c r="N859" t="inlineStr">
        <is>
          <t>TravelLine ресепшн</t>
        </is>
      </c>
      <c r="O859" s="2" t="inlineStr">
        <is>
          <t>СТАНДАРТНЫЙ ДВУХМЕСТНЫЙ НОМЕР</t>
        </is>
      </c>
      <c r="P859" s="6" t="n"/>
      <c r="R859" t="inlineStr"/>
      <c r="S859" t="inlineStr">
        <is>
          <t>Тариф с завтраком</t>
        </is>
      </c>
      <c r="T859" t="n">
        <v>0</v>
      </c>
      <c r="U859" t="n">
        <v>12015</v>
      </c>
    </row>
    <row r="860">
      <c r="A860" t="inlineStr">
        <is>
          <t>20260801-8186-455105013</t>
        </is>
      </c>
      <c r="B860" t="n">
        <v>1</v>
      </c>
      <c r="C860" s="2" t="inlineStr">
        <is>
          <t>сергей кривченко</t>
        </is>
      </c>
      <c r="D860" s="3" t="n">
        <v>12015</v>
      </c>
      <c r="E860" s="4" t="n">
        <v>0</v>
      </c>
      <c r="F860" t="inlineStr">
        <is>
          <t>Прямые бронирования (стойка) [Чайковский]</t>
        </is>
      </c>
      <c r="G860" s="3">
        <f>ROUND(D860/(100-E860)*100,2)</f>
        <v/>
      </c>
      <c r="H860" s="5" t="n">
        <v>46235.58333333334</v>
      </c>
      <c r="I860" t="n">
        <v>1</v>
      </c>
      <c r="J860" s="3">
        <f>G860/I860</f>
        <v/>
      </c>
      <c r="K860">
        <f>IF(J860&gt;=5100,"ставка","мин.ставка")</f>
        <v/>
      </c>
      <c r="L860" s="3">
        <f>ROUND(IF(K860="мин.ставка",I860*100,G860/102*2),2)</f>
        <v/>
      </c>
      <c r="M860" s="5" t="n">
        <v>46236.5</v>
      </c>
      <c r="N860" t="inlineStr">
        <is>
          <t>TravelLine ресепшн</t>
        </is>
      </c>
      <c r="O860" s="2" t="inlineStr">
        <is>
          <t>СТАНДАРТНЫЙ ДВУХМЕСТНЫЙ НОМЕР</t>
        </is>
      </c>
      <c r="P860" s="6" t="n"/>
      <c r="R860" t="inlineStr"/>
      <c r="S860" t="inlineStr">
        <is>
          <t>Тариф с завтраком</t>
        </is>
      </c>
      <c r="T860" t="n">
        <v>0</v>
      </c>
      <c r="U860" t="n">
        <v>12015</v>
      </c>
    </row>
    <row r="861">
      <c r="A861" t="inlineStr">
        <is>
          <t>20260808-8186-457018634</t>
        </is>
      </c>
      <c r="B861" t="n">
        <v>1</v>
      </c>
      <c r="C861" s="2" t="inlineStr">
        <is>
          <t>сергей кривченко</t>
        </is>
      </c>
      <c r="D861" s="3" t="n">
        <v>14850</v>
      </c>
      <c r="E861" s="4" t="n">
        <v>0</v>
      </c>
      <c r="F861" t="inlineStr">
        <is>
          <t>Прямые бронирования (стойка) [Чайковский]</t>
        </is>
      </c>
      <c r="G861" s="3">
        <f>ROUND(D861/(100-E861)*100,2)</f>
        <v/>
      </c>
      <c r="H861" s="5" t="n">
        <v>46242.58333333334</v>
      </c>
      <c r="I861" t="n">
        <v>1</v>
      </c>
      <c r="J861" s="3">
        <f>G861/I861</f>
        <v/>
      </c>
      <c r="K861">
        <f>IF(J861&gt;=5100,"ставка","мин.ставка")</f>
        <v/>
      </c>
      <c r="L861" s="3">
        <f>ROUND(IF(K861="мин.ставка",I861*100,G861/102*2),2)</f>
        <v/>
      </c>
      <c r="M861" s="5" t="n">
        <v>46243.5</v>
      </c>
      <c r="N861" t="inlineStr">
        <is>
          <t>TravelLine ресепшн</t>
        </is>
      </c>
      <c r="O861" s="2" t="inlineStr">
        <is>
          <t>ПОЛУЛЮКС</t>
        </is>
      </c>
      <c r="P861" s="6" t="n"/>
      <c r="R861" t="inlineStr"/>
      <c r="S861" t="inlineStr">
        <is>
          <t>Тариф с завтраком</t>
        </is>
      </c>
      <c r="T861" t="n">
        <v>0</v>
      </c>
      <c r="U861" t="n">
        <v>14850</v>
      </c>
    </row>
    <row r="862">
      <c r="A862" t="inlineStr">
        <is>
          <t>20260814-8186-458697730</t>
        </is>
      </c>
      <c r="B862" t="n">
        <v>1</v>
      </c>
      <c r="C862" s="2" t="inlineStr">
        <is>
          <t>сергей кривченко</t>
        </is>
      </c>
      <c r="D862" s="3" t="n">
        <v>12015</v>
      </c>
      <c r="E862" s="4" t="n">
        <v>0</v>
      </c>
      <c r="F862" t="inlineStr">
        <is>
          <t>Прямые бронирования (стойка) [Чайковский]</t>
        </is>
      </c>
      <c r="G862" s="3">
        <f>ROUND(D862/(100-E862)*100,2)</f>
        <v/>
      </c>
      <c r="H862" s="5" t="n">
        <v>46248.58333333334</v>
      </c>
      <c r="I862" t="n">
        <v>1</v>
      </c>
      <c r="J862" s="3">
        <f>G862/I862</f>
        <v/>
      </c>
      <c r="K862">
        <f>IF(J862&gt;=5100,"ставка","мин.ставка")</f>
        <v/>
      </c>
      <c r="L862" s="3">
        <f>ROUND(IF(K862="мин.ставка",I862*100,G862/102*2),2)</f>
        <v/>
      </c>
      <c r="M862" s="5" t="n">
        <v>46249.5</v>
      </c>
      <c r="N862" t="inlineStr">
        <is>
          <t>TravelLine ресепшн</t>
        </is>
      </c>
      <c r="O862" s="2" t="inlineStr">
        <is>
          <t>СТАНДАРТНЫЙ ДВУХМЕСТНЫЙ НОМЕР</t>
        </is>
      </c>
      <c r="P862" s="6" t="n"/>
      <c r="R862" t="inlineStr"/>
      <c r="S862" t="inlineStr">
        <is>
          <t>Тариф с завтраком</t>
        </is>
      </c>
      <c r="T862" t="n">
        <v>0</v>
      </c>
      <c r="U862" t="n">
        <v>12015</v>
      </c>
    </row>
    <row r="863">
      <c r="A863" t="inlineStr">
        <is>
          <t>20260810-8186-457508617</t>
        </is>
      </c>
      <c r="B863" t="n">
        <v>1</v>
      </c>
      <c r="C863" s="2" t="inlineStr">
        <is>
          <t>СЕРГЕЙ КУЛИКОВ</t>
        </is>
      </c>
      <c r="D863" s="3" t="n">
        <v>9996</v>
      </c>
      <c r="E863" s="4" t="n">
        <v>16</v>
      </c>
      <c r="F863" t="inlineStr">
        <is>
          <t>ООО "БРОНИРОВАНИЕ ГОСТИНИЦ" (OSTROVOK) [Чайковский]</t>
        </is>
      </c>
      <c r="G863" s="3">
        <f>ROUND(D863/(100-E863)*100,2)</f>
        <v/>
      </c>
      <c r="H863" s="5" t="n">
        <v>46244.58333333334</v>
      </c>
      <c r="I863" t="n">
        <v>1</v>
      </c>
      <c r="J863" s="3">
        <f>G863/I863</f>
        <v/>
      </c>
      <c r="K863">
        <f>IF(J863&gt;=5100,"ставка","мин.ставка")</f>
        <v/>
      </c>
      <c r="L863" s="3">
        <f>ROUND(IF(K863="мин.ставка",I863*100,G863/102*2),2)</f>
        <v/>
      </c>
      <c r="M863" s="5" t="n">
        <v>46245.5</v>
      </c>
      <c r="N863" t="inlineStr">
        <is>
          <t>TravelLine OTK</t>
        </is>
      </c>
      <c r="O863" s="2" t="inlineStr">
        <is>
          <t>УЛУЧШЕННЫЙ ДВУХМЕСТНЫЙ НОМЕР</t>
        </is>
      </c>
      <c r="P863" s="6" t="n"/>
      <c r="R863" t="inlineStr"/>
      <c r="S863" t="inlineStr">
        <is>
          <t>Основной тариф без завтрака</t>
        </is>
      </c>
      <c r="T863" t="n">
        <v>0</v>
      </c>
      <c r="U863" t="n">
        <v>9996</v>
      </c>
    </row>
    <row r="864">
      <c r="A864" t="inlineStr">
        <is>
          <t>20260901-8186-421882419</t>
        </is>
      </c>
      <c r="B864" t="n">
        <v>1</v>
      </c>
      <c r="C864" s="2" t="inlineStr">
        <is>
          <t>СЕРГЕЙ ЛОГИНОВ, АЛИСА ЛОГИНОВА</t>
        </is>
      </c>
      <c r="D864" s="3" t="n">
        <v>45390</v>
      </c>
      <c r="E864" s="4" t="n">
        <v>0</v>
      </c>
      <c r="F864" t="inlineStr">
        <is>
          <t>ООО "АЛЕАН ОТДЫХ" [Чайковский]</t>
        </is>
      </c>
      <c r="G864" s="3">
        <f>ROUND(D864/(100-E864)*100,2)</f>
        <v/>
      </c>
      <c r="H864" s="5" t="n">
        <v>46266.58333333334</v>
      </c>
      <c r="I864" t="n">
        <v>4</v>
      </c>
      <c r="J864" s="3">
        <f>G864/I864</f>
        <v/>
      </c>
      <c r="K864">
        <f>IF(J864&gt;=5100,"ставка","мин.ставка")</f>
        <v/>
      </c>
      <c r="L864" s="3">
        <f>ROUND(IF(K864="мин.ставка",I864*100,G864/102*2),2)</f>
        <v/>
      </c>
      <c r="M864" s="5" t="n">
        <v>46270.5</v>
      </c>
      <c r="N864" t="inlineStr">
        <is>
          <t>TravelLine ALN</t>
        </is>
      </c>
      <c r="O864" s="2" t="inlineStr">
        <is>
          <t>СТАНДАРТНЫЙ ДВУХМЕСТНЫЙ НОМЕР</t>
        </is>
      </c>
      <c r="P864" s="6" t="n"/>
      <c r="R864" t="inlineStr"/>
      <c r="S864" t="inlineStr">
        <is>
          <t>Тариф с завтраком</t>
        </is>
      </c>
      <c r="T864" t="n">
        <v>0</v>
      </c>
      <c r="U864" t="n">
        <v>45390</v>
      </c>
    </row>
    <row r="865">
      <c r="A865" t="inlineStr">
        <is>
          <t>20260830-8186-456795871</t>
        </is>
      </c>
      <c r="B865" t="n">
        <v>1</v>
      </c>
      <c r="C865" s="2" t="inlineStr">
        <is>
          <t>СЕРГЕЙ МАКАРОВ, Юлина Макарова</t>
        </is>
      </c>
      <c r="D865" s="3" t="n">
        <v>12015</v>
      </c>
      <c r="E865" s="4" t="n">
        <v>0</v>
      </c>
      <c r="F865" t="inlineStr">
        <is>
          <t>Прямые бронирования (стойка) [Чайковский]</t>
        </is>
      </c>
      <c r="G865" s="3">
        <f>ROUND(D865/(100-E865)*100,2)</f>
        <v/>
      </c>
      <c r="H865" s="5" t="n">
        <v>46264.58333333334</v>
      </c>
      <c r="I865" t="n">
        <v>1</v>
      </c>
      <c r="J865" s="3">
        <f>G865/I865</f>
        <v/>
      </c>
      <c r="K865">
        <f>IF(J865&gt;=5100,"ставка","мин.ставка")</f>
        <v/>
      </c>
      <c r="L865" s="3">
        <f>ROUND(IF(K865="мин.ставка",I865*100,G865/102*2),2)</f>
        <v/>
      </c>
      <c r="M865" s="5" t="n">
        <v>46265.5</v>
      </c>
      <c r="N865" t="inlineStr">
        <is>
          <t>TravelLine ресепшн</t>
        </is>
      </c>
      <c r="O865" s="2" t="inlineStr">
        <is>
          <t>СТАНДАРТНЫЙ ДВУХМЕСТНЫЙ НОМЕР</t>
        </is>
      </c>
      <c r="P865" s="6" t="n"/>
      <c r="R865" t="inlineStr"/>
      <c r="S865" t="inlineStr">
        <is>
          <t>Тариф с завтраком</t>
        </is>
      </c>
      <c r="T865" t="n">
        <v>0</v>
      </c>
      <c r="U865" t="n">
        <v>12015</v>
      </c>
    </row>
    <row r="866">
      <c r="A866" t="inlineStr">
        <is>
          <t>20260727-8186-449971712</t>
        </is>
      </c>
      <c r="B866" t="n">
        <v>1</v>
      </c>
      <c r="C866" s="2" t="inlineStr">
        <is>
          <t>Сергей Маловичко, Елена Зорина</t>
        </is>
      </c>
      <c r="D866" s="3" t="n">
        <v>40560</v>
      </c>
      <c r="E866" s="4" t="n">
        <v>18</v>
      </c>
      <c r="F866" t="inlineStr">
        <is>
          <t>Яндекс.Путешествия [Чайковский]</t>
        </is>
      </c>
      <c r="G866" s="3">
        <f>ROUND(D866/(100-E866)*100,2)</f>
        <v/>
      </c>
      <c r="H866" s="5" t="n">
        <v>46230.58333333334</v>
      </c>
      <c r="I866" t="n">
        <v>4</v>
      </c>
      <c r="J866" s="3">
        <f>G866/I866</f>
        <v/>
      </c>
      <c r="K866">
        <f>IF(J866&gt;=5100,"ставка","мин.ставка")</f>
        <v/>
      </c>
      <c r="L866" s="3">
        <f>ROUND(IF(K866="мин.ставка",I866*100,G866/102*2),2)</f>
        <v/>
      </c>
      <c r="M866" s="5" t="n">
        <v>46234.5</v>
      </c>
      <c r="N866" t="inlineStr">
        <is>
          <t>TravelLine YAX</t>
        </is>
      </c>
      <c r="O866" s="2" t="inlineStr">
        <is>
          <t>СЕМЕЙНЫЙ НОМЕР КАТЕГОРИИ "СТАНДАРТ" ВТОРОЙ КОРПУС</t>
        </is>
      </c>
      <c r="P866" s="6" t="n"/>
      <c r="R866" t="inlineStr"/>
      <c r="S866" t="inlineStr">
        <is>
          <t>Тариф с завтраком</t>
        </is>
      </c>
      <c r="T866" t="n">
        <v>0</v>
      </c>
      <c r="U866" t="n">
        <v>40560</v>
      </c>
    </row>
    <row r="867">
      <c r="A867" t="inlineStr">
        <is>
          <t>20260721-8186-426049066</t>
        </is>
      </c>
      <c r="B867" t="n">
        <v>1</v>
      </c>
      <c r="C867" s="2" t="inlineStr">
        <is>
          <t>Сергей Манченков, Анастасия Лещева</t>
        </is>
      </c>
      <c r="D867" s="3" t="n">
        <v>35112</v>
      </c>
      <c r="E867" s="4" t="n">
        <v>18</v>
      </c>
      <c r="F867" t="inlineStr">
        <is>
          <t>Яндекс.Путешествия [Чайковский]</t>
        </is>
      </c>
      <c r="G867" s="3">
        <f>ROUND(D867/(100-E867)*100,2)</f>
        <v/>
      </c>
      <c r="H867" s="5" t="n">
        <v>46224.58333333334</v>
      </c>
      <c r="I867" t="n">
        <v>3</v>
      </c>
      <c r="J867" s="3">
        <f>G867/I867</f>
        <v/>
      </c>
      <c r="K867">
        <f>IF(J867&gt;=5100,"ставка","мин.ставка")</f>
        <v/>
      </c>
      <c r="L867" s="3">
        <f>ROUND(IF(K867="мин.ставка",I867*100,G867/102*2),2)</f>
        <v/>
      </c>
      <c r="M867" s="5" t="n">
        <v>46227.5</v>
      </c>
      <c r="N867" t="inlineStr">
        <is>
          <t>TravelLine YAX</t>
        </is>
      </c>
      <c r="O867" s="2" t="inlineStr">
        <is>
          <t>УЛУЧШЕННЫЙ ДВУХМЕСТНЫЙ НОМЕР</t>
        </is>
      </c>
      <c r="P867" s="6" t="n"/>
      <c r="R867" t="inlineStr"/>
      <c r="S867" t="inlineStr">
        <is>
          <t>Тариф с завтраком</t>
        </is>
      </c>
      <c r="T867" t="n">
        <v>0</v>
      </c>
      <c r="U867" t="n">
        <v>65664</v>
      </c>
    </row>
    <row r="868">
      <c r="A868" t="inlineStr">
        <is>
          <t>20260710-8186-448702042</t>
        </is>
      </c>
      <c r="B868" t="n">
        <v>1</v>
      </c>
      <c r="C868" s="2" t="inlineStr">
        <is>
          <t>Сергей Митяев, ANASTASIYA TOROSYAN</t>
        </is>
      </c>
      <c r="D868" s="3" t="n">
        <v>17360</v>
      </c>
      <c r="E868" s="4" t="n">
        <v>20</v>
      </c>
      <c r="F868" t="inlineStr">
        <is>
          <t>ООО "ХБ-ПРО" [Чайковский]</t>
        </is>
      </c>
      <c r="G868" s="3">
        <f>ROUND(D868/(100-E868)*100,2)</f>
        <v/>
      </c>
      <c r="H868" s="5" t="n">
        <v>46213.58333333334</v>
      </c>
      <c r="I868" t="n">
        <v>2</v>
      </c>
      <c r="J868" s="3">
        <f>G868/I868</f>
        <v/>
      </c>
      <c r="K868">
        <f>IF(J868&gt;=5100,"ставка","мин.ставка")</f>
        <v/>
      </c>
      <c r="L868" s="3">
        <f>ROUND(IF(K868="мин.ставка",I868*100,G868/102*2),2)</f>
        <v/>
      </c>
      <c r="M868" s="5" t="n">
        <v>46215.5</v>
      </c>
      <c r="N868" t="inlineStr">
        <is>
          <t>TravelLine UTS</t>
        </is>
      </c>
      <c r="O868" s="2" t="inlineStr">
        <is>
          <t>СТАНДАРТНЫЙ ДВУХМЕСТНЫЙ НОМЕР</t>
        </is>
      </c>
      <c r="P868" s="6" t="n"/>
      <c r="R868" t="inlineStr"/>
      <c r="S868" t="inlineStr">
        <is>
          <t>Тариф с завтраком</t>
        </is>
      </c>
      <c r="T868" t="n">
        <v>4000</v>
      </c>
      <c r="U868" t="n">
        <v>21360</v>
      </c>
    </row>
    <row r="869">
      <c r="A869" t="inlineStr">
        <is>
          <t>20260806-8186-456267629</t>
        </is>
      </c>
      <c r="B869" t="n">
        <v>1</v>
      </c>
      <c r="C869" s="2" t="inlineStr">
        <is>
          <t>СЕРГЕЙ МИХЕЕВ, АМЕЛИЯ МИХЕЕВА</t>
        </is>
      </c>
      <c r="D869" s="3" t="n">
        <v>11214</v>
      </c>
      <c r="E869" s="4" t="n">
        <v>16</v>
      </c>
      <c r="F869" t="inlineStr">
        <is>
          <t>ООО "БРОНИРОВАНИЕ ГОСТИНИЦ" (OSTROVOK) [Чайковский]</t>
        </is>
      </c>
      <c r="G869" s="3">
        <f>ROUND(D869/(100-E869)*100,2)</f>
        <v/>
      </c>
      <c r="H869" s="5" t="n">
        <v>46240.58333333334</v>
      </c>
      <c r="I869" t="n">
        <v>1</v>
      </c>
      <c r="J869" s="3">
        <f>G869/I869</f>
        <v/>
      </c>
      <c r="K869">
        <f>IF(J869&gt;=5100,"ставка","мин.ставка")</f>
        <v/>
      </c>
      <c r="L869" s="3">
        <f>ROUND(IF(K869="мин.ставка",I869*100,G869/102*2),2)</f>
        <v/>
      </c>
      <c r="M869" s="5" t="n">
        <v>46241.5</v>
      </c>
      <c r="N869" t="inlineStr">
        <is>
          <t>TravelLine OTK</t>
        </is>
      </c>
      <c r="O869" s="2" t="inlineStr">
        <is>
          <t>СТАНДАРТНЫЙ ДВУХМЕСТНЫЙ НОМЕР</t>
        </is>
      </c>
      <c r="P869" s="6" t="n"/>
      <c r="R869" t="inlineStr"/>
      <c r="S869" t="inlineStr">
        <is>
          <t>Тариф с завтраком</t>
        </is>
      </c>
      <c r="T869" t="n">
        <v>0</v>
      </c>
      <c r="U869" t="n">
        <v>11214</v>
      </c>
    </row>
    <row r="870">
      <c r="A870" t="inlineStr">
        <is>
          <t>20260924-8186-465190017</t>
        </is>
      </c>
      <c r="B870" t="n">
        <v>1</v>
      </c>
      <c r="C870" s="2" t="inlineStr">
        <is>
          <t>СЕРГЕЙ МОКРИНСКИЙ, ИРИНА МОКРИНСКАЯ</t>
        </is>
      </c>
      <c r="D870" s="3" t="n">
        <v>13530</v>
      </c>
      <c r="E870" s="4" t="n">
        <v>0</v>
      </c>
      <c r="F870" t="inlineStr">
        <is>
          <t>Прямые бронирования (стойка) [Чайковский]</t>
        </is>
      </c>
      <c r="G870" s="3">
        <f>ROUND(D870/(100-E870)*100,2)</f>
        <v/>
      </c>
      <c r="H870" s="5" t="n">
        <v>46289.58333333334</v>
      </c>
      <c r="I870" t="n">
        <v>1</v>
      </c>
      <c r="J870" s="3">
        <f>G870/I870</f>
        <v/>
      </c>
      <c r="K870">
        <f>IF(J870&gt;=5100,"ставка","мин.ставка")</f>
        <v/>
      </c>
      <c r="L870" s="3">
        <f>ROUND(IF(K870="мин.ставка",I870*100,G870/102*2),2)</f>
        <v/>
      </c>
      <c r="M870" s="5" t="n">
        <v>46290.5</v>
      </c>
      <c r="N870" t="inlineStr">
        <is>
          <t>TravelLine CMB</t>
        </is>
      </c>
      <c r="O870" s="2" t="inlineStr">
        <is>
          <t>ПОЛУЛЮКС</t>
        </is>
      </c>
      <c r="P870" s="6" t="n"/>
      <c r="R870" t="inlineStr"/>
      <c r="S870" t="inlineStr">
        <is>
          <t>Тариф с завтраком</t>
        </is>
      </c>
      <c r="T870" t="n">
        <v>0</v>
      </c>
      <c r="U870" t="n">
        <v>13530</v>
      </c>
    </row>
    <row r="871">
      <c r="A871" t="inlineStr">
        <is>
          <t>20260707-8186-444464400</t>
        </is>
      </c>
      <c r="B871" t="n">
        <v>1</v>
      </c>
      <c r="C871" s="2" t="inlineStr">
        <is>
          <t>Сергей Морозов, Виктория Морозова</t>
        </is>
      </c>
      <c r="D871" s="3" t="n">
        <v>78540</v>
      </c>
      <c r="E871" s="4" t="n">
        <v>0</v>
      </c>
      <c r="F871" t="inlineStr">
        <is>
          <t>ООО «ХОМЛИН ЛЭНД» (ПЕГАС) [Чайковский]</t>
        </is>
      </c>
      <c r="G871" s="3">
        <f>ROUND(D871/(100-E871)*100,2)</f>
        <v/>
      </c>
      <c r="H871" s="5" t="n">
        <v>46210.58333333334</v>
      </c>
      <c r="I871" t="n">
        <v>6</v>
      </c>
      <c r="J871" s="3">
        <f>G871/I871</f>
        <v/>
      </c>
      <c r="K871">
        <f>IF(J871&gt;=5100,"ставка","мин.ставка")</f>
        <v/>
      </c>
      <c r="L871" s="3">
        <f>ROUND(IF(K871="мин.ставка",I871*100,G871/102*2),2)</f>
        <v/>
      </c>
      <c r="M871" s="5" t="n">
        <v>46216.5</v>
      </c>
      <c r="N871" t="inlineStr">
        <is>
          <t>TravelLine PGS</t>
        </is>
      </c>
      <c r="O871" s="2" t="inlineStr">
        <is>
          <t>УЛУЧШЕННЫЙ ДВУХМЕСТНЫЙ НОМЕР</t>
        </is>
      </c>
      <c r="P871" s="6" t="n"/>
      <c r="R871" t="inlineStr"/>
      <c r="S871" t="inlineStr">
        <is>
          <t>Тариф с завтраком</t>
        </is>
      </c>
      <c r="T871" t="n">
        <v>0</v>
      </c>
      <c r="U871" t="n">
        <v>78540</v>
      </c>
    </row>
    <row r="872">
      <c r="A872" t="inlineStr">
        <is>
          <t>20260716-8186-437389528</t>
        </is>
      </c>
      <c r="B872" t="n">
        <v>1</v>
      </c>
      <c r="C872" s="2" t="inlineStr">
        <is>
          <t>СЕРГЕЙ ОСИПОВ, Эвелина Смыслина</t>
        </is>
      </c>
      <c r="D872" s="3" t="n">
        <v>26400</v>
      </c>
      <c r="E872" s="4" t="n">
        <v>20</v>
      </c>
      <c r="F872" t="inlineStr">
        <is>
          <t>ООО "КОМПАНИЯ БРОНЕВИК" [Чайковский]</t>
        </is>
      </c>
      <c r="G872" s="3">
        <f>ROUND(D872/(100-E872)*100,2)</f>
        <v/>
      </c>
      <c r="H872" s="5" t="n">
        <v>46219.58333333334</v>
      </c>
      <c r="I872" t="n">
        <v>2</v>
      </c>
      <c r="J872" s="3">
        <f>G872/I872</f>
        <v/>
      </c>
      <c r="K872">
        <f>IF(J872&gt;=5100,"ставка","мин.ставка")</f>
        <v/>
      </c>
      <c r="L872" s="3">
        <f>ROUND(IF(K872="мин.ставка",I872*100,G872/102*2),2)</f>
        <v/>
      </c>
      <c r="M872" s="5" t="n">
        <v>46221.5</v>
      </c>
      <c r="N872" t="inlineStr">
        <is>
          <t>TravelLine BR2</t>
        </is>
      </c>
      <c r="O872" s="2" t="inlineStr">
        <is>
          <t>ПОЛУЛЮКС</t>
        </is>
      </c>
      <c r="P872" s="6" t="n"/>
      <c r="R872" t="inlineStr"/>
      <c r="S872" t="inlineStr">
        <is>
          <t>Тариф с завтраком</t>
        </is>
      </c>
      <c r="T872" t="n">
        <v>0</v>
      </c>
      <c r="U872" t="n">
        <v>26400</v>
      </c>
    </row>
    <row r="873">
      <c r="A873" t="inlineStr">
        <is>
          <t>20260909-8186-464462558</t>
        </is>
      </c>
      <c r="B873" t="n">
        <v>1</v>
      </c>
      <c r="C873" s="2" t="inlineStr">
        <is>
          <t>Сергей Полянский</t>
        </is>
      </c>
      <c r="D873" s="3" t="n">
        <v>20100</v>
      </c>
      <c r="E873" s="4" t="n">
        <v>18</v>
      </c>
      <c r="F873" t="inlineStr">
        <is>
          <t>Яндекс.Путешествия [Чайковский]</t>
        </is>
      </c>
      <c r="G873" s="3">
        <f>ROUND(D873/(100-E873)*100,2)</f>
        <v/>
      </c>
      <c r="H873" s="5" t="n">
        <v>46274.58333333334</v>
      </c>
      <c r="I873" t="n">
        <v>2</v>
      </c>
      <c r="J873" s="3">
        <f>G873/I873</f>
        <v/>
      </c>
      <c r="K873">
        <f>IF(J873&gt;=5100,"ставка","мин.ставка")</f>
        <v/>
      </c>
      <c r="L873" s="3">
        <f>ROUND(IF(K873="мин.ставка",I873*100,G873/102*2),2)</f>
        <v/>
      </c>
      <c r="M873" s="5" t="n">
        <v>46276.5</v>
      </c>
      <c r="N873" t="inlineStr">
        <is>
          <t>TravelLine YAX</t>
        </is>
      </c>
      <c r="O873" s="2" t="inlineStr">
        <is>
          <t>УЛУЧШЕННЫЙ ДВУХМЕСТНЫЙ НОМЕР</t>
        </is>
      </c>
      <c r="P873" s="6" t="n"/>
      <c r="R873" t="inlineStr"/>
      <c r="S873" t="inlineStr">
        <is>
          <t>Тариф с завтраком</t>
        </is>
      </c>
      <c r="T873" t="n">
        <v>0</v>
      </c>
      <c r="U873" t="n">
        <v>20100</v>
      </c>
    </row>
    <row r="874">
      <c r="A874" t="inlineStr">
        <is>
          <t>20260710-8186-449007541</t>
        </is>
      </c>
      <c r="B874" t="n">
        <v>1</v>
      </c>
      <c r="C874" s="2" t="inlineStr">
        <is>
          <t>Сергей Реутов</t>
        </is>
      </c>
      <c r="D874" s="3" t="n">
        <v>10350</v>
      </c>
      <c r="E874" s="4" t="n">
        <v>0</v>
      </c>
      <c r="F874" t="inlineStr">
        <is>
          <t>Прямые бронирования (стойка) [Чайковский]</t>
        </is>
      </c>
      <c r="G874" s="3">
        <f>ROUND(D874/(100-E874)*100,2)</f>
        <v/>
      </c>
      <c r="H874" s="5" t="n">
        <v>46213.58333333334</v>
      </c>
      <c r="I874" t="n">
        <v>1</v>
      </c>
      <c r="J874" s="3">
        <f>G874/I874</f>
        <v/>
      </c>
      <c r="K874">
        <f>IF(J874&gt;=5100,"ставка","мин.ставка")</f>
        <v/>
      </c>
      <c r="L874" s="3">
        <f>ROUND(IF(K874="мин.ставка",I874*100,G874/102*2),2)</f>
        <v/>
      </c>
      <c r="M874" s="5" t="n">
        <v>46214.5</v>
      </c>
      <c r="N874" t="inlineStr">
        <is>
          <t>TravelLine ресепшн</t>
        </is>
      </c>
      <c r="O874" s="2" t="inlineStr">
        <is>
          <t>СТАНДАРТНЫЙ ДВУХМЕСТНЫЙ НОМЕР</t>
        </is>
      </c>
      <c r="P874" s="6" t="n"/>
      <c r="R874" t="inlineStr"/>
      <c r="S874" t="inlineStr">
        <is>
          <t>Тариф с завтраком</t>
        </is>
      </c>
      <c r="T874" t="n">
        <v>0</v>
      </c>
      <c r="U874" t="n">
        <v>10350</v>
      </c>
    </row>
    <row r="875">
      <c r="A875" t="inlineStr">
        <is>
          <t>20260714-8186-450064455</t>
        </is>
      </c>
      <c r="B875" t="n">
        <v>1</v>
      </c>
      <c r="C875" s="2" t="inlineStr">
        <is>
          <t>СЕРГЕЙ САЛТЫКОВ</t>
        </is>
      </c>
      <c r="D875" s="3" t="n">
        <v>11600</v>
      </c>
      <c r="E875" s="4" t="n">
        <v>20</v>
      </c>
      <c r="F875" t="inlineStr">
        <is>
          <t>ООО "ХБ-ПРО" [Чайковский]</t>
        </is>
      </c>
      <c r="G875" s="3">
        <f>ROUND(D875/(100-E875)*100,2)</f>
        <v/>
      </c>
      <c r="H875" s="5" t="n">
        <v>46217.58333333334</v>
      </c>
      <c r="I875" t="n">
        <v>1</v>
      </c>
      <c r="J875" s="3">
        <f>G875/I875</f>
        <v/>
      </c>
      <c r="K875">
        <f>IF(J875&gt;=5100,"ставка","мин.ставка")</f>
        <v/>
      </c>
      <c r="L875" s="3">
        <f>ROUND(IF(K875="мин.ставка",I875*100,G875/102*2),2)</f>
        <v/>
      </c>
      <c r="M875" s="5" t="n">
        <v>46218.5</v>
      </c>
      <c r="N875" t="inlineStr">
        <is>
          <t>TravelLine UTS</t>
        </is>
      </c>
      <c r="O875" s="2" t="inlineStr">
        <is>
          <t>ПОЛУЛЮКС</t>
        </is>
      </c>
      <c r="P875" s="6" t="n"/>
      <c r="R875" t="inlineStr"/>
      <c r="S875" t="inlineStr">
        <is>
          <t>Тариф с завтраком</t>
        </is>
      </c>
      <c r="T875" t="n">
        <v>0</v>
      </c>
      <c r="U875" t="n">
        <v>11600</v>
      </c>
    </row>
    <row r="876">
      <c r="A876" t="inlineStr">
        <is>
          <t>20260715-8186-450213608</t>
        </is>
      </c>
      <c r="B876" t="n">
        <v>1</v>
      </c>
      <c r="C876" s="2" t="inlineStr">
        <is>
          <t>СЕРГЕЙ САЛТЫКОВ</t>
        </is>
      </c>
      <c r="D876" s="3" t="n">
        <v>11600</v>
      </c>
      <c r="E876" s="4" t="n">
        <v>20</v>
      </c>
      <c r="F876" t="inlineStr">
        <is>
          <t>ООО "ХБ-ПРО" [Чайковский]</t>
        </is>
      </c>
      <c r="G876" s="3">
        <f>ROUND(D876/(100-E876)*100,2)</f>
        <v/>
      </c>
      <c r="H876" s="5" t="n">
        <v>46218.58333333334</v>
      </c>
      <c r="I876" t="n">
        <v>1</v>
      </c>
      <c r="J876" s="3">
        <f>G876/I876</f>
        <v/>
      </c>
      <c r="K876">
        <f>IF(J876&gt;=5100,"ставка","мин.ставка")</f>
        <v/>
      </c>
      <c r="L876" s="3">
        <f>ROUND(IF(K876="мин.ставка",I876*100,G876/102*2),2)</f>
        <v/>
      </c>
      <c r="M876" s="5" t="n">
        <v>46219.5</v>
      </c>
      <c r="N876" t="inlineStr">
        <is>
          <t>TravelLine UTS</t>
        </is>
      </c>
      <c r="O876" s="2" t="inlineStr">
        <is>
          <t>ПОЛУЛЮКС</t>
        </is>
      </c>
      <c r="P876" s="6" t="n"/>
      <c r="R876" t="inlineStr"/>
      <c r="S876" t="inlineStr">
        <is>
          <t>Тариф с завтраком</t>
        </is>
      </c>
      <c r="T876" t="n">
        <v>0</v>
      </c>
      <c r="U876" t="n">
        <v>11600</v>
      </c>
    </row>
    <row r="877">
      <c r="A877" t="inlineStr">
        <is>
          <t>20260713-8186-449580597</t>
        </is>
      </c>
      <c r="B877" t="n">
        <v>1</v>
      </c>
      <c r="C877" s="2" t="inlineStr">
        <is>
          <t>СЕРГЕЙ САЛТЫКОВ</t>
        </is>
      </c>
      <c r="D877" s="3" t="n">
        <v>9647.5</v>
      </c>
      <c r="E877" s="4" t="n">
        <v>15</v>
      </c>
      <c r="F877" t="inlineStr">
        <is>
          <t>ООО "БРОНИРОВАНИЕ ГОСТИНИЦ" (OSTROVOK) [Чайковский]</t>
        </is>
      </c>
      <c r="G877" s="3">
        <f>ROUND(D877/(100-E877)*100,2)</f>
        <v/>
      </c>
      <c r="H877" s="5" t="n">
        <v>46216.58333333334</v>
      </c>
      <c r="I877" t="n">
        <v>1</v>
      </c>
      <c r="J877" s="3">
        <f>G877/I877</f>
        <v/>
      </c>
      <c r="K877">
        <f>IF(J877&gt;=5100,"ставка","мин.ставка")</f>
        <v/>
      </c>
      <c r="L877" s="3">
        <f>ROUND(IF(K877="мин.ставка",I877*100,G877/102*2),2)</f>
        <v/>
      </c>
      <c r="M877" s="5" t="n">
        <v>46217.5</v>
      </c>
      <c r="N877" t="inlineStr">
        <is>
          <t>TravelLine OTK</t>
        </is>
      </c>
      <c r="O877" s="2" t="inlineStr">
        <is>
          <t>СТАНДАРТНЫЙ ДВУХМЕСТНЫЙ НОМЕР</t>
        </is>
      </c>
      <c r="P877" s="6" t="n"/>
      <c r="R877" t="inlineStr"/>
      <c r="S877" t="inlineStr">
        <is>
          <t>Тариф с завтраком</t>
        </is>
      </c>
      <c r="T877" t="n">
        <v>0</v>
      </c>
      <c r="U877" t="n">
        <v>9647.5</v>
      </c>
    </row>
    <row r="878">
      <c r="A878" t="inlineStr">
        <is>
          <t>20260724-8186-452868322</t>
        </is>
      </c>
      <c r="B878" t="n">
        <v>1</v>
      </c>
      <c r="C878" s="2" t="inlineStr">
        <is>
          <t>СЕРГЕЙ САЛТЫКОВ</t>
        </is>
      </c>
      <c r="D878" s="3" t="n">
        <v>9647.5</v>
      </c>
      <c r="E878" s="4" t="n">
        <v>15</v>
      </c>
      <c r="F878" t="inlineStr">
        <is>
          <t>ООО "БРОНИРОВАНИЕ ГОСТИНИЦ" (OSTROVOK) [Чайковский]</t>
        </is>
      </c>
      <c r="G878" s="3">
        <f>ROUND(D878/(100-E878)*100,2)</f>
        <v/>
      </c>
      <c r="H878" s="5" t="n">
        <v>46227.58333333334</v>
      </c>
      <c r="I878" t="n">
        <v>1</v>
      </c>
      <c r="J878" s="3">
        <f>G878/I878</f>
        <v/>
      </c>
      <c r="K878">
        <f>IF(J878&gt;=5100,"ставка","мин.ставка")</f>
        <v/>
      </c>
      <c r="L878" s="3">
        <f>ROUND(IF(K878="мин.ставка",I878*100,G878/102*2),2)</f>
        <v/>
      </c>
      <c r="M878" s="5" t="n">
        <v>46228.5</v>
      </c>
      <c r="N878" t="inlineStr">
        <is>
          <t>TravelLine OTK</t>
        </is>
      </c>
      <c r="O878" s="2" t="inlineStr">
        <is>
          <t>СТАНДАРТНЫЙ ДВУХМЕСТНЫЙ НОМЕР</t>
        </is>
      </c>
      <c r="P878" s="6" t="n"/>
      <c r="R878" t="inlineStr"/>
      <c r="S878" t="inlineStr">
        <is>
          <t>Тариф с завтраком</t>
        </is>
      </c>
      <c r="T878" t="n">
        <v>0</v>
      </c>
      <c r="U878" t="n">
        <v>9647.5</v>
      </c>
    </row>
    <row r="879">
      <c r="A879" t="inlineStr">
        <is>
          <t>20260713-8186-448319484</t>
        </is>
      </c>
      <c r="B879" t="n">
        <v>1</v>
      </c>
      <c r="C879" s="2" t="inlineStr">
        <is>
          <t>Сергей Сварник</t>
        </is>
      </c>
      <c r="D879" s="3" t="n">
        <v>14596</v>
      </c>
      <c r="E879" s="4" t="n">
        <v>18</v>
      </c>
      <c r="F879" t="inlineStr">
        <is>
          <t>ООО "Эй энд Эй" [Чайковский]</t>
        </is>
      </c>
      <c r="G879" s="3">
        <f>ROUND(D879/(100-E879)*100,2)</f>
        <v/>
      </c>
      <c r="H879" s="5" t="n">
        <v>46216.58333333334</v>
      </c>
      <c r="I879" t="n">
        <v>2</v>
      </c>
      <c r="J879" s="3">
        <f>G879/I879</f>
        <v/>
      </c>
      <c r="K879">
        <f>IF(J879&gt;=5100,"ставка","мин.ставка")</f>
        <v/>
      </c>
      <c r="L879" s="3">
        <f>ROUND(IF(K879="мин.ставка",I879*100,G879/102*2),2)</f>
        <v/>
      </c>
      <c r="M879" s="5" t="n">
        <v>46218.5</v>
      </c>
      <c r="N879" t="inlineStr">
        <is>
          <t>TravelLine ANA</t>
        </is>
      </c>
      <c r="O879" s="2" t="inlineStr">
        <is>
          <t>СЕМЕЙНЫЙ НОМЕР КАТЕГОРИИ "СТАНДАРТ" ВТОРОЙ КОРПУС</t>
        </is>
      </c>
      <c r="P879" s="6" t="n"/>
      <c r="R879" t="inlineStr"/>
      <c r="S879" t="inlineStr">
        <is>
          <t>Тариф с завтраком</t>
        </is>
      </c>
      <c r="T879" t="n">
        <v>2000</v>
      </c>
      <c r="U879" t="n">
        <v>16596</v>
      </c>
    </row>
    <row r="880">
      <c r="A880" t="inlineStr">
        <is>
          <t>20260723-8186-449693468</t>
        </is>
      </c>
      <c r="B880" t="n">
        <v>1</v>
      </c>
      <c r="C880" s="2" t="inlineStr">
        <is>
          <t>Сергей Семенишин, Евгения Ермишкина</t>
        </is>
      </c>
      <c r="D880" s="3" t="n">
        <v>34042.5</v>
      </c>
      <c r="E880" s="4" t="n">
        <v>15</v>
      </c>
      <c r="F880" t="inlineStr">
        <is>
          <t>ООО "БРОНИРОВАНИЕ ГОСТИНИЦ" (OSTROVOK) [Чайковский]</t>
        </is>
      </c>
      <c r="G880" s="3">
        <f>ROUND(D880/(100-E880)*100,2)</f>
        <v/>
      </c>
      <c r="H880" s="5" t="n">
        <v>46226.58333333334</v>
      </c>
      <c r="I880" t="n">
        <v>3</v>
      </c>
      <c r="J880" s="3">
        <f>G880/I880</f>
        <v/>
      </c>
      <c r="K880">
        <f>IF(J880&gt;=5100,"ставка","мин.ставка")</f>
        <v/>
      </c>
      <c r="L880" s="3">
        <f>ROUND(IF(K880="мин.ставка",I880*100,G880/102*2),2)</f>
        <v/>
      </c>
      <c r="M880" s="5" t="n">
        <v>46229.5</v>
      </c>
      <c r="N880" t="inlineStr">
        <is>
          <t>TravelLine OTK</t>
        </is>
      </c>
      <c r="O880" s="2" t="inlineStr">
        <is>
          <t>СТАНДАРТНЫЙ ДВУХМЕСТНЫЙ НОМЕР</t>
        </is>
      </c>
      <c r="P880" s="6" t="n"/>
      <c r="R880" t="inlineStr"/>
      <c r="S880" t="inlineStr">
        <is>
          <t>Тариф с завтраком</t>
        </is>
      </c>
      <c r="T880" t="n">
        <v>0</v>
      </c>
      <c r="U880" t="n">
        <v>34042.5</v>
      </c>
    </row>
    <row r="881">
      <c r="A881" t="inlineStr">
        <is>
          <t>20260828-8186-462177609</t>
        </is>
      </c>
      <c r="B881" t="n">
        <v>1</v>
      </c>
      <c r="C881" s="2" t="inlineStr">
        <is>
          <t>СЕРГЕЙ СЕРЕГИН</t>
        </is>
      </c>
      <c r="D881" s="3" t="n">
        <v>9960</v>
      </c>
      <c r="E881" s="4" t="n">
        <v>0</v>
      </c>
      <c r="F881" t="inlineStr">
        <is>
          <t>Прямые бронирования (стойка) [Чайковский]</t>
        </is>
      </c>
      <c r="G881" s="3">
        <f>ROUND(D881/(100-E881)*100,2)</f>
        <v/>
      </c>
      <c r="H881" s="5" t="n">
        <v>46262.58333333334</v>
      </c>
      <c r="I881" t="n">
        <v>1</v>
      </c>
      <c r="J881" s="3">
        <f>G881/I881</f>
        <v/>
      </c>
      <c r="K881">
        <f>IF(J881&gt;=5100,"ставка","мин.ставка")</f>
        <v/>
      </c>
      <c r="L881" s="3">
        <f>ROUND(IF(K881="мин.ставка",I881*100,G881/102*2),2)</f>
        <v/>
      </c>
      <c r="M881" s="5" t="n">
        <v>46263.5</v>
      </c>
      <c r="N881" t="inlineStr">
        <is>
          <t>TravelLine ресепшн</t>
        </is>
      </c>
      <c r="O881" s="2" t="inlineStr">
        <is>
          <t>СЕМЕЙНЫЙ НОМЕР КАТЕГОРИИ "СТАНДАРТ" ВТОРОЙ КОРПУС</t>
        </is>
      </c>
      <c r="P881" s="6" t="n"/>
      <c r="R881" t="inlineStr"/>
      <c r="S881" t="inlineStr">
        <is>
          <t>Тариф с завтраком</t>
        </is>
      </c>
      <c r="T881" t="n">
        <v>0</v>
      </c>
      <c r="U881" t="n">
        <v>9960</v>
      </c>
    </row>
    <row r="882">
      <c r="A882" t="inlineStr">
        <is>
          <t>20260911-8186-465366665</t>
        </is>
      </c>
      <c r="B882" t="n">
        <v>1</v>
      </c>
      <c r="C882" s="2" t="inlineStr">
        <is>
          <t>СЕРГЕЙ СЕРЕГИН</t>
        </is>
      </c>
      <c r="D882" s="3" t="n">
        <v>9000</v>
      </c>
      <c r="E882" s="4" t="n">
        <v>0</v>
      </c>
      <c r="F882" t="inlineStr">
        <is>
          <t>Прямые бронирования (стойка) [Чайковский]</t>
        </is>
      </c>
      <c r="G882" s="3">
        <f>ROUND(D882/(100-E882)*100,2)</f>
        <v/>
      </c>
      <c r="H882" s="5" t="n">
        <v>46276.58333333334</v>
      </c>
      <c r="I882" t="n">
        <v>1</v>
      </c>
      <c r="J882" s="3">
        <f>G882/I882</f>
        <v/>
      </c>
      <c r="K882">
        <f>IF(J882&gt;=5100,"ставка","мин.ставка")</f>
        <v/>
      </c>
      <c r="L882" s="3">
        <f>ROUND(IF(K882="мин.ставка",I882*100,G882/102*2),2)</f>
        <v/>
      </c>
      <c r="M882" s="5" t="n">
        <v>46277.5</v>
      </c>
      <c r="N882" t="inlineStr">
        <is>
          <t>TravelLine ресепшн</t>
        </is>
      </c>
      <c r="O882" s="2" t="inlineStr">
        <is>
          <t>СЕМЕЙНЫЙ НОМЕР КАТЕГОРИИ "СТАНДАРТ" ВТОРОЙ КОРПУС</t>
        </is>
      </c>
      <c r="P882" s="6" t="n"/>
      <c r="R882" t="inlineStr"/>
      <c r="S882" t="inlineStr">
        <is>
          <t>Тариф с завтраком</t>
        </is>
      </c>
      <c r="T882" t="n">
        <v>0</v>
      </c>
      <c r="U882" t="n">
        <v>9000</v>
      </c>
    </row>
    <row r="883">
      <c r="A883" t="inlineStr">
        <is>
          <t>20260801-8186-455110906</t>
        </is>
      </c>
      <c r="B883" t="n">
        <v>1</v>
      </c>
      <c r="C883" s="2" t="inlineStr">
        <is>
          <t>СЕРГЕЙ СИВЕРИН</t>
        </is>
      </c>
      <c r="D883" s="3" t="n">
        <v>9534</v>
      </c>
      <c r="E883" s="4" t="n">
        <v>16</v>
      </c>
      <c r="F883" t="inlineStr">
        <is>
          <t>ООО "БРОНИРОВАНИЕ ГОСТИНИЦ" (OSTROVOK) [Чайковский]</t>
        </is>
      </c>
      <c r="G883" s="3">
        <f>ROUND(D883/(100-E883)*100,2)</f>
        <v/>
      </c>
      <c r="H883" s="5" t="n">
        <v>46235.58333333334</v>
      </c>
      <c r="I883" t="n">
        <v>1</v>
      </c>
      <c r="J883" s="3">
        <f>G883/I883</f>
        <v/>
      </c>
      <c r="K883">
        <f>IF(J883&gt;=5100,"ставка","мин.ставка")</f>
        <v/>
      </c>
      <c r="L883" s="3">
        <f>ROUND(IF(K883="мин.ставка",I883*100,G883/102*2),2)</f>
        <v/>
      </c>
      <c r="M883" s="5" t="n">
        <v>46236.5</v>
      </c>
      <c r="N883" t="inlineStr">
        <is>
          <t>TravelLine OTK</t>
        </is>
      </c>
      <c r="O883" s="2" t="inlineStr">
        <is>
          <t>СТАНДАРТНЫЙ ДВУХМЕСТНЫЙ НОМЕР</t>
        </is>
      </c>
      <c r="P883" s="6" t="n"/>
      <c r="R883" t="inlineStr"/>
      <c r="S883" t="inlineStr">
        <is>
          <t>Тариф с завтраком</t>
        </is>
      </c>
      <c r="T883" t="n">
        <v>0</v>
      </c>
      <c r="U883" t="n">
        <v>9534</v>
      </c>
    </row>
    <row r="884">
      <c r="A884" t="inlineStr">
        <is>
          <t>20260717-8186-450533105</t>
        </is>
      </c>
      <c r="B884" t="n">
        <v>1</v>
      </c>
      <c r="C884" s="2" t="inlineStr">
        <is>
          <t>СЕРГЕЙ Тимошенко</t>
        </is>
      </c>
      <c r="D884" s="3" t="n">
        <v>11350</v>
      </c>
      <c r="E884" s="4" t="n">
        <v>0</v>
      </c>
      <c r="F884" t="inlineStr">
        <is>
          <t>Прямые бронирования (стойка) [Чайковский]</t>
        </is>
      </c>
      <c r="G884" s="3">
        <f>ROUND(D884/(100-E884)*100,2)</f>
        <v/>
      </c>
      <c r="H884" s="5" t="n">
        <v>46220.58333333334</v>
      </c>
      <c r="I884" t="n">
        <v>1</v>
      </c>
      <c r="J884" s="3">
        <f>G884/I884</f>
        <v/>
      </c>
      <c r="K884">
        <f>IF(J884&gt;=5100,"ставка","мин.ставка")</f>
        <v/>
      </c>
      <c r="L884" s="3">
        <f>ROUND(IF(K884="мин.ставка",I884*100,G884/102*2),2)</f>
        <v/>
      </c>
      <c r="M884" s="5" t="n">
        <v>46221.5</v>
      </c>
      <c r="N884" t="inlineStr">
        <is>
          <t>TravelLine ресепшн</t>
        </is>
      </c>
      <c r="O884" s="2" t="inlineStr">
        <is>
          <t>СТАНДАРТНЫЙ ДВУХМЕСТНЫЙ НОМЕР</t>
        </is>
      </c>
      <c r="P884" s="6" t="n"/>
      <c r="R884" t="inlineStr"/>
      <c r="S884" t="inlineStr">
        <is>
          <t>Тариф с завтраком</t>
        </is>
      </c>
      <c r="T884" t="n">
        <v>0</v>
      </c>
      <c r="U884" t="n">
        <v>11350</v>
      </c>
    </row>
    <row r="885">
      <c r="A885" t="inlineStr">
        <is>
          <t>20260828-8186-430964258</t>
        </is>
      </c>
      <c r="B885" t="n">
        <v>1</v>
      </c>
      <c r="C885" s="2" t="inlineStr">
        <is>
          <t>Сергей Филяс, Виктория Хренова</t>
        </is>
      </c>
      <c r="D885" s="3" t="n">
        <v>32752.5</v>
      </c>
      <c r="E885" s="4" t="n">
        <v>4</v>
      </c>
      <c r="F885" t="inlineStr">
        <is>
          <t>TravelLine Booking Engine [Чайковский]</t>
        </is>
      </c>
      <c r="G885" s="3">
        <f>ROUND(D885/(100-E885)*100,2)</f>
        <v/>
      </c>
      <c r="H885" s="5" t="n">
        <v>46262.625</v>
      </c>
      <c r="I885" t="n">
        <v>2</v>
      </c>
      <c r="J885" s="3">
        <f>G885/I885</f>
        <v/>
      </c>
      <c r="K885">
        <f>IF(J885&gt;=5100,"ставка","мин.ставка")</f>
        <v/>
      </c>
      <c r="L885" s="3">
        <f>ROUND(IF(K885="мин.ставка",I885*100,G885/102*2),2)</f>
        <v/>
      </c>
      <c r="M885" s="5" t="n">
        <v>46264.5</v>
      </c>
      <c r="N885" t="inlineStr">
        <is>
          <t>TravelLine сайт</t>
        </is>
      </c>
      <c r="O885" s="2" t="inlineStr">
        <is>
          <t>ПОЛУЛЮКС</t>
        </is>
      </c>
      <c r="P885" s="6" t="n"/>
      <c r="R885" t="inlineStr"/>
      <c r="S885" t="inlineStr">
        <is>
          <t>Тариф с завтраком</t>
        </is>
      </c>
      <c r="T885" t="n">
        <v>0</v>
      </c>
      <c r="U885" t="n">
        <v>32752.5</v>
      </c>
    </row>
    <row r="886">
      <c r="A886" t="inlineStr">
        <is>
          <t>20260803-8186-421031747</t>
        </is>
      </c>
      <c r="B886" t="n">
        <v>1</v>
      </c>
      <c r="C886" s="2" t="inlineStr">
        <is>
          <t>Сергей Хрусталев</t>
        </is>
      </c>
      <c r="D886" s="3" t="n">
        <v>33879.75</v>
      </c>
      <c r="E886" s="4" t="n">
        <v>4</v>
      </c>
      <c r="F886" t="inlineStr">
        <is>
          <t>TravelLine Booking Engine [Чайковский]</t>
        </is>
      </c>
      <c r="G886" s="3">
        <f>ROUND(D886/(100-E886)*100,2)</f>
        <v/>
      </c>
      <c r="H886" s="5" t="n">
        <v>46237.58333333334</v>
      </c>
      <c r="I886" t="n">
        <v>3</v>
      </c>
      <c r="J886" s="3">
        <f>G886/I886</f>
        <v/>
      </c>
      <c r="K886">
        <f>IF(J886&gt;=5100,"ставка","мин.ставка")</f>
        <v/>
      </c>
      <c r="L886" s="3">
        <f>ROUND(IF(K886="мин.ставка",I886*100,G886/102*2),2)</f>
        <v/>
      </c>
      <c r="M886" s="5" t="n">
        <v>46240.5</v>
      </c>
      <c r="N886" t="inlineStr">
        <is>
          <t>TravelLine сайт</t>
        </is>
      </c>
      <c r="O886" s="2" t="inlineStr">
        <is>
          <t>СТАНДАРТНЫЙ ДВУХМЕСТНЫЙ НОМЕР</t>
        </is>
      </c>
      <c r="P886" s="6" t="n"/>
      <c r="R886" t="inlineStr"/>
      <c r="S886" t="inlineStr">
        <is>
          <t>Тариф с завтраком</t>
        </is>
      </c>
      <c r="T886" t="n">
        <v>0</v>
      </c>
      <c r="U886" t="n">
        <v>73729.5</v>
      </c>
    </row>
    <row r="887">
      <c r="A887" t="inlineStr">
        <is>
          <t>20260909-8186-464779928</t>
        </is>
      </c>
      <c r="B887" t="n">
        <v>1</v>
      </c>
      <c r="C887" s="2" t="inlineStr">
        <is>
          <t>Сергей Чеканов</t>
        </is>
      </c>
      <c r="D887" s="3" t="n">
        <v>11600</v>
      </c>
      <c r="E887" s="4" t="n">
        <v>20</v>
      </c>
      <c r="F887" t="inlineStr">
        <is>
          <t>ООО "КОМПАНИЯ БРОНЕВИК" [Чайковский]</t>
        </is>
      </c>
      <c r="G887" s="3">
        <f>ROUND(D887/(100-E887)*100,2)</f>
        <v/>
      </c>
      <c r="H887" s="5" t="n">
        <v>46274.58333333334</v>
      </c>
      <c r="I887" t="n">
        <v>1</v>
      </c>
      <c r="J887" s="3">
        <f>G887/I887</f>
        <v/>
      </c>
      <c r="K887">
        <f>IF(J887&gt;=5100,"ставка","мин.ставка")</f>
        <v/>
      </c>
      <c r="L887" s="3">
        <f>ROUND(IF(K887="мин.ставка",I887*100,G887/102*2),2)</f>
        <v/>
      </c>
      <c r="M887" s="5" t="n">
        <v>46275.5</v>
      </c>
      <c r="N887" t="inlineStr">
        <is>
          <t>TravelLine BR2</t>
        </is>
      </c>
      <c r="O887" s="2" t="inlineStr">
        <is>
          <t>ПОЛУЛЮКС</t>
        </is>
      </c>
      <c r="P887" s="6" t="n"/>
      <c r="R887" t="inlineStr"/>
      <c r="S887" t="inlineStr">
        <is>
          <t>Тариф с завтраком</t>
        </is>
      </c>
      <c r="T887" t="n">
        <v>0</v>
      </c>
      <c r="U887" t="n">
        <v>11600</v>
      </c>
    </row>
    <row r="888">
      <c r="A888" t="inlineStr">
        <is>
          <t>20260919-8186-466902324</t>
        </is>
      </c>
      <c r="B888" t="n">
        <v>1</v>
      </c>
      <c r="C888" s="2" t="inlineStr">
        <is>
          <t>Сергей Шаролапов</t>
        </is>
      </c>
      <c r="D888" s="3" t="n">
        <v>15800</v>
      </c>
      <c r="E888" s="4" t="n">
        <v>0</v>
      </c>
      <c r="F888" t="inlineStr">
        <is>
          <t>Прямые бронирования (стойка) [Чайковский]</t>
        </is>
      </c>
      <c r="G888" s="3">
        <f>ROUND(D888/(100-E888)*100,2)</f>
        <v/>
      </c>
      <c r="H888" s="5" t="n">
        <v>46284.58333333334</v>
      </c>
      <c r="I888" t="n">
        <v>1</v>
      </c>
      <c r="J888" s="3">
        <f>G888/I888</f>
        <v/>
      </c>
      <c r="K888">
        <f>IF(J888&gt;=5100,"ставка","мин.ставка")</f>
        <v/>
      </c>
      <c r="L888" s="3">
        <f>ROUND(IF(K888="мин.ставка",I888*100,G888/102*2),2)</f>
        <v/>
      </c>
      <c r="M888" s="5" t="n">
        <v>46285.5</v>
      </c>
      <c r="N888" t="inlineStr">
        <is>
          <t>TravelLine ресепшн</t>
        </is>
      </c>
      <c r="O888" s="2" t="inlineStr">
        <is>
          <t>ЛЮКС ВТОРОЙ КОРПУС</t>
        </is>
      </c>
      <c r="P888" s="6" t="n"/>
      <c r="R888" t="inlineStr"/>
      <c r="S888" t="inlineStr">
        <is>
          <t>Тариф с завтраком</t>
        </is>
      </c>
      <c r="T888" t="n">
        <v>0</v>
      </c>
      <c r="U888" t="n">
        <v>15800</v>
      </c>
    </row>
    <row r="889">
      <c r="A889" t="inlineStr">
        <is>
          <t>20260704-8186-447496041</t>
        </is>
      </c>
      <c r="B889" t="n">
        <v>1</v>
      </c>
      <c r="C889" s="2" t="inlineStr">
        <is>
          <t>Сергей Шпаков, ВАЛЕРИЯ ШПАКОВА</t>
        </is>
      </c>
      <c r="D889" s="3" t="n">
        <v>49252.5</v>
      </c>
      <c r="E889" s="4" t="n">
        <v>4</v>
      </c>
      <c r="F889" t="inlineStr">
        <is>
          <t>TravelLine Booking Engine [Чайковский]</t>
        </is>
      </c>
      <c r="G889" s="3">
        <f>ROUND(D889/(100-E889)*100,2)</f>
        <v/>
      </c>
      <c r="H889" s="5" t="n">
        <v>46207.70833333334</v>
      </c>
      <c r="I889" t="n">
        <v>3</v>
      </c>
      <c r="J889" s="3">
        <f>G889/I889</f>
        <v/>
      </c>
      <c r="K889">
        <f>IF(J889&gt;=5100,"ставка","мин.ставка")</f>
        <v/>
      </c>
      <c r="L889" s="3">
        <f>ROUND(IF(K889="мин.ставка",I889*100,G889/102*2),2)</f>
        <v/>
      </c>
      <c r="M889" s="5" t="n">
        <v>46210.66666666666</v>
      </c>
      <c r="N889" t="inlineStr">
        <is>
          <t>TravelLine сайт</t>
        </is>
      </c>
      <c r="O889" s="2" t="inlineStr">
        <is>
          <t>ЛЮКС ВТОРОЙ КОРПУС</t>
        </is>
      </c>
      <c r="P889" s="6" t="n"/>
      <c r="R889" t="inlineStr"/>
      <c r="S889" t="inlineStr">
        <is>
          <t>Тариф с завтраком</t>
        </is>
      </c>
      <c r="T889" t="n">
        <v>3440</v>
      </c>
      <c r="U889" t="n">
        <v>52692.5</v>
      </c>
    </row>
    <row r="890">
      <c r="A890" t="inlineStr">
        <is>
          <t>20260819-8186-457340079</t>
        </is>
      </c>
      <c r="B890" t="n">
        <v>1</v>
      </c>
      <c r="C890" s="2" t="inlineStr">
        <is>
          <t>София Гапаева, Юлия Тыртычева</t>
        </is>
      </c>
      <c r="D890" s="3" t="n">
        <v>29904</v>
      </c>
      <c r="E890" s="4" t="n">
        <v>16</v>
      </c>
      <c r="F890" t="inlineStr">
        <is>
          <t>ООО "БРОНИРОВАНИЕ ГОСТИНИЦ" (OSTROVOK) [Чайковский]</t>
        </is>
      </c>
      <c r="G890" s="3">
        <f>ROUND(D890/(100-E890)*100,2)</f>
        <v/>
      </c>
      <c r="H890" s="5" t="n">
        <v>46253.58333333334</v>
      </c>
      <c r="I890" t="n">
        <v>2</v>
      </c>
      <c r="J890" s="3">
        <f>G890/I890</f>
        <v/>
      </c>
      <c r="K890">
        <f>IF(J890&gt;=5100,"ставка","мин.ставка")</f>
        <v/>
      </c>
      <c r="L890" s="3">
        <f>ROUND(IF(K890="мин.ставка",I890*100,G890/102*2),2)</f>
        <v/>
      </c>
      <c r="M890" s="5" t="n">
        <v>46255.5</v>
      </c>
      <c r="N890" t="inlineStr">
        <is>
          <t>TravelLine OTK</t>
        </is>
      </c>
      <c r="O890" s="2" t="inlineStr">
        <is>
          <t>ЛЮКС ВТОРОЙ КОРПУС</t>
        </is>
      </c>
      <c r="P890" s="6" t="n"/>
      <c r="R890" t="inlineStr"/>
      <c r="S890" t="inlineStr">
        <is>
          <t>Тариф с завтраком</t>
        </is>
      </c>
      <c r="T890" t="n">
        <v>0</v>
      </c>
      <c r="U890" t="n">
        <v>29904</v>
      </c>
    </row>
    <row r="891">
      <c r="A891" t="inlineStr">
        <is>
          <t>20260810-8186-434605762</t>
        </is>
      </c>
      <c r="B891" t="n">
        <v>1</v>
      </c>
      <c r="C891" s="2" t="inlineStr">
        <is>
          <t>СОФЬЯ МАКАРОВА, МАКСИМ САЛТЫКОВ</t>
        </is>
      </c>
      <c r="D891" s="3" t="n">
        <v>58905</v>
      </c>
      <c r="E891" s="4" t="n">
        <v>0</v>
      </c>
      <c r="F891" t="inlineStr">
        <is>
          <t>ООО "АЛЕАН ОТДЫХ" [Чайковский]</t>
        </is>
      </c>
      <c r="G891" s="3">
        <f>ROUND(D891/(100-E891)*100,2)</f>
        <v/>
      </c>
      <c r="H891" s="5" t="n">
        <v>46244.58333333334</v>
      </c>
      <c r="I891" t="n">
        <v>7</v>
      </c>
      <c r="J891" s="3">
        <f>G891/I891</f>
        <v/>
      </c>
      <c r="K891">
        <f>IF(J891&gt;=5100,"ставка","мин.ставка")</f>
        <v/>
      </c>
      <c r="L891" s="3">
        <f>ROUND(IF(K891="мин.ставка",I891*100,G891/102*2),2)</f>
        <v/>
      </c>
      <c r="M891" s="5" t="n">
        <v>46251.5</v>
      </c>
      <c r="N891" t="inlineStr">
        <is>
          <t>TravelLine ALN</t>
        </is>
      </c>
      <c r="O891" s="2" t="inlineStr">
        <is>
          <t>СТАНДАРТНЫЙ ДВУХМЕСТНЫЙ НОМЕР (МАНСАРДА)</t>
        </is>
      </c>
      <c r="P891" s="6" t="n"/>
      <c r="R891" t="inlineStr"/>
      <c r="S891" t="inlineStr">
        <is>
          <t>Тариф с завтраком</t>
        </is>
      </c>
      <c r="T891" t="n">
        <v>0</v>
      </c>
      <c r="U891" t="n">
        <v>58905</v>
      </c>
    </row>
    <row r="892">
      <c r="A892" t="inlineStr">
        <is>
          <t>20260806-8186-421013488</t>
        </is>
      </c>
      <c r="B892" t="n">
        <v>1</v>
      </c>
      <c r="C892" s="2" t="inlineStr">
        <is>
          <t>Станислав Драпеза, Елена Жданович</t>
        </is>
      </c>
      <c r="D892" s="3" t="n">
        <v>89782</v>
      </c>
      <c r="E892" s="4" t="n">
        <v>17</v>
      </c>
      <c r="F892" t="inlineStr">
        <is>
          <t>ООО "ОНЛАЙН ИННОВАЦИИ" (101 Отель) [Чайковский]</t>
        </is>
      </c>
      <c r="G892" s="3">
        <f>ROUND(D892/(100-E892)*100,2)</f>
        <v/>
      </c>
      <c r="H892" s="5" t="n">
        <v>46240.58333333334</v>
      </c>
      <c r="I892" t="n">
        <v>6</v>
      </c>
      <c r="J892" s="3">
        <f>G892/I892</f>
        <v/>
      </c>
      <c r="K892">
        <f>IF(J892&gt;=5100,"ставка","мин.ставка")</f>
        <v/>
      </c>
      <c r="L892" s="3">
        <f>ROUND(IF(K892="мин.ставка",I892*100,G892/102*2),2)</f>
        <v/>
      </c>
      <c r="M892" s="5" t="n">
        <v>46246.5</v>
      </c>
      <c r="N892" t="inlineStr">
        <is>
          <t>TravelLine H1C</t>
        </is>
      </c>
      <c r="O892" s="2" t="inlineStr">
        <is>
          <t>УЛУЧШЕННЫЙ ДВУХМЕСТНЫЙ НОМЕР</t>
        </is>
      </c>
      <c r="P892" s="6" t="n"/>
      <c r="R892" t="inlineStr"/>
      <c r="S892" t="inlineStr">
        <is>
          <t>Тариф с завтраком</t>
        </is>
      </c>
      <c r="T892" t="n">
        <v>0</v>
      </c>
      <c r="U892" t="n">
        <v>89782</v>
      </c>
    </row>
    <row r="893">
      <c r="A893" t="inlineStr">
        <is>
          <t>20260725-8186-451545829</t>
        </is>
      </c>
      <c r="B893" t="n">
        <v>1</v>
      </c>
      <c r="C893" s="2" t="inlineStr">
        <is>
          <t>Станислав Ершов, Мария Мельникова</t>
        </is>
      </c>
      <c r="D893" s="3" t="n">
        <v>14240</v>
      </c>
      <c r="E893" s="4" t="n">
        <v>18</v>
      </c>
      <c r="F893" t="inlineStr">
        <is>
          <t>Яндекс.Путешествия [Чайковский]</t>
        </is>
      </c>
      <c r="G893" s="3">
        <f>ROUND(D893/(100-E893)*100,2)</f>
        <v/>
      </c>
      <c r="H893" s="5" t="n">
        <v>46234.58333333334</v>
      </c>
      <c r="I893" t="n">
        <v>1</v>
      </c>
      <c r="J893" s="3">
        <f>G893/I893</f>
        <v/>
      </c>
      <c r="K893">
        <f>IF(J893&gt;=5100,"ставка","мин.ставка")</f>
        <v/>
      </c>
      <c r="L893" s="3">
        <f>ROUND(IF(K893="мин.ставка",I893*100,G893/102*2),2)</f>
        <v/>
      </c>
      <c r="M893" s="5" t="n">
        <v>46235.79166666666</v>
      </c>
      <c r="N893" t="inlineStr">
        <is>
          <t>TravelLine YAX</t>
        </is>
      </c>
      <c r="O893" s="2" t="inlineStr">
        <is>
          <t>ЛЮКС ВТОРОЙ КОРПУС</t>
        </is>
      </c>
      <c r="P893" s="6" t="n"/>
      <c r="R893" t="inlineStr"/>
      <c r="S893" t="inlineStr">
        <is>
          <t>Тариф с завтраком</t>
        </is>
      </c>
      <c r="T893" t="n">
        <v>8900</v>
      </c>
      <c r="U893" t="n">
        <v>23140</v>
      </c>
    </row>
    <row r="894">
      <c r="A894" t="inlineStr">
        <is>
          <t>20260923-8186-467728893</t>
        </is>
      </c>
      <c r="B894" t="n">
        <v>1</v>
      </c>
      <c r="C894" s="2" t="inlineStr">
        <is>
          <t>Станислав Николаев</t>
        </is>
      </c>
      <c r="D894" s="3" t="n">
        <v>11205</v>
      </c>
      <c r="E894" s="4" t="n">
        <v>0</v>
      </c>
      <c r="F894" t="inlineStr">
        <is>
          <t>Прямые бронирования (стойка) [Чайковский]</t>
        </is>
      </c>
      <c r="G894" s="3">
        <f>ROUND(D894/(100-E894)*100,2)</f>
        <v/>
      </c>
      <c r="H894" s="5" t="n">
        <v>46288.58333333334</v>
      </c>
      <c r="I894" t="n">
        <v>1</v>
      </c>
      <c r="J894" s="3">
        <f>G894/I894</f>
        <v/>
      </c>
      <c r="K894">
        <f>IF(J894&gt;=5100,"ставка","мин.ставка")</f>
        <v/>
      </c>
      <c r="L894" s="3">
        <f>ROUND(IF(K894="мин.ставка",I894*100,G894/102*2),2)</f>
        <v/>
      </c>
      <c r="M894" s="5" t="n">
        <v>46289.5</v>
      </c>
      <c r="N894" t="inlineStr">
        <is>
          <t>TravelLine ресепшн</t>
        </is>
      </c>
      <c r="O894" s="2" t="inlineStr">
        <is>
          <t>СЕМЕЙНЫЙ НОМЕР КАТЕГОРИИ "СТАНДАРТ" ВТОРОЙ КОРПУС</t>
        </is>
      </c>
      <c r="P894" s="6" t="n"/>
      <c r="R894" t="inlineStr"/>
      <c r="S894" t="inlineStr">
        <is>
          <t>Тариф с завтраком</t>
        </is>
      </c>
      <c r="T894" t="n">
        <v>0</v>
      </c>
      <c r="U894" t="n">
        <v>11205</v>
      </c>
    </row>
    <row r="895">
      <c r="A895" t="inlineStr">
        <is>
          <t>20260916-8186-461387202</t>
        </is>
      </c>
      <c r="B895" t="n">
        <v>1</v>
      </c>
      <c r="C895" s="2" t="inlineStr">
        <is>
          <t>Станислав Шапырин</t>
        </is>
      </c>
      <c r="D895" s="3" t="n">
        <v>11600</v>
      </c>
      <c r="E895" s="4" t="n">
        <v>20</v>
      </c>
      <c r="F895" t="inlineStr">
        <is>
          <t>ООО «Дубль Гис» (OTELLO) [Чайковский]</t>
        </is>
      </c>
      <c r="G895" s="3">
        <f>ROUND(D895/(100-E895)*100,2)</f>
        <v/>
      </c>
      <c r="H895" s="5" t="n">
        <v>46281.58333333334</v>
      </c>
      <c r="I895" t="n">
        <v>1</v>
      </c>
      <c r="J895" s="3">
        <f>G895/I895</f>
        <v/>
      </c>
      <c r="K895">
        <f>IF(J895&gt;=5100,"ставка","мин.ставка")</f>
        <v/>
      </c>
      <c r="L895" s="3">
        <f>ROUND(IF(K895="мин.ставка",I895*100,G895/102*2),2)</f>
        <v/>
      </c>
      <c r="M895" s="5" t="n">
        <v>46282.5</v>
      </c>
      <c r="N895" t="inlineStr">
        <is>
          <t>TravelLine OL2</t>
        </is>
      </c>
      <c r="O895" s="2" t="inlineStr">
        <is>
          <t>ПОЛУЛЮКС</t>
        </is>
      </c>
      <c r="P895" s="6" t="n"/>
      <c r="R895" t="inlineStr"/>
      <c r="S895" t="inlineStr">
        <is>
          <t>Тариф с завтраком</t>
        </is>
      </c>
      <c r="T895" t="n">
        <v>0</v>
      </c>
      <c r="U895" t="n">
        <v>11600</v>
      </c>
    </row>
    <row r="896">
      <c r="A896" t="inlineStr">
        <is>
          <t>20260812-8186-457353835</t>
        </is>
      </c>
      <c r="B896" t="n">
        <v>1</v>
      </c>
      <c r="C896" s="2" t="inlineStr">
        <is>
          <t>Сурен Мусаелян</t>
        </is>
      </c>
      <c r="D896" s="3" t="n">
        <v>9647.5</v>
      </c>
      <c r="E896" s="4" t="n">
        <v>15</v>
      </c>
      <c r="F896" t="inlineStr">
        <is>
          <t>ООО «12Т» (ранее ONE TWO TRIP) [Чайковский]</t>
        </is>
      </c>
      <c r="G896" s="3">
        <f>ROUND(D896/(100-E896)*100,2)</f>
        <v/>
      </c>
      <c r="H896" s="5" t="n">
        <v>46246.58333333334</v>
      </c>
      <c r="I896" t="n">
        <v>1</v>
      </c>
      <c r="J896" s="3">
        <f>G896/I896</f>
        <v/>
      </c>
      <c r="K896">
        <f>IF(J896&gt;=5100,"ставка","мин.ставка")</f>
        <v/>
      </c>
      <c r="L896" s="3">
        <f>ROUND(IF(K896="мин.ставка",I896*100,G896/102*2),2)</f>
        <v/>
      </c>
      <c r="M896" s="5" t="n">
        <v>46247.5</v>
      </c>
      <c r="N896" t="inlineStr">
        <is>
          <t>TravelLine OTT</t>
        </is>
      </c>
      <c r="O896" s="2" t="inlineStr">
        <is>
          <t>СТАНДАРТНЫЙ ДВУХМЕСТНЫЙ НОМЕР</t>
        </is>
      </c>
      <c r="P896" s="6" t="n"/>
      <c r="R896" t="inlineStr"/>
      <c r="S896" t="inlineStr">
        <is>
          <t>Тариф с завтраком</t>
        </is>
      </c>
      <c r="T896" t="n">
        <v>0</v>
      </c>
      <c r="U896" t="n">
        <v>9647.5</v>
      </c>
    </row>
    <row r="897">
      <c r="A897" t="inlineStr">
        <is>
          <t>20260725-8186-451752132</t>
        </is>
      </c>
      <c r="B897" t="n">
        <v>1</v>
      </c>
      <c r="C897" s="2" t="inlineStr">
        <is>
          <t>Татьяна Августова, ПОЛИНА БУЛЛЕР</t>
        </is>
      </c>
      <c r="D897" s="3" t="n">
        <v>24805</v>
      </c>
      <c r="E897" s="4" t="n">
        <v>18</v>
      </c>
      <c r="F897" t="inlineStr">
        <is>
          <t>ООО "Эй энд Эй" [Чайковский]</t>
        </is>
      </c>
      <c r="G897" s="3">
        <f>ROUND(D897/(100-E897)*100,2)</f>
        <v/>
      </c>
      <c r="H897" s="5" t="n">
        <v>46228.58333333334</v>
      </c>
      <c r="I897" t="n">
        <v>3</v>
      </c>
      <c r="J897" s="3">
        <f>G897/I897</f>
        <v/>
      </c>
      <c r="K897">
        <f>IF(J897&gt;=5100,"ставка","мин.ставка")</f>
        <v/>
      </c>
      <c r="L897" s="3">
        <f>ROUND(IF(K897="мин.ставка",I897*100,G897/102*2),2)</f>
        <v/>
      </c>
      <c r="M897" s="5" t="n">
        <v>46231.5</v>
      </c>
      <c r="N897" t="inlineStr">
        <is>
          <t>TravelLine ANA</t>
        </is>
      </c>
      <c r="O897" s="2" t="inlineStr">
        <is>
          <t>СЕМЕЙНЫЙ НОМЕР КАТЕГОРИИ "СТАНДАРТ" ВТОРОЙ КОРПУС</t>
        </is>
      </c>
      <c r="P897" s="6" t="n"/>
      <c r="R897" t="inlineStr"/>
      <c r="S897" t="inlineStr">
        <is>
          <t>Тариф с завтраком</t>
        </is>
      </c>
      <c r="T897" t="n">
        <v>6000</v>
      </c>
      <c r="U897" t="n">
        <v>30805</v>
      </c>
    </row>
    <row r="898">
      <c r="A898" t="inlineStr">
        <is>
          <t>20260920-8186-464686169</t>
        </is>
      </c>
      <c r="B898" t="n">
        <v>1</v>
      </c>
      <c r="C898" s="2" t="inlineStr">
        <is>
          <t>Татьяна Аксиненко</t>
        </is>
      </c>
      <c r="D898" s="3" t="n">
        <v>12180</v>
      </c>
      <c r="E898" s="4" t="n">
        <v>16</v>
      </c>
      <c r="F898" t="inlineStr">
        <is>
          <t>ООО "БРОНИРОВАНИЕ ГОСТИНИЦ" (OSTROVOK) [Чайковский]</t>
        </is>
      </c>
      <c r="G898" s="3">
        <f>ROUND(D898/(100-E898)*100,2)</f>
        <v/>
      </c>
      <c r="H898" s="5" t="n">
        <v>46292.58333333334</v>
      </c>
      <c r="I898" t="n">
        <v>1</v>
      </c>
      <c r="J898" s="3">
        <f>G898/I898</f>
        <v/>
      </c>
      <c r="K898">
        <f>IF(J898&gt;=5100,"ставка","мин.ставка")</f>
        <v/>
      </c>
      <c r="L898" s="3">
        <f>ROUND(IF(K898="мин.ставка",I898*100,G898/102*2),2)</f>
        <v/>
      </c>
      <c r="M898" s="5" t="n">
        <v>46293.5</v>
      </c>
      <c r="N898" t="inlineStr">
        <is>
          <t>TravelLine OTK</t>
        </is>
      </c>
      <c r="O898" s="2" t="inlineStr">
        <is>
          <t>ПОЛУЛЮКС</t>
        </is>
      </c>
      <c r="P898" s="6" t="n"/>
      <c r="R898" t="inlineStr"/>
      <c r="S898" t="inlineStr">
        <is>
          <t>Тариф с завтраком</t>
        </is>
      </c>
      <c r="T898" t="n">
        <v>0</v>
      </c>
      <c r="U898" t="n">
        <v>12180</v>
      </c>
    </row>
    <row r="899">
      <c r="A899" t="inlineStr">
        <is>
          <t>20260907-8186-462321664</t>
        </is>
      </c>
      <c r="B899" t="n">
        <v>1</v>
      </c>
      <c r="C899" s="2" t="inlineStr">
        <is>
          <t>Татьяна Аксиненко</t>
        </is>
      </c>
      <c r="D899" s="3" t="n">
        <v>23200</v>
      </c>
      <c r="E899" s="4" t="n">
        <v>20</v>
      </c>
      <c r="F899" t="inlineStr">
        <is>
          <t>ООО "КОМПАНИЯ БРОНЕВИК" [Чайковский]</t>
        </is>
      </c>
      <c r="G899" s="3">
        <f>ROUND(D899/(100-E899)*100,2)</f>
        <v/>
      </c>
      <c r="H899" s="5" t="n">
        <v>46272.58333333334</v>
      </c>
      <c r="I899" t="n">
        <v>2</v>
      </c>
      <c r="J899" s="3">
        <f>G899/I899</f>
        <v/>
      </c>
      <c r="K899">
        <f>IF(J899&gt;=5100,"ставка","мин.ставка")</f>
        <v/>
      </c>
      <c r="L899" s="3">
        <f>ROUND(IF(K899="мин.ставка",I899*100,G899/102*2),2)</f>
        <v/>
      </c>
      <c r="M899" s="5" t="n">
        <v>46274.5</v>
      </c>
      <c r="N899" t="inlineStr">
        <is>
          <t>TravelLine BR2</t>
        </is>
      </c>
      <c r="O899" s="2" t="inlineStr">
        <is>
          <t>ПОЛУЛЮКС</t>
        </is>
      </c>
      <c r="P899" s="6" t="n"/>
      <c r="R899" t="inlineStr"/>
      <c r="S899" t="inlineStr">
        <is>
          <t>Тариф с завтраком</t>
        </is>
      </c>
      <c r="T899" t="n">
        <v>0</v>
      </c>
      <c r="U899" t="n">
        <v>23200</v>
      </c>
    </row>
    <row r="900">
      <c r="A900" t="inlineStr">
        <is>
          <t>20260729-8186-454077989</t>
        </is>
      </c>
      <c r="B900" t="n">
        <v>1</v>
      </c>
      <c r="C900" s="2" t="inlineStr">
        <is>
          <t>Татьяна Бельтюкова</t>
        </is>
      </c>
      <c r="D900" s="3" t="n">
        <v>13856.7</v>
      </c>
      <c r="E900" s="4" t="n">
        <v>4</v>
      </c>
      <c r="F900" t="inlineStr">
        <is>
          <t>TravelLine Booking Engine [Чайковский]</t>
        </is>
      </c>
      <c r="G900" s="3">
        <f>ROUND(D900/(100-E900)*100,2)</f>
        <v/>
      </c>
      <c r="H900" s="5" t="n">
        <v>46232.58333333334</v>
      </c>
      <c r="I900" t="n">
        <v>1</v>
      </c>
      <c r="J900" s="3">
        <f>G900/I900</f>
        <v/>
      </c>
      <c r="K900">
        <f>IF(J900&gt;=5100,"ставка","мин.ставка")</f>
        <v/>
      </c>
      <c r="L900" s="3">
        <f>ROUND(IF(K900="мин.ставка",I900*100,G900/102*2),2)</f>
        <v/>
      </c>
      <c r="M900" s="5" t="n">
        <v>46233.5</v>
      </c>
      <c r="N900" t="inlineStr">
        <is>
          <t>TravelLine сайт</t>
        </is>
      </c>
      <c r="O900" s="2" t="inlineStr">
        <is>
          <t>ЛЮКС ВТОРОЙ КОРПУС</t>
        </is>
      </c>
      <c r="P900" s="6" t="n"/>
      <c r="R900" t="inlineStr"/>
      <c r="S900" t="inlineStr">
        <is>
          <t>Основной тариф без завтрака</t>
        </is>
      </c>
      <c r="T900" t="n">
        <v>0</v>
      </c>
      <c r="U900" t="n">
        <v>13856.7</v>
      </c>
    </row>
    <row r="901">
      <c r="A901" t="inlineStr">
        <is>
          <t>20260828-8186-461231604</t>
        </is>
      </c>
      <c r="B901" t="n">
        <v>1</v>
      </c>
      <c r="C901" s="2" t="inlineStr">
        <is>
          <t>Татьяна Губанова, Андрей Губанов</t>
        </is>
      </c>
      <c r="D901" s="3" t="n">
        <v>28550.5</v>
      </c>
      <c r="E901" s="4" t="n">
        <v>4</v>
      </c>
      <c r="F901" t="inlineStr">
        <is>
          <t>TravelLine Booking Engine [Чайковский]</t>
        </is>
      </c>
      <c r="G901" s="3">
        <f>ROUND(D901/(100-E901)*100,2)</f>
        <v/>
      </c>
      <c r="H901" s="5" t="n">
        <v>46262.58333333334</v>
      </c>
      <c r="I901" t="n">
        <v>2</v>
      </c>
      <c r="J901" s="3">
        <f>G901/I901</f>
        <v/>
      </c>
      <c r="K901">
        <f>IF(J901&gt;=5100,"ставка","мин.ставка")</f>
        <v/>
      </c>
      <c r="L901" s="3">
        <f>ROUND(IF(K901="мин.ставка",I901*100,G901/102*2),2)</f>
        <v/>
      </c>
      <c r="M901" s="5" t="n">
        <v>46264.5</v>
      </c>
      <c r="N901" t="inlineStr">
        <is>
          <t>TravelLine сайт</t>
        </is>
      </c>
      <c r="O901" s="2" t="inlineStr">
        <is>
          <t>ЛЮКС ВТОРОЙ КОРПУС</t>
        </is>
      </c>
      <c r="P901" s="6" t="n"/>
      <c r="R901" t="inlineStr"/>
      <c r="S901" t="inlineStr">
        <is>
          <t>Основной тариф без завтрака</t>
        </is>
      </c>
      <c r="T901" t="n">
        <v>0</v>
      </c>
      <c r="U901" t="n">
        <v>28550.5</v>
      </c>
    </row>
    <row r="902">
      <c r="A902" t="inlineStr">
        <is>
          <t>20260917-8186-465196900</t>
        </is>
      </c>
      <c r="B902" t="n">
        <v>1</v>
      </c>
      <c r="C902" s="2" t="inlineStr">
        <is>
          <t>Татьяна Еремеева</t>
        </is>
      </c>
      <c r="D902" s="3" t="n">
        <v>43050.5</v>
      </c>
      <c r="E902" s="4" t="n">
        <v>4</v>
      </c>
      <c r="F902" t="inlineStr">
        <is>
          <t>TravelLine Booking Engine [Чайковский]</t>
        </is>
      </c>
      <c r="G902" s="3">
        <f>ROUND(D902/(100-E902)*100,2)</f>
        <v/>
      </c>
      <c r="H902" s="5" t="n">
        <v>46282.58333333334</v>
      </c>
      <c r="I902" t="n">
        <v>3</v>
      </c>
      <c r="J902" s="3">
        <f>G902/I902</f>
        <v/>
      </c>
      <c r="K902">
        <f>IF(J902&gt;=5100,"ставка","мин.ставка")</f>
        <v/>
      </c>
      <c r="L902" s="3">
        <f>ROUND(IF(K902="мин.ставка",I902*100,G902/102*2),2)</f>
        <v/>
      </c>
      <c r="M902" s="5" t="n">
        <v>46285.5</v>
      </c>
      <c r="N902" t="inlineStr">
        <is>
          <t>TravelLine сайт</t>
        </is>
      </c>
      <c r="O902" s="2" t="inlineStr">
        <is>
          <t>ПОЛУЛЮКС</t>
        </is>
      </c>
      <c r="P902" s="6" t="n"/>
      <c r="R902" t="inlineStr"/>
      <c r="S902" t="inlineStr">
        <is>
          <t>Тариф с завтраком</t>
        </is>
      </c>
      <c r="T902" t="n">
        <v>0</v>
      </c>
      <c r="U902" t="n">
        <v>43050.5</v>
      </c>
    </row>
    <row r="903">
      <c r="A903" t="inlineStr">
        <is>
          <t>20260715-8186-440318690</t>
        </is>
      </c>
      <c r="B903" t="n">
        <v>1</v>
      </c>
      <c r="C903" s="2" t="inlineStr">
        <is>
          <t>Татьяна Кагановская, Александра Кагановская</t>
        </is>
      </c>
      <c r="D903" s="3" t="n">
        <v>30322.6</v>
      </c>
      <c r="E903" s="4" t="n">
        <v>4</v>
      </c>
      <c r="F903" t="inlineStr">
        <is>
          <t>TravelLine Booking Engine [Чайковский]</t>
        </is>
      </c>
      <c r="G903" s="3">
        <f>ROUND(D903/(100-E903)*100,2)</f>
        <v/>
      </c>
      <c r="H903" s="5" t="n">
        <v>46218.58333333334</v>
      </c>
      <c r="I903" t="n">
        <v>2</v>
      </c>
      <c r="J903" s="3">
        <f>G903/I903</f>
        <v/>
      </c>
      <c r="K903">
        <f>IF(J903&gt;=5100,"ставка","мин.ставка")</f>
        <v/>
      </c>
      <c r="L903" s="3">
        <f>ROUND(IF(K903="мин.ставка",I903*100,G903/102*2),2)</f>
        <v/>
      </c>
      <c r="M903" s="5" t="n">
        <v>46220.5</v>
      </c>
      <c r="N903" t="inlineStr">
        <is>
          <t>TravelLine сайт</t>
        </is>
      </c>
      <c r="O903" s="2" t="inlineStr">
        <is>
          <t>УЛУЧШЕННЫЙ ДВУХМЕСТНЫЙ НОМЕР</t>
        </is>
      </c>
      <c r="P903" s="6" t="n"/>
      <c r="R903" t="inlineStr"/>
      <c r="S903" t="inlineStr">
        <is>
          <t>Тариф с завтраком</t>
        </is>
      </c>
      <c r="T903" t="n">
        <v>0</v>
      </c>
      <c r="U903" t="n">
        <v>30322.6</v>
      </c>
    </row>
    <row r="904">
      <c r="A904" t="inlineStr">
        <is>
          <t>20260907-8186-462098127</t>
        </is>
      </c>
      <c r="B904" t="n">
        <v>1</v>
      </c>
      <c r="C904" s="2" t="inlineStr">
        <is>
          <t>Татьяна Казакова</t>
        </is>
      </c>
      <c r="D904" s="3" t="n">
        <v>18160</v>
      </c>
      <c r="E904" s="4" t="n">
        <v>20</v>
      </c>
      <c r="F904" t="inlineStr">
        <is>
          <t>ООО "КОМПАНИЯ БРОНЕВИК" [Чайковский]</t>
        </is>
      </c>
      <c r="G904" s="3">
        <f>ROUND(D904/(100-E904)*100,2)</f>
        <v/>
      </c>
      <c r="H904" s="5" t="n">
        <v>46272.33333333334</v>
      </c>
      <c r="I904" t="n">
        <v>2</v>
      </c>
      <c r="J904" s="3">
        <f>G904/I904</f>
        <v/>
      </c>
      <c r="K904">
        <f>IF(J904&gt;=5100,"ставка","мин.ставка")</f>
        <v/>
      </c>
      <c r="L904" s="3">
        <f>ROUND(IF(K904="мин.ставка",I904*100,G904/102*2),2)</f>
        <v/>
      </c>
      <c r="M904" s="5" t="n">
        <v>46274.5</v>
      </c>
      <c r="N904" t="inlineStr">
        <is>
          <t>TravelLine BR2</t>
        </is>
      </c>
      <c r="O904" s="2" t="inlineStr">
        <is>
          <t>СТАНДАРТНЫЙ ДВУХМЕСТНЫЙ НОМЕР</t>
        </is>
      </c>
      <c r="P904" s="6" t="n"/>
      <c r="R904" t="inlineStr"/>
      <c r="S904" t="inlineStr">
        <is>
          <t>Тариф с завтраком</t>
        </is>
      </c>
      <c r="T904" t="n">
        <v>9080</v>
      </c>
      <c r="U904" t="n">
        <v>27240</v>
      </c>
    </row>
    <row r="905">
      <c r="A905" t="inlineStr">
        <is>
          <t>20260901-8186-461813683</t>
        </is>
      </c>
      <c r="B905" t="n">
        <v>1</v>
      </c>
      <c r="C905" s="2" t="inlineStr">
        <is>
          <t>Татьяна Коржаева</t>
        </is>
      </c>
      <c r="D905" s="3" t="n">
        <v>19295</v>
      </c>
      <c r="E905" s="4" t="n">
        <v>15</v>
      </c>
      <c r="F905" t="inlineStr">
        <is>
          <t>ООО «12Т» (ранее ONE TWO TRIP) [Чайковский]</t>
        </is>
      </c>
      <c r="G905" s="3">
        <f>ROUND(D905/(100-E905)*100,2)</f>
        <v/>
      </c>
      <c r="H905" s="5" t="n">
        <v>46266.58333333334</v>
      </c>
      <c r="I905" t="n">
        <v>2</v>
      </c>
      <c r="J905" s="3">
        <f>G905/I905</f>
        <v/>
      </c>
      <c r="K905">
        <f>IF(J905&gt;=5100,"ставка","мин.ставка")</f>
        <v/>
      </c>
      <c r="L905" s="3">
        <f>ROUND(IF(K905="мин.ставка",I905*100,G905/102*2),2)</f>
        <v/>
      </c>
      <c r="M905" s="5" t="n">
        <v>46268.5</v>
      </c>
      <c r="N905" t="inlineStr">
        <is>
          <t>TravelLine OTT</t>
        </is>
      </c>
      <c r="O905" s="2" t="inlineStr">
        <is>
          <t>УЛУЧШЕННЫЙ ДВУХМЕСТНЫЙ НОМЕР</t>
        </is>
      </c>
      <c r="P905" s="6" t="n"/>
      <c r="R905" t="inlineStr"/>
      <c r="S905" t="inlineStr">
        <is>
          <t>Тариф с завтраком</t>
        </is>
      </c>
      <c r="T905" t="n">
        <v>0</v>
      </c>
      <c r="U905" t="n">
        <v>19295</v>
      </c>
    </row>
    <row r="906">
      <c r="A906" t="inlineStr">
        <is>
          <t>20260803-8186-453518058</t>
        </is>
      </c>
      <c r="B906" t="n">
        <v>1</v>
      </c>
      <c r="C906" s="2" t="inlineStr">
        <is>
          <t>Татьяна Коржаева</t>
        </is>
      </c>
      <c r="D906" s="3" t="n">
        <v>20145</v>
      </c>
      <c r="E906" s="4" t="n">
        <v>15</v>
      </c>
      <c r="F906" t="inlineStr">
        <is>
          <t>ООО «12Т» (ранее ONE TWO TRIP) [Чайковский]</t>
        </is>
      </c>
      <c r="G906" s="3">
        <f>ROUND(D906/(100-E906)*100,2)</f>
        <v/>
      </c>
      <c r="H906" s="5" t="n">
        <v>46237.58333333334</v>
      </c>
      <c r="I906" t="n">
        <v>3</v>
      </c>
      <c r="J906" s="3">
        <f>G906/I906</f>
        <v/>
      </c>
      <c r="K906">
        <f>IF(J906&gt;=5100,"ставка","мин.ставка")</f>
        <v/>
      </c>
      <c r="L906" s="3">
        <f>ROUND(IF(K906="мин.ставка",I906*100,G906/102*2),2)</f>
        <v/>
      </c>
      <c r="M906" s="5" t="n">
        <v>46240.5</v>
      </c>
      <c r="N906" t="inlineStr">
        <is>
          <t>TravelLine OTT</t>
        </is>
      </c>
      <c r="O906" s="2" t="inlineStr">
        <is>
          <t>СТАНДАРТНЫЙ ДВУХМЕСТНЫЙ НОМЕР (МАНСАРДА)</t>
        </is>
      </c>
      <c r="P906" s="6" t="n"/>
      <c r="R906" t="inlineStr"/>
      <c r="S906" t="inlineStr">
        <is>
          <t>Тариф с завтраком</t>
        </is>
      </c>
      <c r="T906" t="n">
        <v>0</v>
      </c>
      <c r="U906" t="n">
        <v>20145</v>
      </c>
    </row>
    <row r="907">
      <c r="A907" t="inlineStr">
        <is>
          <t>20260910-8186-461133023</t>
        </is>
      </c>
      <c r="B907" t="n">
        <v>1</v>
      </c>
      <c r="C907" s="2" t="inlineStr">
        <is>
          <t>ТАТЬЯНА МЕРКУЛОВА</t>
        </is>
      </c>
      <c r="D907" s="3" t="n">
        <v>31500</v>
      </c>
      <c r="E907" s="4" t="n">
        <v>16</v>
      </c>
      <c r="F907" t="inlineStr">
        <is>
          <t>ООО "БРОНИРОВАНИЕ ГОСТИНИЦ" (OSTROVOK) [Чайковский]</t>
        </is>
      </c>
      <c r="G907" s="3">
        <f>ROUND(D907/(100-E907)*100,2)</f>
        <v/>
      </c>
      <c r="H907" s="5" t="n">
        <v>46275.58333333334</v>
      </c>
      <c r="I907" t="n">
        <v>3</v>
      </c>
      <c r="J907" s="3">
        <f>G907/I907</f>
        <v/>
      </c>
      <c r="K907">
        <f>IF(J907&gt;=5100,"ставка","мин.ставка")</f>
        <v/>
      </c>
      <c r="L907" s="3">
        <f>ROUND(IF(K907="мин.ставка",I907*100,G907/102*2),2)</f>
        <v/>
      </c>
      <c r="M907" s="5" t="n">
        <v>46278.5</v>
      </c>
      <c r="N907" t="inlineStr">
        <is>
          <t>TravelLine OTK</t>
        </is>
      </c>
      <c r="O907" s="2" t="inlineStr">
        <is>
          <t>ЛЮКС ВТОРОЙ КОРПУС</t>
        </is>
      </c>
      <c r="P907" s="6" t="n"/>
      <c r="R907" t="inlineStr"/>
      <c r="S907" t="inlineStr">
        <is>
          <t>Основной тариф без завтрака</t>
        </is>
      </c>
      <c r="T907" t="n">
        <v>0</v>
      </c>
      <c r="U907" t="n">
        <v>31500</v>
      </c>
    </row>
    <row r="908">
      <c r="A908" t="inlineStr">
        <is>
          <t>20260823-8186-460513240</t>
        </is>
      </c>
      <c r="B908" t="n">
        <v>1</v>
      </c>
      <c r="C908" s="2" t="inlineStr">
        <is>
          <t>Татьяна Мешкова</t>
        </is>
      </c>
      <c r="D908" s="3" t="n">
        <v>6930</v>
      </c>
      <c r="E908" s="4" t="n">
        <v>0</v>
      </c>
      <c r="F908" t="inlineStr">
        <is>
          <t>Прямые бронирования (стойка) [Чайковский]</t>
        </is>
      </c>
      <c r="G908" s="3">
        <f>ROUND(D908/(100-E908)*100,2)</f>
        <v/>
      </c>
      <c r="H908" s="5" t="n">
        <v>46257.58333333334</v>
      </c>
      <c r="I908" t="n">
        <v>1</v>
      </c>
      <c r="J908" s="3">
        <f>G908/I908</f>
        <v/>
      </c>
      <c r="K908">
        <f>IF(J908&gt;=5100,"ставка","мин.ставка")</f>
        <v/>
      </c>
      <c r="L908" s="3">
        <f>ROUND(IF(K908="мин.ставка",I908*100,G908/102*2),2)</f>
        <v/>
      </c>
      <c r="M908" s="5" t="n">
        <v>46258.5</v>
      </c>
      <c r="N908" t="inlineStr">
        <is>
          <t>TravelLine ресепшн</t>
        </is>
      </c>
      <c r="O908" s="2" t="inlineStr">
        <is>
          <t>СТАНДАРТНЫЙ ОДНОМЕСТНЫЙ НОМЕР</t>
        </is>
      </c>
      <c r="P908" s="6" t="n"/>
      <c r="R908" t="inlineStr"/>
      <c r="S908" t="inlineStr">
        <is>
          <t>Тариф с завтраком</t>
        </is>
      </c>
      <c r="T908" t="n">
        <v>0</v>
      </c>
      <c r="U908" t="n">
        <v>6930</v>
      </c>
    </row>
    <row r="909">
      <c r="A909" t="inlineStr">
        <is>
          <t>20260817-8186-450392040</t>
        </is>
      </c>
      <c r="B909" t="n">
        <v>1</v>
      </c>
      <c r="C909" s="2" t="inlineStr">
        <is>
          <t>Татьяна Мешкова</t>
        </is>
      </c>
      <c r="D909" s="3" t="n">
        <v>56523</v>
      </c>
      <c r="E909" s="4" t="n">
        <v>20</v>
      </c>
      <c r="F909" t="inlineStr">
        <is>
          <t>ООО «Дубль Гис» (OTELLO) [Чайковский]</t>
        </is>
      </c>
      <c r="G909" s="3">
        <f>ROUND(D909/(100-E909)*100,2)</f>
        <v/>
      </c>
      <c r="H909" s="5" t="n">
        <v>46251.58333333334</v>
      </c>
      <c r="I909" t="n">
        <v>6</v>
      </c>
      <c r="J909" s="3">
        <f>G909/I909</f>
        <v/>
      </c>
      <c r="K909">
        <f>IF(J909&gt;=5100,"ставка","мин.ставка")</f>
        <v/>
      </c>
      <c r="L909" s="3">
        <f>ROUND(IF(K909="мин.ставка",I909*100,G909/102*2),2)</f>
        <v/>
      </c>
      <c r="M909" s="5" t="n">
        <v>46257.5</v>
      </c>
      <c r="N909" t="inlineStr">
        <is>
          <t>TravelLine OL2</t>
        </is>
      </c>
      <c r="O909" s="2" t="inlineStr">
        <is>
          <t>СТАНДАРТНЫЙ ДВУХМЕСТНЫЙ НОМЕР</t>
        </is>
      </c>
      <c r="P909" s="6" t="n"/>
      <c r="R909" t="inlineStr"/>
      <c r="S909" t="inlineStr">
        <is>
          <t>Тариф с завтраком</t>
        </is>
      </c>
      <c r="T909" t="n">
        <v>0</v>
      </c>
      <c r="U909" t="n">
        <v>56523</v>
      </c>
    </row>
    <row r="910">
      <c r="A910" t="inlineStr">
        <is>
          <t>20260817-8186-450380196</t>
        </is>
      </c>
      <c r="B910" t="n">
        <v>1</v>
      </c>
      <c r="C910" s="2" t="inlineStr">
        <is>
          <t>Татьяна Мулинова</t>
        </is>
      </c>
      <c r="D910" s="3" t="n">
        <v>18614</v>
      </c>
      <c r="E910" s="4" t="n">
        <v>18</v>
      </c>
      <c r="F910" t="inlineStr">
        <is>
          <t>ООО "Эй энд Эй" [Чайковский]</t>
        </is>
      </c>
      <c r="G910" s="3">
        <f>ROUND(D910/(100-E910)*100,2)</f>
        <v/>
      </c>
      <c r="H910" s="5" t="n">
        <v>46251.58333333334</v>
      </c>
      <c r="I910" t="n">
        <v>2</v>
      </c>
      <c r="J910" s="3">
        <f>G910/I910</f>
        <v/>
      </c>
      <c r="K910">
        <f>IF(J910&gt;=5100,"ставка","мин.ставка")</f>
        <v/>
      </c>
      <c r="L910" s="3">
        <f>ROUND(IF(K910="мин.ставка",I910*100,G910/102*2),2)</f>
        <v/>
      </c>
      <c r="M910" s="5" t="n">
        <v>46253.5</v>
      </c>
      <c r="N910" t="inlineStr">
        <is>
          <t>TravelLine ANA</t>
        </is>
      </c>
      <c r="O910" s="2" t="inlineStr">
        <is>
          <t>СТАНДАРТНЫЙ ДВУХМЕСТНЫЙ НОМЕР</t>
        </is>
      </c>
      <c r="P910" s="6" t="n"/>
      <c r="R910" t="inlineStr"/>
      <c r="S910" t="inlineStr">
        <is>
          <t>Тариф с завтраком</t>
        </is>
      </c>
      <c r="T910" t="n">
        <v>0</v>
      </c>
      <c r="U910" t="n">
        <v>18614</v>
      </c>
    </row>
    <row r="911">
      <c r="A911" t="inlineStr">
        <is>
          <t>20260721-8186-445148990</t>
        </is>
      </c>
      <c r="B911" t="n">
        <v>1</v>
      </c>
      <c r="C911" s="2" t="inlineStr">
        <is>
          <t>Татьяна Парунова, Виталий Терехов</t>
        </is>
      </c>
      <c r="D911" s="3" t="n">
        <v>32040</v>
      </c>
      <c r="E911" s="4" t="n">
        <v>18</v>
      </c>
      <c r="F911" t="inlineStr">
        <is>
          <t>Яндекс.Путешествия [Чайковский]</t>
        </is>
      </c>
      <c r="G911" s="3">
        <f>ROUND(D911/(100-E911)*100,2)</f>
        <v/>
      </c>
      <c r="H911" s="5" t="n">
        <v>46224.58333333334</v>
      </c>
      <c r="I911" t="n">
        <v>3</v>
      </c>
      <c r="J911" s="3">
        <f>G911/I911</f>
        <v/>
      </c>
      <c r="K911">
        <f>IF(J911&gt;=5100,"ставка","мин.ставка")</f>
        <v/>
      </c>
      <c r="L911" s="3">
        <f>ROUND(IF(K911="мин.ставка",I911*100,G911/102*2),2)</f>
        <v/>
      </c>
      <c r="M911" s="5" t="n">
        <v>46227.5</v>
      </c>
      <c r="N911" t="inlineStr">
        <is>
          <t>TravelLine YAX</t>
        </is>
      </c>
      <c r="O911" s="2" t="inlineStr">
        <is>
          <t>СТАНДАРТНЫЙ ДВУХМЕСТНЫЙ НОМЕР</t>
        </is>
      </c>
      <c r="P911" s="6" t="n"/>
      <c r="R911" t="inlineStr"/>
      <c r="S911" t="inlineStr">
        <is>
          <t>Тариф с завтраком</t>
        </is>
      </c>
      <c r="T911" t="n">
        <v>0</v>
      </c>
      <c r="U911" t="n">
        <v>32040</v>
      </c>
    </row>
    <row r="912">
      <c r="A912" t="inlineStr">
        <is>
          <t>20260807-8186-451684061</t>
        </is>
      </c>
      <c r="B912" t="n">
        <v>1</v>
      </c>
      <c r="C912" s="2" t="inlineStr">
        <is>
          <t>ТАТЬЯНА ПЕТРОВА, ЕЛЕНА ВАЛЬТЕР</t>
        </is>
      </c>
      <c r="D912" s="3" t="n">
        <v>22695</v>
      </c>
      <c r="E912" s="4" t="n">
        <v>15</v>
      </c>
      <c r="F912" t="inlineStr">
        <is>
          <t>ООО "Библио-Глобус Туроператор" [Чайковский]</t>
        </is>
      </c>
      <c r="G912" s="3">
        <f>ROUND(D912/(100-E912)*100,2)</f>
        <v/>
      </c>
      <c r="H912" s="5" t="n">
        <v>46241.58333333334</v>
      </c>
      <c r="I912" t="n">
        <v>2</v>
      </c>
      <c r="J912" s="3">
        <f>G912/I912</f>
        <v/>
      </c>
      <c r="K912">
        <f>IF(J912&gt;=5100,"ставка","мин.ставка")</f>
        <v/>
      </c>
      <c r="L912" s="3">
        <f>ROUND(IF(K912="мин.ставка",I912*100,G912/102*2),2)</f>
        <v/>
      </c>
      <c r="M912" s="5" t="n">
        <v>46243.5</v>
      </c>
      <c r="N912" t="inlineStr">
        <is>
          <t>TravelLine BGL</t>
        </is>
      </c>
      <c r="O912" s="2" t="inlineStr">
        <is>
          <t>СТАНДАРТНЫЙ ДВУХМЕСТНЫЙ НОМЕР</t>
        </is>
      </c>
      <c r="P912" s="6" t="n"/>
      <c r="R912" t="inlineStr"/>
      <c r="S912" t="inlineStr">
        <is>
          <t>Тариф с завтраком</t>
        </is>
      </c>
      <c r="T912" t="n">
        <v>0</v>
      </c>
      <c r="U912" t="n">
        <v>22695</v>
      </c>
    </row>
    <row r="913">
      <c r="A913" t="inlineStr">
        <is>
          <t>20260829-8186-451483327</t>
        </is>
      </c>
      <c r="B913" t="n">
        <v>1</v>
      </c>
      <c r="C913" s="2" t="inlineStr">
        <is>
          <t>Татьяна Познякова, Павел Синявский</t>
        </is>
      </c>
      <c r="D913" s="3" t="n">
        <v>24651</v>
      </c>
      <c r="E913" s="4" t="n">
        <v>17</v>
      </c>
      <c r="F913" t="inlineStr">
        <is>
          <t>ООО «Интернет Трэвел» (OZON) [Чайковский]</t>
        </is>
      </c>
      <c r="G913" s="3">
        <f>ROUND(D913/(100-E913)*100,2)</f>
        <v/>
      </c>
      <c r="H913" s="5" t="n">
        <v>46263.58333333334</v>
      </c>
      <c r="I913" t="n">
        <v>3</v>
      </c>
      <c r="J913" s="3">
        <f>G913/I913</f>
        <v/>
      </c>
      <c r="K913">
        <f>IF(J913&gt;=5100,"ставка","мин.ставка")</f>
        <v/>
      </c>
      <c r="L913" s="3">
        <f>ROUND(IF(K913="мин.ставка",I913*100,G913/102*2),2)</f>
        <v/>
      </c>
      <c r="M913" s="5" t="n">
        <v>46266.5</v>
      </c>
      <c r="N913" t="inlineStr">
        <is>
          <t>TravelLine OZ2</t>
        </is>
      </c>
      <c r="O913" s="2" t="inlineStr">
        <is>
          <t>СТАНДАРТНЫЙ ДВУХМЕСТНЫЙ НОМЕР (МАНСАРДА)</t>
        </is>
      </c>
      <c r="P913" s="6" t="n"/>
      <c r="R913" t="inlineStr"/>
      <c r="S913" t="inlineStr">
        <is>
          <t>Тариф с завтраком</t>
        </is>
      </c>
      <c r="T913" t="n">
        <v>0</v>
      </c>
      <c r="U913" t="n">
        <v>24651</v>
      </c>
    </row>
    <row r="914">
      <c r="A914" t="inlineStr">
        <is>
          <t>20260911-8186-457261694</t>
        </is>
      </c>
      <c r="B914" t="n">
        <v>1</v>
      </c>
      <c r="C914" s="2" t="inlineStr">
        <is>
          <t>ТАТЬЯНА ПРУССАКОВА</t>
        </is>
      </c>
      <c r="D914" s="3" t="n">
        <v>19635</v>
      </c>
      <c r="E914" s="4" t="n">
        <v>15</v>
      </c>
      <c r="F914" t="inlineStr">
        <is>
          <t>Trip.com Group [Чайковский]</t>
        </is>
      </c>
      <c r="G914" s="3">
        <f>ROUND(D914/(100-E914)*100,2)</f>
        <v/>
      </c>
      <c r="H914" s="5" t="n">
        <v>46276.58333333334</v>
      </c>
      <c r="I914" t="n">
        <v>3</v>
      </c>
      <c r="J914" s="3">
        <f>G914/I914</f>
        <v/>
      </c>
      <c r="K914">
        <f>IF(J914&gt;=5100,"ставка","мин.ставка")</f>
        <v/>
      </c>
      <c r="L914" s="3">
        <f>ROUND(IF(K914="мин.ставка",I914*100,G914/102*2),2)</f>
        <v/>
      </c>
      <c r="M914" s="5" t="n">
        <v>46279.5</v>
      </c>
      <c r="N914" t="inlineStr">
        <is>
          <t>TravelLine CTP</t>
        </is>
      </c>
      <c r="O914" s="2" t="inlineStr">
        <is>
          <t>СТАНДАРТНЫЙ ОДНОМЕСТНЫЙ НОМЕР</t>
        </is>
      </c>
      <c r="P914" s="6" t="n"/>
      <c r="R914" t="inlineStr"/>
      <c r="S914" t="inlineStr">
        <is>
          <t>Тариф с завтраком</t>
        </is>
      </c>
      <c r="T914" t="n">
        <v>0</v>
      </c>
      <c r="U914" t="n">
        <v>19635</v>
      </c>
    </row>
    <row r="915">
      <c r="A915" t="inlineStr">
        <is>
          <t>20260919-8186-459559612</t>
        </is>
      </c>
      <c r="B915" t="n">
        <v>1</v>
      </c>
      <c r="C915" s="2" t="inlineStr">
        <is>
          <t>ТАТЬЯНА РИКАЛЕНКО</t>
        </is>
      </c>
      <c r="D915" s="3" t="n">
        <v>28602</v>
      </c>
      <c r="E915" s="4" t="n">
        <v>16</v>
      </c>
      <c r="F915" t="inlineStr">
        <is>
          <t>ООО "БРОНИРОВАНИЕ ГОСТИНИЦ" (OSTROVOK) [Чайковский]</t>
        </is>
      </c>
      <c r="G915" s="3">
        <f>ROUND(D915/(100-E915)*100,2)</f>
        <v/>
      </c>
      <c r="H915" s="5" t="n">
        <v>46284.58333333334</v>
      </c>
      <c r="I915" t="n">
        <v>3</v>
      </c>
      <c r="J915" s="3">
        <f>G915/I915</f>
        <v/>
      </c>
      <c r="K915">
        <f>IF(J915&gt;=5100,"ставка","мин.ставка")</f>
        <v/>
      </c>
      <c r="L915" s="3">
        <f>ROUND(IF(K915="мин.ставка",I915*100,G915/102*2),2)</f>
        <v/>
      </c>
      <c r="M915" s="5" t="n">
        <v>46287.5</v>
      </c>
      <c r="N915" t="inlineStr">
        <is>
          <t>TravelLine OTK</t>
        </is>
      </c>
      <c r="O915" s="2" t="inlineStr">
        <is>
          <t>СТАНДАРТНЫЙ ДВУХМЕСТНЫЙ НОМЕР</t>
        </is>
      </c>
      <c r="P915" s="6" t="n"/>
      <c r="R915" t="inlineStr"/>
      <c r="S915" t="inlineStr">
        <is>
          <t>Тариф с завтраком</t>
        </is>
      </c>
      <c r="T915" t="n">
        <v>0</v>
      </c>
      <c r="U915" t="n">
        <v>28602</v>
      </c>
    </row>
    <row r="916">
      <c r="A916" t="inlineStr">
        <is>
          <t>20260804-8186-452574889</t>
        </is>
      </c>
      <c r="B916" t="n">
        <v>1</v>
      </c>
      <c r="C916" s="2" t="inlineStr">
        <is>
          <t>Татьяна Слезко, Анна Максимова</t>
        </is>
      </c>
      <c r="D916" s="3" t="n">
        <v>26286.15</v>
      </c>
      <c r="E916" s="4" t="n">
        <v>4</v>
      </c>
      <c r="F916" t="inlineStr">
        <is>
          <t>TravelLine Booking Engine [Чайковский]</t>
        </is>
      </c>
      <c r="G916" s="3">
        <f>ROUND(D916/(100-E916)*100,2)</f>
        <v/>
      </c>
      <c r="H916" s="5" t="n">
        <v>46238.58333333334</v>
      </c>
      <c r="I916" t="n">
        <v>2</v>
      </c>
      <c r="J916" s="3">
        <f>G916/I916</f>
        <v/>
      </c>
      <c r="K916">
        <f>IF(J916&gt;=5100,"ставка","мин.ставка")</f>
        <v/>
      </c>
      <c r="L916" s="3">
        <f>ROUND(IF(K916="мин.ставка",I916*100,G916/102*2),2)</f>
        <v/>
      </c>
      <c r="M916" s="5" t="n">
        <v>46240.5</v>
      </c>
      <c r="N916" t="inlineStr">
        <is>
          <t>TravelLine сайт</t>
        </is>
      </c>
      <c r="O916" s="2" t="inlineStr">
        <is>
          <t>СТАНДАРТНЫЙ ДВУХМЕСТНЫЙ НОМЕР</t>
        </is>
      </c>
      <c r="P916" s="6" t="n"/>
      <c r="R916" t="inlineStr"/>
      <c r="S916" t="inlineStr">
        <is>
          <t>Тариф с завтраком</t>
        </is>
      </c>
      <c r="T916" t="n">
        <v>90</v>
      </c>
      <c r="U916" t="n">
        <v>26376.15</v>
      </c>
    </row>
    <row r="917">
      <c r="A917" t="inlineStr">
        <is>
          <t>20260724-8186-448711908</t>
        </is>
      </c>
      <c r="B917" t="n">
        <v>1</v>
      </c>
      <c r="C917" s="2" t="inlineStr">
        <is>
          <t>ТАТЬЯНА СЛИВНИЦЫНА, МАЙЯ СЛИВНИЦЫНА</t>
        </is>
      </c>
      <c r="D917" s="3" t="n">
        <v>22695</v>
      </c>
      <c r="E917" s="4" t="n">
        <v>15</v>
      </c>
      <c r="F917" t="inlineStr">
        <is>
          <t>ООО "БРОНИРОВАНИЕ ГОСТИНИЦ" (OSTROVOK) [Чайковский]</t>
        </is>
      </c>
      <c r="G917" s="3">
        <f>ROUND(D917/(100-E917)*100,2)</f>
        <v/>
      </c>
      <c r="H917" s="5" t="n">
        <v>46227.58333333334</v>
      </c>
      <c r="I917" t="n">
        <v>2</v>
      </c>
      <c r="J917" s="3">
        <f>G917/I917</f>
        <v/>
      </c>
      <c r="K917">
        <f>IF(J917&gt;=5100,"ставка","мин.ставка")</f>
        <v/>
      </c>
      <c r="L917" s="3">
        <f>ROUND(IF(K917="мин.ставка",I917*100,G917/102*2),2)</f>
        <v/>
      </c>
      <c r="M917" s="5" t="n">
        <v>46229.5</v>
      </c>
      <c r="N917" t="inlineStr">
        <is>
          <t>TravelLine OTK</t>
        </is>
      </c>
      <c r="O917" s="2" t="inlineStr">
        <is>
          <t>СТАНДАРТНЫЙ ДВУХМЕСТНЫЙ НОМЕР</t>
        </is>
      </c>
      <c r="P917" s="6" t="n"/>
      <c r="R917" t="inlineStr"/>
      <c r="S917" t="inlineStr">
        <is>
          <t>Тариф с завтраком</t>
        </is>
      </c>
      <c r="T917" t="n">
        <v>1300</v>
      </c>
      <c r="U917" t="n">
        <v>23995</v>
      </c>
    </row>
    <row r="918">
      <c r="A918" t="inlineStr">
        <is>
          <t>20260721-8186-429851742</t>
        </is>
      </c>
      <c r="B918" t="n">
        <v>1</v>
      </c>
      <c r="C918" s="2" t="inlineStr">
        <is>
          <t>Татьяна СМирнова, НИКИТА БОРМОТКИН</t>
        </is>
      </c>
      <c r="D918" s="3" t="n">
        <v>9593.1</v>
      </c>
      <c r="E918" s="4" t="n">
        <v>4</v>
      </c>
      <c r="F918" t="inlineStr">
        <is>
          <t>TravelLine Booking Engine [Чайковский]</t>
        </is>
      </c>
      <c r="G918" s="3">
        <f>ROUND(D918/(100-E918)*100,2)</f>
        <v/>
      </c>
      <c r="H918" s="5" t="n">
        <v>46224.58333333334</v>
      </c>
      <c r="I918" t="n">
        <v>1</v>
      </c>
      <c r="J918" s="3">
        <f>G918/I918</f>
        <v/>
      </c>
      <c r="K918">
        <f>IF(J918&gt;=5100,"ставка","мин.ставка")</f>
        <v/>
      </c>
      <c r="L918" s="3">
        <f>ROUND(IF(K918="мин.ставка",I918*100,G918/102*2),2)</f>
        <v/>
      </c>
      <c r="M918" s="5" t="n">
        <v>46225.5</v>
      </c>
      <c r="N918" t="inlineStr">
        <is>
          <t>TravelLine сайт</t>
        </is>
      </c>
      <c r="O918" s="2" t="inlineStr">
        <is>
          <t>СТАНДАРТНЫЙ ДВУХМЕСТНЫЙ НОМЕР (МАНСАРДА)</t>
        </is>
      </c>
      <c r="P918" s="6" t="n"/>
      <c r="R918" t="inlineStr"/>
      <c r="S918" t="inlineStr">
        <is>
          <t>Тариф с завтраком</t>
        </is>
      </c>
      <c r="T918" t="n">
        <v>0</v>
      </c>
      <c r="U918" t="n">
        <v>9593.1</v>
      </c>
    </row>
    <row r="919">
      <c r="A919" t="inlineStr">
        <is>
          <t>20260822-8186-438680558</t>
        </is>
      </c>
      <c r="B919" t="n">
        <v>1</v>
      </c>
      <c r="C919" s="2" t="inlineStr">
        <is>
          <t>ТАТЬЯНА ТИМАКИНА, ЮЛИЯ ТИМАКИНА</t>
        </is>
      </c>
      <c r="D919" s="3" t="n">
        <v>45390</v>
      </c>
      <c r="E919" s="4" t="n">
        <v>16</v>
      </c>
      <c r="F919" t="inlineStr">
        <is>
          <t>ООО "БРОНИРОВАНИЕ ГОСТИНИЦ" (OSTROVOK) [Чайковский]</t>
        </is>
      </c>
      <c r="G919" s="3">
        <f>ROUND(D919/(100-E919)*100,2)</f>
        <v/>
      </c>
      <c r="H919" s="5" t="n">
        <v>46256.58333333334</v>
      </c>
      <c r="I919" t="n">
        <v>4</v>
      </c>
      <c r="J919" s="3">
        <f>G919/I919</f>
        <v/>
      </c>
      <c r="K919">
        <f>IF(J919&gt;=5100,"ставка","мин.ставка")</f>
        <v/>
      </c>
      <c r="L919" s="3">
        <f>ROUND(IF(K919="мин.ставка",I919*100,G919/102*2),2)</f>
        <v/>
      </c>
      <c r="M919" s="5" t="n">
        <v>46260.5</v>
      </c>
      <c r="N919" t="inlineStr">
        <is>
          <t>TravelLine OTK</t>
        </is>
      </c>
      <c r="O919" s="2" t="inlineStr">
        <is>
          <t>СТАНДАРТНЫЙ ДВУХМЕСТНЫЙ НОМЕР</t>
        </is>
      </c>
      <c r="P919" s="6" t="n"/>
      <c r="R919" t="inlineStr"/>
      <c r="S919" t="inlineStr">
        <is>
          <t>Тариф с завтраком</t>
        </is>
      </c>
      <c r="T919" t="n">
        <v>0</v>
      </c>
      <c r="U919" t="n">
        <v>45390</v>
      </c>
    </row>
    <row r="920">
      <c r="A920" t="inlineStr">
        <is>
          <t>20260712-8186-449535687</t>
        </is>
      </c>
      <c r="B920" t="n">
        <v>1</v>
      </c>
      <c r="C920" s="2" t="inlineStr">
        <is>
          <t>теймур алиев</t>
        </is>
      </c>
      <c r="D920" s="3" t="n">
        <v>7900</v>
      </c>
      <c r="E920" s="4" t="n">
        <v>0</v>
      </c>
      <c r="F920" t="inlineStr">
        <is>
          <t>Прямые бронирования (стойка) [Чайковский]</t>
        </is>
      </c>
      <c r="G920" s="3">
        <f>ROUND(D920/(100-E920)*100,2)</f>
        <v/>
      </c>
      <c r="H920" s="5" t="n">
        <v>46215.58333333334</v>
      </c>
      <c r="I920" t="n">
        <v>1</v>
      </c>
      <c r="J920" s="3">
        <f>G920/I920</f>
        <v/>
      </c>
      <c r="K920">
        <f>IF(J920&gt;=5100,"ставка","мин.ставка")</f>
        <v/>
      </c>
      <c r="L920" s="3">
        <f>ROUND(IF(K920="мин.ставка",I920*100,G920/102*2),2)</f>
        <v/>
      </c>
      <c r="M920" s="5" t="n">
        <v>46216.5</v>
      </c>
      <c r="N920" t="inlineStr">
        <is>
          <t>TravelLine ресепшн</t>
        </is>
      </c>
      <c r="O920" s="2" t="inlineStr">
        <is>
          <t>СТАНДАРТНЫЙ ДВУХМЕСТНЫЙ НОМЕР (МАНСАРДА)</t>
        </is>
      </c>
      <c r="P920" s="6" t="n"/>
      <c r="R920" t="inlineStr"/>
      <c r="S920" t="inlineStr">
        <is>
          <t>Тариф с завтраком</t>
        </is>
      </c>
      <c r="T920" t="n">
        <v>0</v>
      </c>
      <c r="U920" t="n">
        <v>7900</v>
      </c>
    </row>
    <row r="921">
      <c r="A921" t="inlineStr">
        <is>
          <t>20260713-8186-448358432</t>
        </is>
      </c>
      <c r="B921" t="n">
        <v>1</v>
      </c>
      <c r="C921" s="2" t="inlineStr">
        <is>
          <t>Тимофей Гладков</t>
        </is>
      </c>
      <c r="D921" s="3" t="n">
        <v>37228</v>
      </c>
      <c r="E921" s="4" t="n">
        <v>18</v>
      </c>
      <c r="F921" t="inlineStr">
        <is>
          <t>ООО "Эй энд Эй" [Чайковский]</t>
        </is>
      </c>
      <c r="G921" s="3">
        <f>ROUND(D921/(100-E921)*100,2)</f>
        <v/>
      </c>
      <c r="H921" s="5" t="n">
        <v>46216.58333333334</v>
      </c>
      <c r="I921" t="n">
        <v>4</v>
      </c>
      <c r="J921" s="3">
        <f>G921/I921</f>
        <v/>
      </c>
      <c r="K921">
        <f>IF(J921&gt;=5100,"ставка","мин.ставка")</f>
        <v/>
      </c>
      <c r="L921" s="3">
        <f>ROUND(IF(K921="мин.ставка",I921*100,G921/102*2),2)</f>
        <v/>
      </c>
      <c r="M921" s="5" t="n">
        <v>46220.5</v>
      </c>
      <c r="N921" t="inlineStr">
        <is>
          <t>TravelLine ANA</t>
        </is>
      </c>
      <c r="O921" s="2" t="inlineStr">
        <is>
          <t>СТАНДАРТНЫЙ ДВУХМЕСТНЫЙ НОМЕР</t>
        </is>
      </c>
      <c r="P921" s="6" t="n"/>
      <c r="R921" t="inlineStr"/>
      <c r="S921" t="inlineStr">
        <is>
          <t>Тариф с завтраком</t>
        </is>
      </c>
      <c r="T921" t="n">
        <v>0</v>
      </c>
      <c r="U921" t="n">
        <v>37228</v>
      </c>
    </row>
    <row r="922">
      <c r="A922" t="inlineStr">
        <is>
          <t>20260720-8186-410208436</t>
        </is>
      </c>
      <c r="B922" t="n">
        <v>1</v>
      </c>
      <c r="C922" s="2" t="inlineStr">
        <is>
          <t>Тимофей Чистяков, Ольга Чистякова</t>
        </is>
      </c>
      <c r="D922" s="3" t="n">
        <v>56826</v>
      </c>
      <c r="E922" s="4" t="n">
        <v>18</v>
      </c>
      <c r="F922" t="inlineStr">
        <is>
          <t>Яндекс.Путешествия [Чайковский]</t>
        </is>
      </c>
      <c r="G922" s="3">
        <f>ROUND(D922/(100-E922)*100,2)</f>
        <v/>
      </c>
      <c r="H922" s="5" t="n">
        <v>46223.58333333334</v>
      </c>
      <c r="I922" t="n">
        <v>7</v>
      </c>
      <c r="J922" s="3">
        <f>G922/I922</f>
        <v/>
      </c>
      <c r="K922">
        <f>IF(J922&gt;=5100,"ставка","мин.ставка")</f>
        <v/>
      </c>
      <c r="L922" s="3">
        <f>ROUND(IF(K922="мин.ставка",I922*100,G922/102*2),2)</f>
        <v/>
      </c>
      <c r="M922" s="5" t="n">
        <v>46230.5</v>
      </c>
      <c r="N922" t="inlineStr">
        <is>
          <t>TravelLine YAX</t>
        </is>
      </c>
      <c r="O922" s="2" t="inlineStr">
        <is>
          <t>СТАНДАРТНЫЙ ДВУХМЕСТНЫЙ НОМЕР (МАНСАРДА)</t>
        </is>
      </c>
      <c r="P922" s="6" t="n"/>
      <c r="R922" t="inlineStr"/>
      <c r="S922" t="inlineStr">
        <is>
          <t>Тариф с завтраком</t>
        </is>
      </c>
      <c r="T922" t="n">
        <v>0</v>
      </c>
      <c r="U922" t="n">
        <v>113652</v>
      </c>
    </row>
    <row r="923">
      <c r="A923" t="inlineStr">
        <is>
          <t>20260926-8186-468560155</t>
        </is>
      </c>
      <c r="B923" t="n">
        <v>1</v>
      </c>
      <c r="C923" s="2" t="inlineStr">
        <is>
          <t>Тимур Кукусов, Алина Алейникова</t>
        </is>
      </c>
      <c r="D923" s="3" t="n">
        <v>7425</v>
      </c>
      <c r="E923" s="4" t="n">
        <v>18</v>
      </c>
      <c r="F923" t="inlineStr">
        <is>
          <t>Яндекс.Путешествия [Чайковский]</t>
        </is>
      </c>
      <c r="G923" s="3">
        <f>ROUND(D923/(100-E923)*100,2)</f>
        <v/>
      </c>
      <c r="H923" s="5" t="n">
        <v>46291.58333333334</v>
      </c>
      <c r="I923" t="n">
        <v>1</v>
      </c>
      <c r="J923" s="3">
        <f>G923/I923</f>
        <v/>
      </c>
      <c r="K923">
        <f>IF(J923&gt;=5100,"ставка","мин.ставка")</f>
        <v/>
      </c>
      <c r="L923" s="3">
        <f>ROUND(IF(K923="мин.ставка",I923*100,G923/102*2),2)</f>
        <v/>
      </c>
      <c r="M923" s="5" t="n">
        <v>46292.5</v>
      </c>
      <c r="N923" t="inlineStr">
        <is>
          <t>TravelLine YAX</t>
        </is>
      </c>
      <c r="O923" s="2" t="inlineStr">
        <is>
          <t>СТАНДАРТНЫЙ ДВУХМЕСТНЫЙ НОМЕР (МАНСАРДА)</t>
        </is>
      </c>
      <c r="P923" s="6" t="n"/>
      <c r="R923" t="inlineStr"/>
      <c r="S923" t="inlineStr">
        <is>
          <t>Тариф с завтраком</t>
        </is>
      </c>
      <c r="T923" t="n">
        <v>0</v>
      </c>
      <c r="U923" t="n">
        <v>7425</v>
      </c>
    </row>
    <row r="924">
      <c r="A924" t="inlineStr">
        <is>
          <t>20260807-8186-440649751</t>
        </is>
      </c>
      <c r="B924" t="n">
        <v>1</v>
      </c>
      <c r="C924" s="2" t="inlineStr">
        <is>
          <t>Ульяна Вердельман, Никита Запольский</t>
        </is>
      </c>
      <c r="D924" s="3" t="n">
        <v>16252.5</v>
      </c>
      <c r="E924" s="4" t="n">
        <v>4</v>
      </c>
      <c r="F924" t="inlineStr">
        <is>
          <t>TravelLine Booking Engine [Чайковский]</t>
        </is>
      </c>
      <c r="G924" s="3">
        <f>ROUND(D924/(100-E924)*100,2)</f>
        <v/>
      </c>
      <c r="H924" s="5" t="n">
        <v>46241.58333333334</v>
      </c>
      <c r="I924" t="n">
        <v>1</v>
      </c>
      <c r="J924" s="3">
        <f>G924/I924</f>
        <v/>
      </c>
      <c r="K924">
        <f>IF(J924&gt;=5100,"ставка","мин.ставка")</f>
        <v/>
      </c>
      <c r="L924" s="3">
        <f>ROUND(IF(K924="мин.ставка",I924*100,G924/102*2),2)</f>
        <v/>
      </c>
      <c r="M924" s="5" t="n">
        <v>46242.5</v>
      </c>
      <c r="N924" t="inlineStr">
        <is>
          <t>TravelLine сайт</t>
        </is>
      </c>
      <c r="O924" s="2" t="inlineStr">
        <is>
          <t>ПОЛУЛЮКС</t>
        </is>
      </c>
      <c r="P924" s="6" t="n"/>
      <c r="R924" t="inlineStr"/>
      <c r="S924" t="inlineStr">
        <is>
          <t>Тариф с завтраком</t>
        </is>
      </c>
      <c r="T924" t="n">
        <v>0</v>
      </c>
      <c r="U924" t="n">
        <v>16252.5</v>
      </c>
    </row>
    <row r="925">
      <c r="A925" t="inlineStr">
        <is>
          <t>20260819-8186-418481838</t>
        </is>
      </c>
      <c r="B925" t="n">
        <v>1</v>
      </c>
      <c r="C925" s="2" t="inlineStr">
        <is>
          <t>Ульяна Главная, Никита Копылов</t>
        </is>
      </c>
      <c r="D925" s="3" t="n">
        <v>66549.75</v>
      </c>
      <c r="E925" s="4" t="n">
        <v>4</v>
      </c>
      <c r="F925" t="inlineStr">
        <is>
          <t>TravelLine Booking Engine [Чайковский]</t>
        </is>
      </c>
      <c r="G925" s="3">
        <f>ROUND(D925/(100-E925)*100,2)</f>
        <v/>
      </c>
      <c r="H925" s="5" t="n">
        <v>46253.625</v>
      </c>
      <c r="I925" t="n">
        <v>5</v>
      </c>
      <c r="J925" s="3">
        <f>G925/I925</f>
        <v/>
      </c>
      <c r="K925">
        <f>IF(J925&gt;=5100,"ставка","мин.ставка")</f>
        <v/>
      </c>
      <c r="L925" s="3">
        <f>ROUND(IF(K925="мин.ставка",I925*100,G925/102*2),2)</f>
        <v/>
      </c>
      <c r="M925" s="5" t="n">
        <v>46258.5</v>
      </c>
      <c r="N925" t="inlineStr">
        <is>
          <t>TravelLine сайт</t>
        </is>
      </c>
      <c r="O925" s="2" t="inlineStr">
        <is>
          <t>СТАНДАРТНЫЙ ДВУХМЕСТНЫЙ НОМЕР</t>
        </is>
      </c>
      <c r="P925" s="6" t="n"/>
      <c r="R925" t="inlineStr"/>
      <c r="S925" t="inlineStr">
        <is>
          <t>Тариф с завтраком</t>
        </is>
      </c>
      <c r="T925" t="n">
        <v>0</v>
      </c>
      <c r="U925" t="n">
        <v>66549.75</v>
      </c>
    </row>
    <row r="926">
      <c r="A926" t="inlineStr">
        <is>
          <t>20260915-8186-456118917</t>
        </is>
      </c>
      <c r="B926" t="n">
        <v>1</v>
      </c>
      <c r="C926" s="2" t="inlineStr">
        <is>
          <t>УЛЬЯНА ЦОЙ</t>
        </is>
      </c>
      <c r="D926" s="3" t="n">
        <v>9080</v>
      </c>
      <c r="E926" s="4" t="n">
        <v>20</v>
      </c>
      <c r="F926" t="inlineStr">
        <is>
          <t>ООО "ХБ-ПРО" [Чайковский]</t>
        </is>
      </c>
      <c r="G926" s="3">
        <f>ROUND(D926/(100-E926)*100,2)</f>
        <v/>
      </c>
      <c r="H926" s="5" t="n">
        <v>46280.58333333334</v>
      </c>
      <c r="I926" t="n">
        <v>1</v>
      </c>
      <c r="J926" s="3">
        <f>G926/I926</f>
        <v/>
      </c>
      <c r="K926">
        <f>IF(J926&gt;=5100,"ставка","мин.ставка")</f>
        <v/>
      </c>
      <c r="L926" s="3">
        <f>ROUND(IF(K926="мин.ставка",I926*100,G926/102*2),2)</f>
        <v/>
      </c>
      <c r="M926" s="5" t="n">
        <v>46281.5</v>
      </c>
      <c r="N926" t="inlineStr">
        <is>
          <t>TravelLine UTS</t>
        </is>
      </c>
      <c r="O926" s="2" t="inlineStr">
        <is>
          <t>СТАНДАРТНЫЙ ДВУХМЕСТНЫЙ НОМЕР</t>
        </is>
      </c>
      <c r="P926" s="6" t="n"/>
      <c r="R926" t="inlineStr"/>
      <c r="S926" t="inlineStr">
        <is>
          <t>Тариф с завтраком</t>
        </is>
      </c>
      <c r="T926" t="n">
        <v>0</v>
      </c>
      <c r="U926" t="n">
        <v>9080</v>
      </c>
    </row>
    <row r="927">
      <c r="A927" t="inlineStr">
        <is>
          <t>20260630-8186-444852393</t>
        </is>
      </c>
      <c r="B927" t="n">
        <v>1</v>
      </c>
      <c r="C927" s="2" t="inlineStr">
        <is>
          <t>УМАХАН САДЫКОВ</t>
        </is>
      </c>
      <c r="D927" s="3" t="n">
        <v>19295</v>
      </c>
      <c r="E927" s="4" t="n">
        <v>15</v>
      </c>
      <c r="F927" t="inlineStr">
        <is>
          <t>ООО "АКАДЕМ-ОНЛАЙН" [Чайковский]</t>
        </is>
      </c>
      <c r="G927" s="3">
        <f>ROUND(D927/(100-E927)*100,2)</f>
        <v/>
      </c>
      <c r="H927" s="5" t="n">
        <v>46203.58333333334</v>
      </c>
      <c r="I927" t="n">
        <v>2</v>
      </c>
      <c r="J927" s="3">
        <f>G927/I927</f>
        <v/>
      </c>
      <c r="K927">
        <f>IF(J927&gt;=5100,"ставка","мин.ставка")</f>
        <v/>
      </c>
      <c r="L927" s="3">
        <f>ROUND(IF(K927="мин.ставка",I927*100,G927/102*2),2)</f>
        <v/>
      </c>
      <c r="M927" s="5" t="n">
        <v>46205.5</v>
      </c>
      <c r="N927" t="inlineStr">
        <is>
          <t>TravelLine ACS</t>
        </is>
      </c>
      <c r="O927" s="2" t="inlineStr">
        <is>
          <t>СТАНДАРТНЫЙ ДВУХМЕСТНЫЙ НОМЕР</t>
        </is>
      </c>
      <c r="P927" s="6" t="n"/>
      <c r="R927" t="inlineStr"/>
      <c r="S927" t="inlineStr">
        <is>
          <t>Тариф с завтраком</t>
        </is>
      </c>
      <c r="T927" t="n">
        <v>0</v>
      </c>
      <c r="U927" t="n">
        <v>19295</v>
      </c>
    </row>
    <row r="928">
      <c r="A928" t="inlineStr">
        <is>
          <t>20260911-8186-464105054</t>
        </is>
      </c>
      <c r="B928" t="n">
        <v>1</v>
      </c>
      <c r="C928" s="2" t="inlineStr">
        <is>
          <t>Уфук Кырмызыгедик, Полина Кырмызыгедик</t>
        </is>
      </c>
      <c r="D928" s="3" t="n">
        <v>11550</v>
      </c>
      <c r="E928" s="4" t="n">
        <v>18</v>
      </c>
      <c r="F928" t="inlineStr">
        <is>
          <t>Яндекс.Путешествия [Чайковский]</t>
        </is>
      </c>
      <c r="G928" s="3">
        <f>ROUND(D928/(100-E928)*100,2)</f>
        <v/>
      </c>
      <c r="H928" s="5" t="n">
        <v>46276.58333333334</v>
      </c>
      <c r="I928" t="n">
        <v>1</v>
      </c>
      <c r="J928" s="3">
        <f>G928/I928</f>
        <v/>
      </c>
      <c r="K928">
        <f>IF(J928&gt;=5100,"ставка","мин.ставка")</f>
        <v/>
      </c>
      <c r="L928" s="3">
        <f>ROUND(IF(K928="мин.ставка",I928*100,G928/102*2),2)</f>
        <v/>
      </c>
      <c r="M928" s="5" t="n">
        <v>46277.5</v>
      </c>
      <c r="N928" t="inlineStr">
        <is>
          <t>TravelLine YAX</t>
        </is>
      </c>
      <c r="O928" s="2" t="inlineStr">
        <is>
          <t>УЛУЧШЕННЫЙ ДВУХМЕСТНЫЙ НОМЕР</t>
        </is>
      </c>
      <c r="P928" s="6" t="n"/>
      <c r="R928" t="inlineStr"/>
      <c r="S928" t="inlineStr">
        <is>
          <t>Тариф с завтраком</t>
        </is>
      </c>
      <c r="T928" t="n">
        <v>0</v>
      </c>
      <c r="U928" t="n">
        <v>11550</v>
      </c>
    </row>
    <row r="929">
      <c r="A929" t="inlineStr">
        <is>
          <t>20260714-8186-443685155</t>
        </is>
      </c>
      <c r="B929" t="n">
        <v>1</v>
      </c>
      <c r="C929" s="2" t="inlineStr">
        <is>
          <t>Фарида Баширова, Гульнар Мингалиева</t>
        </is>
      </c>
      <c r="D929" s="3" t="n">
        <v>11347.5</v>
      </c>
      <c r="E929" s="4" t="n">
        <v>0</v>
      </c>
      <c r="F929" t="inlineStr">
        <is>
          <t>ООО «ХОМЛИН ЛЭНД» (ПЕГАС) [Чайковский]</t>
        </is>
      </c>
      <c r="G929" s="3">
        <f>ROUND(D929/(100-E929)*100,2)</f>
        <v/>
      </c>
      <c r="H929" s="5" t="n">
        <v>46217.58333333334</v>
      </c>
      <c r="I929" t="n">
        <v>1</v>
      </c>
      <c r="J929" s="3">
        <f>G929/I929</f>
        <v/>
      </c>
      <c r="K929">
        <f>IF(J929&gt;=5100,"ставка","мин.ставка")</f>
        <v/>
      </c>
      <c r="L929" s="3">
        <f>ROUND(IF(K929="мин.ставка",I929*100,G929/102*2),2)</f>
        <v/>
      </c>
      <c r="M929" s="5" t="n">
        <v>46218.5</v>
      </c>
      <c r="N929" t="inlineStr">
        <is>
          <t>TravelLine PGS</t>
        </is>
      </c>
      <c r="O929" s="2" t="inlineStr">
        <is>
          <t>СТАНДАРТНЫЙ ДВУХМЕСТНЫЙ НОМЕР</t>
        </is>
      </c>
      <c r="P929" s="6" t="n"/>
      <c r="R929" t="inlineStr"/>
      <c r="S929" t="inlineStr">
        <is>
          <t>Тариф с завтраком</t>
        </is>
      </c>
      <c r="T929" t="n">
        <v>0</v>
      </c>
      <c r="U929" t="n">
        <v>11347.5</v>
      </c>
    </row>
    <row r="930">
      <c r="A930" t="inlineStr">
        <is>
          <t>20260715-8186-408690775</t>
        </is>
      </c>
      <c r="B930" t="n">
        <v>1</v>
      </c>
      <c r="C930" s="2" t="inlineStr">
        <is>
          <t>Фарида Баширова, Гульнар Мингалиева</t>
        </is>
      </c>
      <c r="D930" s="3" t="n">
        <v>33660</v>
      </c>
      <c r="E930" s="4" t="n">
        <v>0</v>
      </c>
      <c r="F930" t="inlineStr">
        <is>
          <t>ООО «ХОМЛИН ЛЭНД» (ПЕГАС) [Чайковский]</t>
        </is>
      </c>
      <c r="G930" s="3">
        <f>ROUND(D930/(100-E930)*100,2)</f>
        <v/>
      </c>
      <c r="H930" s="5" t="n">
        <v>46218.58333333334</v>
      </c>
      <c r="I930" t="n">
        <v>4</v>
      </c>
      <c r="J930" s="3">
        <f>G930/I930</f>
        <v/>
      </c>
      <c r="K930">
        <f>IF(J930&gt;=5100,"ставка","мин.ставка")</f>
        <v/>
      </c>
      <c r="L930" s="3">
        <f>ROUND(IF(K930="мин.ставка",I930*100,G930/102*2),2)</f>
        <v/>
      </c>
      <c r="M930" s="5" t="n">
        <v>46222.5</v>
      </c>
      <c r="N930" t="inlineStr">
        <is>
          <t>TravelLine PGS</t>
        </is>
      </c>
      <c r="O930" s="2" t="inlineStr">
        <is>
          <t>СТАНДАРТНЫЙ ДВУХМЕСТНЫЙ НОМЕР (МАНСАРДА)</t>
        </is>
      </c>
      <c r="P930" s="6" t="n"/>
      <c r="R930" t="inlineStr"/>
      <c r="S930" t="inlineStr">
        <is>
          <t>Тариф с завтраком</t>
        </is>
      </c>
      <c r="T930" t="n">
        <v>0</v>
      </c>
      <c r="U930" t="n">
        <v>33660</v>
      </c>
    </row>
    <row r="931">
      <c r="A931" t="inlineStr">
        <is>
          <t>20260718-8186-440294808</t>
        </is>
      </c>
      <c r="B931" t="n">
        <v>1</v>
      </c>
      <c r="C931" s="2" t="inlineStr">
        <is>
          <t>Фарида Торубарова, Лилия Минкина</t>
        </is>
      </c>
      <c r="D931" s="3" t="n">
        <v>45390</v>
      </c>
      <c r="E931" s="4" t="n">
        <v>0</v>
      </c>
      <c r="F931" t="inlineStr">
        <is>
          <t>ООО «ХОМЛИН ЛЭНД» (ПЕГАС) [Чайковский]</t>
        </is>
      </c>
      <c r="G931" s="3">
        <f>ROUND(D931/(100-E931)*100,2)</f>
        <v/>
      </c>
      <c r="H931" s="5" t="n">
        <v>46221.58333333334</v>
      </c>
      <c r="I931" t="n">
        <v>4</v>
      </c>
      <c r="J931" s="3">
        <f>G931/I931</f>
        <v/>
      </c>
      <c r="K931">
        <f>IF(J931&gt;=5100,"ставка","мин.ставка")</f>
        <v/>
      </c>
      <c r="L931" s="3">
        <f>ROUND(IF(K931="мин.ставка",I931*100,G931/102*2),2)</f>
        <v/>
      </c>
      <c r="M931" s="5" t="n">
        <v>46225.5</v>
      </c>
      <c r="N931" t="inlineStr">
        <is>
          <t>TravelLine PGS</t>
        </is>
      </c>
      <c r="O931" s="2" t="inlineStr">
        <is>
          <t>СТАНДАРТНЫЙ ДВУХМЕСТНЫЙ НОМЕР</t>
        </is>
      </c>
      <c r="P931" s="6" t="n"/>
      <c r="R931" t="inlineStr"/>
      <c r="S931" t="inlineStr">
        <is>
          <t>Тариф с завтраком</t>
        </is>
      </c>
      <c r="T931" t="n">
        <v>0</v>
      </c>
      <c r="U931" t="n">
        <v>45390</v>
      </c>
    </row>
    <row r="932">
      <c r="A932" t="inlineStr">
        <is>
          <t>20260814-8186-455467392</t>
        </is>
      </c>
      <c r="B932" t="n">
        <v>1</v>
      </c>
      <c r="C932" s="2" t="inlineStr">
        <is>
          <t>Федор Кузичкин, Роман Рафаилов</t>
        </is>
      </c>
      <c r="D932" s="3" t="n">
        <v>22161</v>
      </c>
      <c r="E932" s="4" t="n">
        <v>18</v>
      </c>
      <c r="F932" t="inlineStr">
        <is>
          <t>Яндекс.Путешествия [Чайковский]</t>
        </is>
      </c>
      <c r="G932" s="3">
        <f>ROUND(D932/(100-E932)*100,2)</f>
        <v/>
      </c>
      <c r="H932" s="5" t="n">
        <v>46248.58333333334</v>
      </c>
      <c r="I932" t="n">
        <v>2</v>
      </c>
      <c r="J932" s="3">
        <f>G932/I932</f>
        <v/>
      </c>
      <c r="K932">
        <f>IF(J932&gt;=5100,"ставка","мин.ставка")</f>
        <v/>
      </c>
      <c r="L932" s="3">
        <f>ROUND(IF(K932="мин.ставка",I932*100,G932/102*2),2)</f>
        <v/>
      </c>
      <c r="M932" s="5" t="n">
        <v>46250.5</v>
      </c>
      <c r="N932" t="inlineStr">
        <is>
          <t>TravelLine YAX</t>
        </is>
      </c>
      <c r="O932" s="2" t="inlineStr">
        <is>
          <t>СТАНДАРТНЫЙ ДВУХМЕСТНЫЙ НОМЕР</t>
        </is>
      </c>
      <c r="P932" s="6" t="n"/>
      <c r="R932" t="inlineStr"/>
      <c r="S932" t="inlineStr">
        <is>
          <t>Тариф с завтраком</t>
        </is>
      </c>
      <c r="T932" t="n">
        <v>0</v>
      </c>
      <c r="U932" t="n">
        <v>44322</v>
      </c>
    </row>
    <row r="933">
      <c r="A933" t="inlineStr">
        <is>
          <t>20260725-8186-453252891</t>
        </is>
      </c>
      <c r="B933" t="n">
        <v>1</v>
      </c>
      <c r="C933" s="2" t="inlineStr">
        <is>
          <t>ФЛОРИАН ГИНТЕР, ДАРЬЯ БОЙКО</t>
        </is>
      </c>
      <c r="D933" s="3" t="n">
        <v>10900</v>
      </c>
      <c r="E933" s="4" t="n">
        <v>0</v>
      </c>
      <c r="F933" t="inlineStr">
        <is>
          <t>Прямые бронирования (стойка) [Чайковский]</t>
        </is>
      </c>
      <c r="G933" s="3">
        <f>ROUND(D933/(100-E933)*100,2)</f>
        <v/>
      </c>
      <c r="H933" s="5" t="n">
        <v>46228.58333333334</v>
      </c>
      <c r="I933" t="n">
        <v>1</v>
      </c>
      <c r="J933" s="3">
        <f>G933/I933</f>
        <v/>
      </c>
      <c r="K933">
        <f>IF(J933&gt;=5100,"ставка","мин.ставка")</f>
        <v/>
      </c>
      <c r="L933" s="3">
        <f>ROUND(IF(K933="мин.ставка",I933*100,G933/102*2),2)</f>
        <v/>
      </c>
      <c r="M933" s="5" t="n">
        <v>46229.5</v>
      </c>
      <c r="N933" t="inlineStr">
        <is>
          <t>TravelLine ресепшн</t>
        </is>
      </c>
      <c r="O933" s="2" t="inlineStr">
        <is>
          <t>СТАНДАРТНЫЙ ДВУХМЕСТНЫЙ НОМЕР</t>
        </is>
      </c>
      <c r="P933" s="6" t="n"/>
      <c r="R933" t="inlineStr"/>
      <c r="S933" t="inlineStr">
        <is>
          <t>Тариф с завтраком</t>
        </is>
      </c>
      <c r="T933" t="n">
        <v>0</v>
      </c>
      <c r="U933" t="n">
        <v>10900</v>
      </c>
    </row>
    <row r="934">
      <c r="A934" t="inlineStr">
        <is>
          <t>20260930-8186-469709667</t>
        </is>
      </c>
      <c r="B934" t="n">
        <v>1</v>
      </c>
      <c r="C934" s="2" t="inlineStr">
        <is>
          <t>ШАШИН ШАШИН</t>
        </is>
      </c>
      <c r="D934" s="3" t="n">
        <v>13400</v>
      </c>
      <c r="E934" s="4" t="n">
        <v>0</v>
      </c>
      <c r="F934" t="inlineStr">
        <is>
          <t>Прямые бронирования (стойка) [Чайковский]</t>
        </is>
      </c>
      <c r="G934" s="3">
        <f>ROUND(D934/(100-E934)*100,2)</f>
        <v/>
      </c>
      <c r="H934" s="5" t="n">
        <v>46295.58333333334</v>
      </c>
      <c r="I934" t="n">
        <v>1</v>
      </c>
      <c r="J934" s="3">
        <f>G934/I934</f>
        <v/>
      </c>
      <c r="K934">
        <f>IF(J934&gt;=5100,"ставка","мин.ставка")</f>
        <v/>
      </c>
      <c r="L934" s="3">
        <f>ROUND(IF(K934="мин.ставка",I934*100,G934/102*2),2)</f>
        <v/>
      </c>
      <c r="M934" s="5" t="n">
        <v>46296.5</v>
      </c>
      <c r="N934" t="inlineStr">
        <is>
          <t>TravelLine ресепшн</t>
        </is>
      </c>
      <c r="O934" s="2" t="inlineStr">
        <is>
          <t>УЛУЧШЕННЫЙ ДВУХМЕСТНЫЙ НОМЕР</t>
        </is>
      </c>
      <c r="P934" s="6" t="n"/>
      <c r="R934" t="inlineStr"/>
      <c r="S934" t="inlineStr">
        <is>
          <t>Тариф с завтраком</t>
        </is>
      </c>
      <c r="T934" t="n">
        <v>0</v>
      </c>
      <c r="U934" t="n">
        <v>13400</v>
      </c>
    </row>
    <row r="935">
      <c r="A935" t="inlineStr">
        <is>
          <t>20260718-8186-430280842</t>
        </is>
      </c>
      <c r="B935" t="n">
        <v>1</v>
      </c>
      <c r="C935" s="2" t="inlineStr">
        <is>
          <t>Эдуард Дорожкин, Марина Дорожкина</t>
        </is>
      </c>
      <c r="D935" s="3" t="n">
        <v>9751.5</v>
      </c>
      <c r="E935" s="4" t="n">
        <v>4</v>
      </c>
      <c r="F935" t="inlineStr">
        <is>
          <t>TravelLine Booking Engine [Чайковский]</t>
        </is>
      </c>
      <c r="G935" s="3">
        <f>ROUND(D935/(100-E935)*100,2)</f>
        <v/>
      </c>
      <c r="H935" s="5" t="n">
        <v>46221.58333333334</v>
      </c>
      <c r="I935" t="n">
        <v>1</v>
      </c>
      <c r="J935" s="3">
        <f>G935/I935</f>
        <v/>
      </c>
      <c r="K935">
        <f>IF(J935&gt;=5100,"ставка","мин.ставка")</f>
        <v/>
      </c>
      <c r="L935" s="3">
        <f>ROUND(IF(K935="мин.ставка",I935*100,G935/102*2),2)</f>
        <v/>
      </c>
      <c r="M935" s="5" t="n">
        <v>46222.5</v>
      </c>
      <c r="N935" t="inlineStr">
        <is>
          <t>TravelLine сайт</t>
        </is>
      </c>
      <c r="O935" s="2" t="inlineStr">
        <is>
          <t>СТАНДАРТНЫЙ ДВУХМЕСТНЫЙ НОМЕР (МАНСАРДА)</t>
        </is>
      </c>
      <c r="P935" s="6" t="n"/>
      <c r="R935" t="inlineStr"/>
      <c r="S935" t="inlineStr">
        <is>
          <t>Тариф с завтраком</t>
        </is>
      </c>
      <c r="T935" t="n">
        <v>0</v>
      </c>
      <c r="U935" t="n">
        <v>9751.5</v>
      </c>
    </row>
    <row r="936">
      <c r="A936" t="inlineStr">
        <is>
          <t>20260824-8186-458333110</t>
        </is>
      </c>
      <c r="B936" t="n">
        <v>1</v>
      </c>
      <c r="C936" s="2" t="inlineStr">
        <is>
          <t>Эдуард Исаков</t>
        </is>
      </c>
      <c r="D936" s="3" t="n">
        <v>27921</v>
      </c>
      <c r="E936" s="4" t="n">
        <v>18</v>
      </c>
      <c r="F936" t="inlineStr">
        <is>
          <t>ООО "Эй энд Эй" [Чайковский]</t>
        </is>
      </c>
      <c r="G936" s="3">
        <f>ROUND(D936/(100-E936)*100,2)</f>
        <v/>
      </c>
      <c r="H936" s="5" t="n">
        <v>46258.58333333334</v>
      </c>
      <c r="I936" t="n">
        <v>3</v>
      </c>
      <c r="J936" s="3">
        <f>G936/I936</f>
        <v/>
      </c>
      <c r="K936">
        <f>IF(J936&gt;=5100,"ставка","мин.ставка")</f>
        <v/>
      </c>
      <c r="L936" s="3">
        <f>ROUND(IF(K936="мин.ставка",I936*100,G936/102*2),2)</f>
        <v/>
      </c>
      <c r="M936" s="5" t="n">
        <v>46261.5</v>
      </c>
      <c r="N936" t="inlineStr">
        <is>
          <t>TravelLine ANA</t>
        </is>
      </c>
      <c r="O936" s="2" t="inlineStr">
        <is>
          <t>УЛУЧШЕННЫЙ ДВУХМЕСТНЫЙ НОМЕР</t>
        </is>
      </c>
      <c r="P936" s="6" t="n"/>
      <c r="R936" t="inlineStr"/>
      <c r="S936" t="inlineStr">
        <is>
          <t>Тариф с завтраком</t>
        </is>
      </c>
      <c r="T936" t="n">
        <v>0</v>
      </c>
      <c r="U936" t="n">
        <v>27921</v>
      </c>
    </row>
    <row r="937">
      <c r="A937" t="inlineStr">
        <is>
          <t>20260926-8186-468485866</t>
        </is>
      </c>
      <c r="B937" t="n">
        <v>1</v>
      </c>
      <c r="C937" s="2" t="inlineStr">
        <is>
          <t>Эка Шанава, Дарья Григорян</t>
        </is>
      </c>
      <c r="D937" s="3" t="n">
        <v>30037.5</v>
      </c>
      <c r="E937" s="4" t="n">
        <v>18</v>
      </c>
      <c r="F937" t="inlineStr">
        <is>
          <t>Яндекс.Путешествия [Чайковский]</t>
        </is>
      </c>
      <c r="G937" s="3">
        <f>ROUND(D937/(100-E937)*100,2)</f>
        <v/>
      </c>
      <c r="H937" s="5" t="n">
        <v>46291.58333333334</v>
      </c>
      <c r="I937" t="n">
        <v>3</v>
      </c>
      <c r="J937" s="3">
        <f>G937/I937</f>
        <v/>
      </c>
      <c r="K937">
        <f>IF(J937&gt;=5100,"ставка","мин.ставка")</f>
        <v/>
      </c>
      <c r="L937" s="3">
        <f>ROUND(IF(K937="мин.ставка",I937*100,G937/102*2),2)</f>
        <v/>
      </c>
      <c r="M937" s="5" t="n">
        <v>46294.5</v>
      </c>
      <c r="N937" t="inlineStr">
        <is>
          <t>TravelLine YAX</t>
        </is>
      </c>
      <c r="O937" s="2" t="inlineStr">
        <is>
          <t>СТАНДАРТНЫЙ ДВУХМЕСТНЫЙ НОМЕР</t>
        </is>
      </c>
      <c r="P937" s="6" t="n"/>
      <c r="R937" t="inlineStr"/>
      <c r="S937" t="inlineStr">
        <is>
          <t>Тариф с завтраком</t>
        </is>
      </c>
      <c r="T937" t="n">
        <v>0</v>
      </c>
      <c r="U937" t="n">
        <v>30037.5</v>
      </c>
    </row>
    <row r="938">
      <c r="A938" t="inlineStr">
        <is>
          <t>20260917-8186-461649705</t>
        </is>
      </c>
      <c r="B938" t="n">
        <v>1</v>
      </c>
      <c r="C938" s="2" t="inlineStr">
        <is>
          <t>Экатеринэ Лобжанидзе</t>
        </is>
      </c>
      <c r="D938" s="3" t="n">
        <v>6320</v>
      </c>
      <c r="E938" s="4" t="n">
        <v>20</v>
      </c>
      <c r="F938" t="inlineStr">
        <is>
          <t>ООО "ХБ-ПРО" [Чайковский]</t>
        </is>
      </c>
      <c r="G938" s="3">
        <f>ROUND(D938/(100-E938)*100,2)</f>
        <v/>
      </c>
      <c r="H938" s="5" t="n">
        <v>46282.58333333334</v>
      </c>
      <c r="I938" t="n">
        <v>1</v>
      </c>
      <c r="J938" s="3">
        <f>G938/I938</f>
        <v/>
      </c>
      <c r="K938">
        <f>IF(J938&gt;=5100,"ставка","мин.ставка")</f>
        <v/>
      </c>
      <c r="L938" s="3">
        <f>ROUND(IF(K938="мин.ставка",I938*100,G938/102*2),2)</f>
        <v/>
      </c>
      <c r="M938" s="5" t="n">
        <v>46283.5</v>
      </c>
      <c r="N938" t="inlineStr">
        <is>
          <t>TravelLine UTS</t>
        </is>
      </c>
      <c r="O938" s="2" t="inlineStr">
        <is>
          <t>СТАНДАРТНЫЙ ДВУХМЕСТНЫЙ НОМЕР (МАНСАРДА)</t>
        </is>
      </c>
      <c r="P938" s="6" t="n"/>
      <c r="R938" t="inlineStr"/>
      <c r="S938" t="inlineStr">
        <is>
          <t>Тариф с завтраком</t>
        </is>
      </c>
      <c r="T938" t="n">
        <v>0</v>
      </c>
      <c r="U938" t="n">
        <v>6320</v>
      </c>
    </row>
    <row r="939">
      <c r="A939" t="inlineStr">
        <is>
          <t>20260713-8186-447978413</t>
        </is>
      </c>
      <c r="B939" t="n">
        <v>1</v>
      </c>
      <c r="C939" s="2" t="inlineStr">
        <is>
          <t>ЭЛЕН АКОПОВА</t>
        </is>
      </c>
      <c r="D939" s="3" t="n">
        <v>27240</v>
      </c>
      <c r="E939" s="4" t="n">
        <v>18</v>
      </c>
      <c r="F939" t="inlineStr">
        <is>
          <t>Яндекс.Путешествия [Чайковский]</t>
        </is>
      </c>
      <c r="G939" s="3">
        <f>ROUND(D939/(100-E939)*100,2)</f>
        <v/>
      </c>
      <c r="H939" s="5" t="n">
        <v>46216.58333333334</v>
      </c>
      <c r="I939" t="n">
        <v>3</v>
      </c>
      <c r="J939" s="3">
        <f>G939/I939</f>
        <v/>
      </c>
      <c r="K939">
        <f>IF(J939&gt;=5100,"ставка","мин.ставка")</f>
        <v/>
      </c>
      <c r="L939" s="3">
        <f>ROUND(IF(K939="мин.ставка",I939*100,G939/102*2),2)</f>
        <v/>
      </c>
      <c r="M939" s="5" t="n">
        <v>46219.5</v>
      </c>
      <c r="N939" t="inlineStr">
        <is>
          <t>TravelLine YAX</t>
        </is>
      </c>
      <c r="O939" s="2" t="inlineStr">
        <is>
          <t>СТАНДАРТНЫЙ ДВУХМЕСТНЫЙ НОМЕР</t>
        </is>
      </c>
      <c r="P939" s="6" t="n"/>
      <c r="R939" t="inlineStr"/>
      <c r="S939" t="inlineStr">
        <is>
          <t>Тариф с завтраком</t>
        </is>
      </c>
      <c r="T939" t="n">
        <v>0</v>
      </c>
      <c r="U939" t="n">
        <v>27240</v>
      </c>
    </row>
    <row r="940">
      <c r="A940" t="inlineStr">
        <is>
          <t>20260713-8186-434449741</t>
        </is>
      </c>
      <c r="B940" t="n">
        <v>1</v>
      </c>
      <c r="C940" s="2" t="inlineStr">
        <is>
          <t>ЭЛЬЗА ХАМЗИНА, НАФИСА КУЛУЕВА</t>
        </is>
      </c>
      <c r="D940" s="3" t="n">
        <v>56737.5</v>
      </c>
      <c r="E940" s="4" t="n">
        <v>0</v>
      </c>
      <c r="F940" t="inlineStr">
        <is>
          <t>ООО "АЛЕАН ОТДЫХ" [Чайковский]</t>
        </is>
      </c>
      <c r="G940" s="3">
        <f>ROUND(D940/(100-E940)*100,2)</f>
        <v/>
      </c>
      <c r="H940" s="5" t="n">
        <v>46216.58333333334</v>
      </c>
      <c r="I940" t="n">
        <v>5</v>
      </c>
      <c r="J940" s="3">
        <f>G940/I940</f>
        <v/>
      </c>
      <c r="K940">
        <f>IF(J940&gt;=5100,"ставка","мин.ставка")</f>
        <v/>
      </c>
      <c r="L940" s="3">
        <f>ROUND(IF(K940="мин.ставка",I940*100,G940/102*2),2)</f>
        <v/>
      </c>
      <c r="M940" s="5" t="n">
        <v>46221.5</v>
      </c>
      <c r="N940" t="inlineStr">
        <is>
          <t>TravelLine ALN</t>
        </is>
      </c>
      <c r="O940" s="2" t="inlineStr">
        <is>
          <t>СТАНДАРТНЫЙ ДВУХМЕСТНЫЙ НОМЕР</t>
        </is>
      </c>
      <c r="P940" s="6" t="n"/>
      <c r="R940" t="inlineStr"/>
      <c r="S940" t="inlineStr">
        <is>
          <t>Тариф с завтраком</t>
        </is>
      </c>
      <c r="T940" t="n">
        <v>0</v>
      </c>
      <c r="U940" t="n">
        <v>56737.5</v>
      </c>
    </row>
    <row r="941">
      <c r="A941" t="inlineStr">
        <is>
          <t>20260708-8186-448529248</t>
        </is>
      </c>
      <c r="B941" t="n">
        <v>1</v>
      </c>
      <c r="C941" s="2" t="inlineStr">
        <is>
          <t>ЮЛИЯ БАКШЕЕВА, МАТВЕЙ ЗИМАЙЛО</t>
        </is>
      </c>
      <c r="D941" s="3" t="n">
        <v>27700</v>
      </c>
      <c r="E941" s="4" t="n">
        <v>0</v>
      </c>
      <c r="F941" t="inlineStr">
        <is>
          <t>Прямые бронирования (стойка) [Чайковский]</t>
        </is>
      </c>
      <c r="G941" s="3">
        <f>ROUND(D941/(100-E941)*100,2)</f>
        <v/>
      </c>
      <c r="H941" s="5" t="n">
        <v>46211.58333333334</v>
      </c>
      <c r="I941" t="n">
        <v>2</v>
      </c>
      <c r="J941" s="3">
        <f>G941/I941</f>
        <v/>
      </c>
      <c r="K941">
        <f>IF(J941&gt;=5100,"ставка","мин.ставка")</f>
        <v/>
      </c>
      <c r="L941" s="3">
        <f>ROUND(IF(K941="мин.ставка",I941*100,G941/102*2),2)</f>
        <v/>
      </c>
      <c r="M941" s="5" t="n">
        <v>46213.70833333334</v>
      </c>
      <c r="N941" t="inlineStr">
        <is>
          <t>TravelLine ресепшн</t>
        </is>
      </c>
      <c r="O941" s="2" t="inlineStr">
        <is>
          <t>ПОЛУЛЮКС</t>
        </is>
      </c>
      <c r="P941" s="6" t="n"/>
      <c r="R941" t="inlineStr"/>
      <c r="S941" t="inlineStr">
        <is>
          <t>Тариф с завтраком</t>
        </is>
      </c>
      <c r="T941" t="n">
        <v>3445</v>
      </c>
      <c r="U941" t="n">
        <v>31145</v>
      </c>
    </row>
    <row r="942">
      <c r="A942" t="inlineStr">
        <is>
          <t>20260818-8186-459679856</t>
        </is>
      </c>
      <c r="B942" t="n">
        <v>1</v>
      </c>
      <c r="C942" s="2" t="inlineStr">
        <is>
          <t>Юлия Болгова</t>
        </is>
      </c>
      <c r="D942" s="3" t="n">
        <v>10215</v>
      </c>
      <c r="E942" s="4" t="n">
        <v>0</v>
      </c>
      <c r="F942" t="inlineStr">
        <is>
          <t>Прямые бронирования (стойка) [Чайковский]</t>
        </is>
      </c>
      <c r="G942" s="3">
        <f>ROUND(D942/(100-E942)*100,2)</f>
        <v/>
      </c>
      <c r="H942" s="5" t="n">
        <v>46252.58333333334</v>
      </c>
      <c r="I942" t="n">
        <v>1</v>
      </c>
      <c r="J942" s="3">
        <f>G942/I942</f>
        <v/>
      </c>
      <c r="K942">
        <f>IF(J942&gt;=5100,"ставка","мин.ставка")</f>
        <v/>
      </c>
      <c r="L942" s="3">
        <f>ROUND(IF(K942="мин.ставка",I942*100,G942/102*2),2)</f>
        <v/>
      </c>
      <c r="M942" s="5" t="n">
        <v>46253.5</v>
      </c>
      <c r="N942" t="inlineStr">
        <is>
          <t>TravelLine ресепшн</t>
        </is>
      </c>
      <c r="O942" s="2" t="inlineStr">
        <is>
          <t>СТАНДАРТНЫЙ ДВУХМЕСТНЫЙ НОМЕР</t>
        </is>
      </c>
      <c r="P942" s="6" t="n"/>
      <c r="R942" t="inlineStr"/>
      <c r="S942" t="inlineStr">
        <is>
          <t>Тариф с завтраком</t>
        </is>
      </c>
      <c r="T942" t="n">
        <v>0</v>
      </c>
      <c r="U942" t="n">
        <v>10215</v>
      </c>
    </row>
    <row r="943">
      <c r="A943" t="inlineStr">
        <is>
          <t>20260815-8186-458412797</t>
        </is>
      </c>
      <c r="B943" t="n">
        <v>1</v>
      </c>
      <c r="C943" s="2" t="inlineStr">
        <is>
          <t>Юлия Болгова</t>
        </is>
      </c>
      <c r="D943" s="3" t="n">
        <v>9960</v>
      </c>
      <c r="E943" s="4" t="n">
        <v>20</v>
      </c>
      <c r="F943" t="inlineStr">
        <is>
          <t>ООО «Дубль Гис» (OTELLO) [Чайковский]</t>
        </is>
      </c>
      <c r="G943" s="3">
        <f>ROUND(D943/(100-E943)*100,2)</f>
        <v/>
      </c>
      <c r="H943" s="5" t="n">
        <v>46249.58333333334</v>
      </c>
      <c r="I943" t="n">
        <v>1</v>
      </c>
      <c r="J943" s="3">
        <f>G943/I943</f>
        <v/>
      </c>
      <c r="K943">
        <f>IF(J943&gt;=5100,"ставка","мин.ставка")</f>
        <v/>
      </c>
      <c r="L943" s="3">
        <f>ROUND(IF(K943="мин.ставка",I943*100,G943/102*2),2)</f>
        <v/>
      </c>
      <c r="M943" s="5" t="n">
        <v>46250.58333333334</v>
      </c>
      <c r="N943" t="inlineStr">
        <is>
          <t>TravelLine OL2</t>
        </is>
      </c>
      <c r="O943" s="2" t="inlineStr">
        <is>
          <t>СЕМЕЙНЫЙ НОМЕР КАТЕГОРИИ "СТАНДАРТ" ВТОРОЙ КОРПУС</t>
        </is>
      </c>
      <c r="P943" s="6" t="n"/>
      <c r="R943" t="inlineStr"/>
      <c r="S943" t="inlineStr">
        <is>
          <t>Тариф с завтраком</t>
        </is>
      </c>
      <c r="T943" t="n">
        <v>0</v>
      </c>
      <c r="U943" t="n">
        <v>29880</v>
      </c>
    </row>
    <row r="944">
      <c r="A944" t="inlineStr">
        <is>
          <t>20260815-8186-458412797</t>
        </is>
      </c>
      <c r="B944" t="n">
        <v>1</v>
      </c>
      <c r="C944" s="2" t="inlineStr">
        <is>
          <t>Юлия Болгова</t>
        </is>
      </c>
      <c r="D944" s="3" t="n">
        <v>19920</v>
      </c>
      <c r="E944" s="4" t="n">
        <v>20</v>
      </c>
      <c r="F944" t="inlineStr">
        <is>
          <t>ООО «Дубль Гис» (OTELLO) [Чайковский]</t>
        </is>
      </c>
      <c r="G944" s="3">
        <f>ROUND(D944/(100-E944)*100,2)</f>
        <v/>
      </c>
      <c r="H944" s="5" t="n">
        <v>46250.58333333334</v>
      </c>
      <c r="I944" t="n">
        <v>2</v>
      </c>
      <c r="J944" s="3">
        <f>G944/I944</f>
        <v/>
      </c>
      <c r="K944">
        <f>IF(J944&gt;=5100,"ставка","мин.ставка")</f>
        <v/>
      </c>
      <c r="L944" s="3">
        <f>ROUND(IF(K944="мин.ставка",I944*100,G944/102*2),2)</f>
        <v/>
      </c>
      <c r="M944" s="5" t="n">
        <v>46252.5</v>
      </c>
      <c r="N944" t="inlineStr">
        <is>
          <t>TravelLine OL2</t>
        </is>
      </c>
      <c r="O944" s="2" t="inlineStr">
        <is>
          <t>СЕМЕЙНЫЙ НОМЕР КАТЕГОРИИ "СТАНДАРТ" ВТОРОЙ КОРПУС</t>
        </is>
      </c>
      <c r="P944" s="6" t="n"/>
      <c r="R944" t="inlineStr"/>
      <c r="S944" t="inlineStr">
        <is>
          <t>Тариф с завтраком</t>
        </is>
      </c>
      <c r="T944" t="n">
        <v>0</v>
      </c>
      <c r="U944" t="n">
        <v>29880</v>
      </c>
    </row>
    <row r="945">
      <c r="A945" t="inlineStr">
        <is>
          <t>20260716-8186-438301820</t>
        </is>
      </c>
      <c r="B945" t="n">
        <v>1</v>
      </c>
      <c r="C945" s="2" t="inlineStr">
        <is>
          <t>Юлия Вирц, СОФИЯ ЗАМИРАЛОВА</t>
        </is>
      </c>
      <c r="D945" s="3" t="n">
        <v>36045</v>
      </c>
      <c r="E945" s="4" t="n">
        <v>0</v>
      </c>
      <c r="F945" t="inlineStr">
        <is>
          <t>Прямые бронирования (стойка) [Чайковский]</t>
        </is>
      </c>
      <c r="G945" s="3">
        <f>ROUND(D945/(100-E945)*100,2)</f>
        <v/>
      </c>
      <c r="H945" s="5" t="n">
        <v>46219.58333333334</v>
      </c>
      <c r="I945" t="n">
        <v>3</v>
      </c>
      <c r="J945" s="3">
        <f>G945/I945</f>
        <v/>
      </c>
      <c r="K945">
        <f>IF(J945&gt;=5100,"ставка","мин.ставка")</f>
        <v/>
      </c>
      <c r="L945" s="3">
        <f>ROUND(IF(K945="мин.ставка",I945*100,G945/102*2),2)</f>
        <v/>
      </c>
      <c r="M945" s="5" t="n">
        <v>46222.5</v>
      </c>
      <c r="N945" t="inlineStr">
        <is>
          <t>TravelLine ресепшн</t>
        </is>
      </c>
      <c r="O945" s="2" t="inlineStr">
        <is>
          <t>СТАНДАРТНЫЙ ДВУХМЕСТНЫЙ НОМЕР</t>
        </is>
      </c>
      <c r="P945" s="6" t="n"/>
      <c r="R945" t="inlineStr"/>
      <c r="S945" t="inlineStr">
        <is>
          <t>Тариф с завтраком</t>
        </is>
      </c>
      <c r="T945" t="n">
        <v>0</v>
      </c>
      <c r="U945" t="n">
        <v>36045</v>
      </c>
    </row>
    <row r="946">
      <c r="A946" t="inlineStr">
        <is>
          <t>20260929-8186-467455141</t>
        </is>
      </c>
      <c r="B946" t="n">
        <v>1</v>
      </c>
      <c r="C946" s="2" t="inlineStr">
        <is>
          <t>Юлия Захарова</t>
        </is>
      </c>
      <c r="D946" s="3" t="n">
        <v>25720</v>
      </c>
      <c r="E946" s="4" t="n">
        <v>20</v>
      </c>
      <c r="F946" t="inlineStr">
        <is>
          <t>ООО "КОМПАНИЯ БРОНЕВИК" [Чайковский]</t>
        </is>
      </c>
      <c r="G946" s="3">
        <f>ROUND(D946/(100-E946)*100,2)</f>
        <v/>
      </c>
      <c r="H946" s="5" t="n">
        <v>46294.58333333334</v>
      </c>
      <c r="I946" t="n">
        <v>3</v>
      </c>
      <c r="J946" s="3">
        <f>G946/I946</f>
        <v/>
      </c>
      <c r="K946">
        <f>IF(J946&gt;=5100,"ставка","мин.ставка")</f>
        <v/>
      </c>
      <c r="L946" s="3">
        <f>ROUND(IF(K946="мин.ставка",I946*100,G946/102*2),2)</f>
        <v/>
      </c>
      <c r="M946" s="5" t="n">
        <v>46297.5</v>
      </c>
      <c r="N946" t="inlineStr">
        <is>
          <t>TravelLine BR2</t>
        </is>
      </c>
      <c r="O946" s="2" t="inlineStr">
        <is>
          <t>СТАНДАРТНЫЙ ДВУХМЕСТНЫЙ НОМЕР</t>
        </is>
      </c>
      <c r="P946" s="6" t="n"/>
      <c r="R946" t="inlineStr"/>
      <c r="S946" t="inlineStr">
        <is>
          <t>Тариф с завтраком</t>
        </is>
      </c>
      <c r="T946" t="n">
        <v>0</v>
      </c>
      <c r="U946" t="n">
        <v>25720</v>
      </c>
    </row>
    <row r="947">
      <c r="A947" t="inlineStr">
        <is>
          <t>20260706-8186-446293807</t>
        </is>
      </c>
      <c r="B947" t="n">
        <v>1</v>
      </c>
      <c r="C947" s="2" t="inlineStr">
        <is>
          <t>Юлия Ковалева</t>
        </is>
      </c>
      <c r="D947" s="3" t="n">
        <v>30000</v>
      </c>
      <c r="E947" s="4" t="n">
        <v>0</v>
      </c>
      <c r="F947" t="inlineStr">
        <is>
          <t>Прямые бронирования (стойка) [Чайковский]</t>
        </is>
      </c>
      <c r="G947" s="3">
        <f>ROUND(D947/(100-E947)*100,2)</f>
        <v/>
      </c>
      <c r="H947" s="5" t="n">
        <v>46209.58333333334</v>
      </c>
      <c r="I947" t="n">
        <v>2</v>
      </c>
      <c r="J947" s="3">
        <f>G947/I947</f>
        <v/>
      </c>
      <c r="K947">
        <f>IF(J947&gt;=5100,"ставка","мин.ставка")</f>
        <v/>
      </c>
      <c r="L947" s="3">
        <f>ROUND(IF(K947="мин.ставка",I947*100,G947/102*2),2)</f>
        <v/>
      </c>
      <c r="M947" s="5" t="n">
        <v>46211.5</v>
      </c>
      <c r="N947" t="inlineStr">
        <is>
          <t>TravelLine ресепшн</t>
        </is>
      </c>
      <c r="O947" s="2" t="inlineStr">
        <is>
          <t>СТАНДАРТНЫЙ ДВУХМЕСТНЫЙ НОМЕР</t>
        </is>
      </c>
      <c r="P947" s="6" t="n"/>
      <c r="R947" t="inlineStr"/>
      <c r="S947" t="inlineStr">
        <is>
          <t>Тариф с завтраком</t>
        </is>
      </c>
      <c r="T947" t="n">
        <v>0</v>
      </c>
      <c r="U947" t="n">
        <v>30000</v>
      </c>
    </row>
    <row r="948">
      <c r="A948" t="inlineStr">
        <is>
          <t>20260708-8186-447095529</t>
        </is>
      </c>
      <c r="B948" t="n">
        <v>1</v>
      </c>
      <c r="C948" s="2" t="inlineStr">
        <is>
          <t>Юлия Корастелева</t>
        </is>
      </c>
      <c r="D948" s="3" t="n">
        <v>18160</v>
      </c>
      <c r="E948" s="4" t="n">
        <v>20</v>
      </c>
      <c r="F948" t="inlineStr">
        <is>
          <t>ООО "КОМПАНИЯ БРОНЕВИК" [Чайковский]</t>
        </is>
      </c>
      <c r="G948" s="3">
        <f>ROUND(D948/(100-E948)*100,2)</f>
        <v/>
      </c>
      <c r="H948" s="5" t="n">
        <v>46211.58333333334</v>
      </c>
      <c r="I948" t="n">
        <v>2</v>
      </c>
      <c r="J948" s="3">
        <f>G948/I948</f>
        <v/>
      </c>
      <c r="K948">
        <f>IF(J948&gt;=5100,"ставка","мин.ставка")</f>
        <v/>
      </c>
      <c r="L948" s="3">
        <f>ROUND(IF(K948="мин.ставка",I948*100,G948/102*2),2)</f>
        <v/>
      </c>
      <c r="M948" s="5" t="n">
        <v>46213.5</v>
      </c>
      <c r="N948" t="inlineStr">
        <is>
          <t>TravelLine BR2</t>
        </is>
      </c>
      <c r="O948" s="2" t="inlineStr">
        <is>
          <t>СТАНДАРТНЫЙ ДВУХМЕСТНЫЙ НОМЕР</t>
        </is>
      </c>
      <c r="P948" s="6" t="n"/>
      <c r="R948" t="inlineStr"/>
      <c r="S948" t="inlineStr">
        <is>
          <t>Тариф с завтраком</t>
        </is>
      </c>
      <c r="T948" t="n">
        <v>0</v>
      </c>
      <c r="U948" t="n">
        <v>18160</v>
      </c>
    </row>
    <row r="949">
      <c r="A949" t="inlineStr">
        <is>
          <t>20260729-8186-451924244</t>
        </is>
      </c>
      <c r="B949" t="n">
        <v>1</v>
      </c>
      <c r="C949" s="2" t="inlineStr">
        <is>
          <t>ЮЛИЯ КУЗИЧЕВА, Александр Кузичев</t>
        </is>
      </c>
      <c r="D949" s="3" t="n">
        <v>61122.6</v>
      </c>
      <c r="E949" s="4" t="n">
        <v>4</v>
      </c>
      <c r="F949" t="inlineStr">
        <is>
          <t>TravelLine Booking Engine [Чайковский]</t>
        </is>
      </c>
      <c r="G949" s="3">
        <f>ROUND(D949/(100-E949)*100,2)</f>
        <v/>
      </c>
      <c r="H949" s="5" t="n">
        <v>46232.85416666666</v>
      </c>
      <c r="I949" t="n">
        <v>4</v>
      </c>
      <c r="J949" s="3">
        <f>G949/I949</f>
        <v/>
      </c>
      <c r="K949">
        <f>IF(J949&gt;=5100,"ставка","мин.ставка")</f>
        <v/>
      </c>
      <c r="L949" s="3">
        <f>ROUND(IF(K949="мин.ставка",I949*100,G949/102*2),2)</f>
        <v/>
      </c>
      <c r="M949" s="5" t="n">
        <v>46236.5</v>
      </c>
      <c r="N949" t="inlineStr">
        <is>
          <t>TravelLine сайт</t>
        </is>
      </c>
      <c r="O949" s="2" t="inlineStr">
        <is>
          <t>УЛУЧШЕННЫЙ ДВУХМЕСТНЫЙ НОМЕР</t>
        </is>
      </c>
      <c r="P949" s="6" t="n"/>
      <c r="R949" t="inlineStr"/>
      <c r="S949" t="inlineStr">
        <is>
          <t>Тариф с завтраком</t>
        </is>
      </c>
      <c r="T949" t="n">
        <v>0</v>
      </c>
      <c r="U949" t="n">
        <v>61122.6</v>
      </c>
    </row>
    <row r="950">
      <c r="A950" t="inlineStr">
        <is>
          <t>20260916-8186-460139139</t>
        </is>
      </c>
      <c r="B950" t="n">
        <v>1</v>
      </c>
      <c r="C950" s="2" t="inlineStr">
        <is>
          <t>ЮЛИЯ КУЗНЕЦОВА</t>
        </is>
      </c>
      <c r="D950" s="3" t="n">
        <v>9080</v>
      </c>
      <c r="E950" s="4" t="n">
        <v>20</v>
      </c>
      <c r="F950" t="inlineStr">
        <is>
          <t>ООО "ХБ-ПРО" [Чайковский]</t>
        </is>
      </c>
      <c r="G950" s="3">
        <f>ROUND(D950/(100-E950)*100,2)</f>
        <v/>
      </c>
      <c r="H950" s="5" t="n">
        <v>46281.58333333334</v>
      </c>
      <c r="I950" t="n">
        <v>1</v>
      </c>
      <c r="J950" s="3">
        <f>G950/I950</f>
        <v/>
      </c>
      <c r="K950">
        <f>IF(J950&gt;=5100,"ставка","мин.ставка")</f>
        <v/>
      </c>
      <c r="L950" s="3">
        <f>ROUND(IF(K950="мин.ставка",I950*100,G950/102*2),2)</f>
        <v/>
      </c>
      <c r="M950" s="5" t="n">
        <v>46282.5</v>
      </c>
      <c r="N950" t="inlineStr">
        <is>
          <t>TravelLine UTS</t>
        </is>
      </c>
      <c r="O950" s="2" t="inlineStr">
        <is>
          <t>СТАНДАРТНЫЙ ДВУХМЕСТНЫЙ НОМЕР</t>
        </is>
      </c>
      <c r="P950" s="6" t="n"/>
      <c r="R950" t="inlineStr"/>
      <c r="S950" t="inlineStr">
        <is>
          <t>Тариф с завтраком</t>
        </is>
      </c>
      <c r="T950" t="n">
        <v>0</v>
      </c>
      <c r="U950" t="n">
        <v>9080</v>
      </c>
    </row>
    <row r="951">
      <c r="A951" t="inlineStr">
        <is>
          <t>20260717-8186-442283023</t>
        </is>
      </c>
      <c r="B951" t="n">
        <v>1</v>
      </c>
      <c r="C951" s="2" t="inlineStr">
        <is>
          <t>Юлия Кускова, Павел Трегуб</t>
        </is>
      </c>
      <c r="D951" s="3" t="n">
        <v>32040</v>
      </c>
      <c r="E951" s="4" t="n">
        <v>18</v>
      </c>
      <c r="F951" t="inlineStr">
        <is>
          <t>Яндекс.Путешествия [Чайковский]</t>
        </is>
      </c>
      <c r="G951" s="3">
        <f>ROUND(D951/(100-E951)*100,2)</f>
        <v/>
      </c>
      <c r="H951" s="5" t="n">
        <v>46220.58333333334</v>
      </c>
      <c r="I951" t="n">
        <v>3</v>
      </c>
      <c r="J951" s="3">
        <f>G951/I951</f>
        <v/>
      </c>
      <c r="K951">
        <f>IF(J951&gt;=5100,"ставка","мин.ставка")</f>
        <v/>
      </c>
      <c r="L951" s="3">
        <f>ROUND(IF(K951="мин.ставка",I951*100,G951/102*2),2)</f>
        <v/>
      </c>
      <c r="M951" s="5" t="n">
        <v>46223.5</v>
      </c>
      <c r="N951" t="inlineStr">
        <is>
          <t>TravelLine YAX</t>
        </is>
      </c>
      <c r="O951" s="2" t="inlineStr">
        <is>
          <t>СТАНДАРТНЫЙ ДВУХМЕСТНЫЙ НОМЕР</t>
        </is>
      </c>
      <c r="P951" s="6" t="n"/>
      <c r="R951" t="inlineStr"/>
      <c r="S951" t="inlineStr">
        <is>
          <t>Тариф с завтраком</t>
        </is>
      </c>
      <c r="T951" t="n">
        <v>0</v>
      </c>
      <c r="U951" t="n">
        <v>32040</v>
      </c>
    </row>
    <row r="952">
      <c r="A952" t="inlineStr">
        <is>
          <t>20260919-8186-466759616</t>
        </is>
      </c>
      <c r="B952" t="n">
        <v>1</v>
      </c>
      <c r="C952" s="2" t="inlineStr">
        <is>
          <t>ЮЛИЯ ЛЕУТИНА, НИКИТА ЛЕУТИН</t>
        </is>
      </c>
      <c r="D952" s="3" t="n">
        <v>11214</v>
      </c>
      <c r="E952" s="4" t="n">
        <v>16</v>
      </c>
      <c r="F952" t="inlineStr">
        <is>
          <t>ООО "БРОНИРОВАНИЕ ГОСТИНИЦ" (OSTROVOK) [Чайковский]</t>
        </is>
      </c>
      <c r="G952" s="3">
        <f>ROUND(D952/(100-E952)*100,2)</f>
        <v/>
      </c>
      <c r="H952" s="5" t="n">
        <v>46284.58333333334</v>
      </c>
      <c r="I952" t="n">
        <v>1</v>
      </c>
      <c r="J952" s="3">
        <f>G952/I952</f>
        <v/>
      </c>
      <c r="K952">
        <f>IF(J952&gt;=5100,"ставка","мин.ставка")</f>
        <v/>
      </c>
      <c r="L952" s="3">
        <f>ROUND(IF(K952="мин.ставка",I952*100,G952/102*2),2)</f>
        <v/>
      </c>
      <c r="M952" s="5" t="n">
        <v>46285.5</v>
      </c>
      <c r="N952" t="inlineStr">
        <is>
          <t>TravelLine OTK</t>
        </is>
      </c>
      <c r="O952" s="2" t="inlineStr">
        <is>
          <t>СТАНДАРТНЫЙ ДВУХМЕСТНЫЙ НОМЕР</t>
        </is>
      </c>
      <c r="P952" s="6" t="n"/>
      <c r="R952" t="inlineStr"/>
      <c r="S952" t="inlineStr">
        <is>
          <t>Тариф с завтраком</t>
        </is>
      </c>
      <c r="T952" t="n">
        <v>0</v>
      </c>
      <c r="U952" t="n">
        <v>31962</v>
      </c>
    </row>
    <row r="953">
      <c r="A953" t="inlineStr">
        <is>
          <t>20260725-8186-451524573</t>
        </is>
      </c>
      <c r="B953" t="n">
        <v>1</v>
      </c>
      <c r="C953" s="2" t="inlineStr">
        <is>
          <t>Юлия Ликаренко</t>
        </is>
      </c>
      <c r="D953" s="3" t="n">
        <v>19754</v>
      </c>
      <c r="E953" s="4" t="n">
        <v>17</v>
      </c>
      <c r="F953" t="inlineStr">
        <is>
          <t>ООО «Интернет Трэвел» (OZON) [Чайковский]</t>
        </is>
      </c>
      <c r="G953" s="3">
        <f>ROUND(D953/(100-E953)*100,2)</f>
        <v/>
      </c>
      <c r="H953" s="5" t="n">
        <v>46228.58333333334</v>
      </c>
      <c r="I953" t="n">
        <v>2</v>
      </c>
      <c r="J953" s="3">
        <f>G953/I953</f>
        <v/>
      </c>
      <c r="K953">
        <f>IF(J953&gt;=5100,"ставка","мин.ставка")</f>
        <v/>
      </c>
      <c r="L953" s="3">
        <f>ROUND(IF(K953="мин.ставка",I953*100,G953/102*2),2)</f>
        <v/>
      </c>
      <c r="M953" s="5" t="n">
        <v>46230.70833333334</v>
      </c>
      <c r="N953" t="inlineStr">
        <is>
          <t>TravelLine OZ2</t>
        </is>
      </c>
      <c r="O953" s="2" t="inlineStr">
        <is>
          <t>УЛУЧШЕННЫЙ ДВУХМЕСТНЫЙ НОМЕР</t>
        </is>
      </c>
      <c r="P953" s="6" t="n"/>
      <c r="R953" t="inlineStr"/>
      <c r="S953" t="inlineStr">
        <is>
          <t>Основной тариф без завтрака</t>
        </is>
      </c>
      <c r="T953" t="n">
        <v>2480</v>
      </c>
      <c r="U953" t="n">
        <v>22234</v>
      </c>
    </row>
    <row r="954">
      <c r="A954" t="inlineStr">
        <is>
          <t>20260820-8186-454554202</t>
        </is>
      </c>
      <c r="B954" t="n">
        <v>1</v>
      </c>
      <c r="C954" s="2" t="inlineStr">
        <is>
          <t>Юлия Любомирова</t>
        </is>
      </c>
      <c r="D954" s="3" t="n">
        <v>14850</v>
      </c>
      <c r="E954" s="4" t="n">
        <v>0</v>
      </c>
      <c r="F954" t="inlineStr">
        <is>
          <t>Прямые бронирования (стойка) [Чайковский]</t>
        </is>
      </c>
      <c r="G954" s="3">
        <f>ROUND(D954/(100-E954)*100,2)</f>
        <v/>
      </c>
      <c r="H954" s="5" t="n">
        <v>46254.58333333334</v>
      </c>
      <c r="I954" t="n">
        <v>1</v>
      </c>
      <c r="J954" s="3">
        <f>G954/I954</f>
        <v/>
      </c>
      <c r="K954">
        <f>IF(J954&gt;=5100,"ставка","мин.ставка")</f>
        <v/>
      </c>
      <c r="L954" s="3">
        <f>ROUND(IF(K954="мин.ставка",I954*100,G954/102*2),2)</f>
        <v/>
      </c>
      <c r="M954" s="5" t="n">
        <v>46255.5</v>
      </c>
      <c r="N954" t="inlineStr">
        <is>
          <t>TravelLine ресепшн</t>
        </is>
      </c>
      <c r="O954" s="2" t="inlineStr">
        <is>
          <t>ПОЛУЛЮКС</t>
        </is>
      </c>
      <c r="P954" s="6" t="n"/>
      <c r="R954" t="inlineStr"/>
      <c r="S954" t="inlineStr">
        <is>
          <t>Тариф с завтраком</t>
        </is>
      </c>
      <c r="T954" t="n">
        <v>0</v>
      </c>
      <c r="U954" t="n">
        <v>14850</v>
      </c>
    </row>
    <row r="955">
      <c r="A955" t="inlineStr">
        <is>
          <t>20260705-8186-447705881</t>
        </is>
      </c>
      <c r="B955" t="n">
        <v>1</v>
      </c>
      <c r="C955" s="2" t="inlineStr">
        <is>
          <t>ЮЛИЯ МЕДВЕДЕВА, МАРИЯ МЕДВЕДЕВА</t>
        </is>
      </c>
      <c r="D955" s="3" t="n">
        <v>6247.5</v>
      </c>
      <c r="E955" s="4" t="n">
        <v>15</v>
      </c>
      <c r="F955" t="inlineStr">
        <is>
          <t>ООО "БРОНИРОВАНИЕ ГОСТИНИЦ" (OSTROVOK) [Чайковский]</t>
        </is>
      </c>
      <c r="G955" s="3">
        <f>ROUND(D955/(100-E955)*100,2)</f>
        <v/>
      </c>
      <c r="H955" s="5" t="n">
        <v>46208.58333333334</v>
      </c>
      <c r="I955" t="n">
        <v>1</v>
      </c>
      <c r="J955" s="3">
        <f>G955/I955</f>
        <v/>
      </c>
      <c r="K955">
        <f>IF(J955&gt;=5100,"ставка","мин.ставка")</f>
        <v/>
      </c>
      <c r="L955" s="3">
        <f>ROUND(IF(K955="мин.ставка",I955*100,G955/102*2),2)</f>
        <v/>
      </c>
      <c r="M955" s="5" t="n">
        <v>46209.5</v>
      </c>
      <c r="N955" t="inlineStr">
        <is>
          <t>TravelLine OTK</t>
        </is>
      </c>
      <c r="O955" s="2" t="inlineStr">
        <is>
          <t>СЕМЕЙНЫЙ НОМЕР КАТЕГОРИИ "СТАНДАРТ" ВТОРОЙ КОРПУС</t>
        </is>
      </c>
      <c r="P955" s="6" t="n"/>
      <c r="R955" t="inlineStr"/>
      <c r="S955" t="inlineStr">
        <is>
          <t>Основной тариф без завтрака</t>
        </is>
      </c>
      <c r="T955" t="n">
        <v>0</v>
      </c>
      <c r="U955" t="n">
        <v>6247.5</v>
      </c>
    </row>
    <row r="956">
      <c r="A956" t="inlineStr">
        <is>
          <t>20260930-8186-468765445</t>
        </is>
      </c>
      <c r="B956" t="n">
        <v>1</v>
      </c>
      <c r="C956" s="2" t="inlineStr">
        <is>
          <t>Юлия Митина, Сергей Митин</t>
        </is>
      </c>
      <c r="D956" s="3" t="n">
        <v>69600</v>
      </c>
      <c r="E956" s="4" t="n">
        <v>20</v>
      </c>
      <c r="F956" t="inlineStr">
        <is>
          <t>ООО «Дубль Гис» (OTELLO) [Чайковский]</t>
        </is>
      </c>
      <c r="G956" s="3">
        <f>ROUND(D956/(100-E956)*100,2)</f>
        <v/>
      </c>
      <c r="H956" s="5" t="n">
        <v>46295.58333333334</v>
      </c>
      <c r="I956" t="n">
        <v>6</v>
      </c>
      <c r="J956" s="3">
        <f>G956/I956</f>
        <v/>
      </c>
      <c r="K956">
        <f>IF(J956&gt;=5100,"ставка","мин.ставка")</f>
        <v/>
      </c>
      <c r="L956" s="3">
        <f>ROUND(IF(K956="мин.ставка",I956*100,G956/102*2),2)</f>
        <v/>
      </c>
      <c r="M956" s="5" t="n">
        <v>46301.5</v>
      </c>
      <c r="N956" t="inlineStr">
        <is>
          <t>TravelLine OL2</t>
        </is>
      </c>
      <c r="O956" s="2" t="inlineStr">
        <is>
          <t>ПОЛУЛЮКС</t>
        </is>
      </c>
      <c r="P956" s="6" t="n"/>
      <c r="R956" t="inlineStr"/>
      <c r="S956" t="inlineStr">
        <is>
          <t>Тариф с завтраком</t>
        </is>
      </c>
      <c r="T956" t="n">
        <v>0</v>
      </c>
      <c r="U956" t="n">
        <v>139200</v>
      </c>
    </row>
    <row r="957">
      <c r="A957" t="inlineStr">
        <is>
          <t>20260814-8186-456123804</t>
        </is>
      </c>
      <c r="B957" t="n">
        <v>1</v>
      </c>
      <c r="C957" s="2" t="inlineStr">
        <is>
          <t>ЮЛИЯ ПАЛИЙ, ВАЛЕРИЯ ПАЛИЙ</t>
        </is>
      </c>
      <c r="D957" s="3" t="n">
        <v>21360</v>
      </c>
      <c r="E957" s="4" t="n">
        <v>0</v>
      </c>
      <c r="F957" t="inlineStr">
        <is>
          <t>Прямые бронирования (стойка) [Чайковский]</t>
        </is>
      </c>
      <c r="G957" s="3">
        <f>ROUND(D957/(100-E957)*100,2)</f>
        <v/>
      </c>
      <c r="H957" s="5" t="n">
        <v>46248.58333333334</v>
      </c>
      <c r="I957" t="n">
        <v>2</v>
      </c>
      <c r="J957" s="3">
        <f>G957/I957</f>
        <v/>
      </c>
      <c r="K957">
        <f>IF(J957&gt;=5100,"ставка","мин.ставка")</f>
        <v/>
      </c>
      <c r="L957" s="3">
        <f>ROUND(IF(K957="мин.ставка",I957*100,G957/102*2),2)</f>
        <v/>
      </c>
      <c r="M957" s="5" t="n">
        <v>46250.5</v>
      </c>
      <c r="N957" t="inlineStr">
        <is>
          <t>TravelLine ресепшн</t>
        </is>
      </c>
      <c r="O957" s="2" t="inlineStr">
        <is>
          <t>СТАНДАРТНЫЙ ДВУХМЕСТНЫЙ НОМЕР</t>
        </is>
      </c>
      <c r="P957" s="6" t="n"/>
      <c r="R957" t="inlineStr"/>
      <c r="S957" t="inlineStr">
        <is>
          <t>Тариф с завтраком</t>
        </is>
      </c>
      <c r="T957" t="n">
        <v>0</v>
      </c>
      <c r="U957" t="n">
        <v>21360</v>
      </c>
    </row>
    <row r="958">
      <c r="A958" t="inlineStr">
        <is>
          <t>20260906-8186-461883708</t>
        </is>
      </c>
      <c r="B958" t="n">
        <v>1</v>
      </c>
      <c r="C958" s="2" t="inlineStr">
        <is>
          <t>ЮЛИЯ САЛАТА</t>
        </is>
      </c>
      <c r="D958" s="3" t="n">
        <v>6468</v>
      </c>
      <c r="E958" s="4" t="n">
        <v>16</v>
      </c>
      <c r="F958" t="inlineStr">
        <is>
          <t>ООО "БРОНИРОВАНИЕ ГОСТИНИЦ" (OSTROVOK) [Чайковский]</t>
        </is>
      </c>
      <c r="G958" s="3">
        <f>ROUND(D958/(100-E958)*100,2)</f>
        <v/>
      </c>
      <c r="H958" s="5" t="n">
        <v>46271.58333333334</v>
      </c>
      <c r="I958" t="n">
        <v>1</v>
      </c>
      <c r="J958" s="3">
        <f>G958/I958</f>
        <v/>
      </c>
      <c r="K958">
        <f>IF(J958&gt;=5100,"ставка","мин.ставка")</f>
        <v/>
      </c>
      <c r="L958" s="3">
        <f>ROUND(IF(K958="мин.ставка",I958*100,G958/102*2),2)</f>
        <v/>
      </c>
      <c r="M958" s="5" t="n">
        <v>46272.5</v>
      </c>
      <c r="N958" t="inlineStr">
        <is>
          <t>TravelLine OTK</t>
        </is>
      </c>
      <c r="O958" s="2" t="inlineStr">
        <is>
          <t>СТАНДАРТНЫЙ ОДНОМЕСТНЫЙ НОМЕР</t>
        </is>
      </c>
      <c r="P958" s="6" t="n"/>
      <c r="R958" t="inlineStr"/>
      <c r="S958" t="inlineStr">
        <is>
          <t>Тариф с завтраком</t>
        </is>
      </c>
      <c r="T958" t="n">
        <v>0</v>
      </c>
      <c r="U958" t="n">
        <v>6468</v>
      </c>
    </row>
    <row r="959">
      <c r="A959" t="inlineStr">
        <is>
          <t>20260904-8186-461445761</t>
        </is>
      </c>
      <c r="B959" t="n">
        <v>1</v>
      </c>
      <c r="C959" s="2" t="inlineStr">
        <is>
          <t>Юлия Чемакина, Андрей Мамаев</t>
        </is>
      </c>
      <c r="D959" s="3" t="n">
        <v>11214</v>
      </c>
      <c r="E959" s="4" t="n">
        <v>16</v>
      </c>
      <c r="F959" t="inlineStr">
        <is>
          <t>ООО "БРОНИРОВАНИЕ ГОСТИНИЦ" (OSTROVOK) [Чайковский]</t>
        </is>
      </c>
      <c r="G959" s="3">
        <f>ROUND(D959/(100-E959)*100,2)</f>
        <v/>
      </c>
      <c r="H959" s="5" t="n">
        <v>46269.58333333334</v>
      </c>
      <c r="I959" t="n">
        <v>1</v>
      </c>
      <c r="J959" s="3">
        <f>G959/I959</f>
        <v/>
      </c>
      <c r="K959">
        <f>IF(J959&gt;=5100,"ставка","мин.ставка")</f>
        <v/>
      </c>
      <c r="L959" s="3">
        <f>ROUND(IF(K959="мин.ставка",I959*100,G959/102*2),2)</f>
        <v/>
      </c>
      <c r="M959" s="5" t="n">
        <v>46270.5</v>
      </c>
      <c r="N959" t="inlineStr">
        <is>
          <t>TravelLine OTK</t>
        </is>
      </c>
      <c r="O959" s="2" t="inlineStr">
        <is>
          <t>СТАНДАРТНЫЙ ДВУХМЕСТНЫЙ НОМЕР</t>
        </is>
      </c>
      <c r="P959" s="6" t="n"/>
      <c r="R959" t="inlineStr"/>
      <c r="S959" t="inlineStr">
        <is>
          <t>Тариф с завтраком</t>
        </is>
      </c>
      <c r="T959" t="n">
        <v>0</v>
      </c>
      <c r="U959" t="n">
        <v>11214</v>
      </c>
    </row>
    <row r="960">
      <c r="A960" t="inlineStr">
        <is>
          <t>20260918-8186-459511897</t>
        </is>
      </c>
      <c r="B960" t="n">
        <v>1</v>
      </c>
      <c r="C960" s="2" t="inlineStr">
        <is>
          <t>Юлия Эмануэль</t>
        </is>
      </c>
      <c r="D960" s="3" t="n">
        <v>9080</v>
      </c>
      <c r="E960" s="4" t="n">
        <v>20</v>
      </c>
      <c r="F960" t="inlineStr">
        <is>
          <t>ООО "ХБ-ПРО" [Чайковский]</t>
        </is>
      </c>
      <c r="G960" s="3">
        <f>ROUND(D960/(100-E960)*100,2)</f>
        <v/>
      </c>
      <c r="H960" s="5" t="n">
        <v>46283.58333333334</v>
      </c>
      <c r="I960" t="n">
        <v>1</v>
      </c>
      <c r="J960" s="3">
        <f>G960/I960</f>
        <v/>
      </c>
      <c r="K960">
        <f>IF(J960&gt;=5100,"ставка","мин.ставка")</f>
        <v/>
      </c>
      <c r="L960" s="3">
        <f>ROUND(IF(K960="мин.ставка",I960*100,G960/102*2),2)</f>
        <v/>
      </c>
      <c r="M960" s="5" t="n">
        <v>46284.5</v>
      </c>
      <c r="N960" t="inlineStr">
        <is>
          <t>TravelLine UTS</t>
        </is>
      </c>
      <c r="O960" s="2" t="inlineStr">
        <is>
          <t>СТАНДАРТНЫЙ ДВУХМЕСТНЫЙ НОМЕР</t>
        </is>
      </c>
      <c r="P960" s="6" t="n"/>
      <c r="R960" t="inlineStr"/>
      <c r="S960" t="inlineStr">
        <is>
          <t>Тариф с завтраком</t>
        </is>
      </c>
      <c r="T960" t="n">
        <v>0</v>
      </c>
      <c r="U960" t="n">
        <v>9080</v>
      </c>
    </row>
    <row r="961">
      <c r="A961" t="inlineStr">
        <is>
          <t>20260925-8186-465181123</t>
        </is>
      </c>
      <c r="B961" t="n">
        <v>1</v>
      </c>
      <c r="C961" s="2" t="inlineStr">
        <is>
          <t>Юния Сафронова</t>
        </is>
      </c>
      <c r="D961" s="3" t="n">
        <v>9080</v>
      </c>
      <c r="E961" s="4" t="n">
        <v>20</v>
      </c>
      <c r="F961" t="inlineStr">
        <is>
          <t>ООО "КОМПАНИЯ БРОНЕВИК" [Чайковский]</t>
        </is>
      </c>
      <c r="G961" s="3">
        <f>ROUND(D961/(100-E961)*100,2)</f>
        <v/>
      </c>
      <c r="H961" s="5" t="n">
        <v>46290.58333333334</v>
      </c>
      <c r="I961" t="n">
        <v>1</v>
      </c>
      <c r="J961" s="3">
        <f>G961/I961</f>
        <v/>
      </c>
      <c r="K961">
        <f>IF(J961&gt;=5100,"ставка","мин.ставка")</f>
        <v/>
      </c>
      <c r="L961" s="3">
        <f>ROUND(IF(K961="мин.ставка",I961*100,G961/102*2),2)</f>
        <v/>
      </c>
      <c r="M961" s="5" t="n">
        <v>46291.5</v>
      </c>
      <c r="N961" t="inlineStr">
        <is>
          <t>TravelLine BR2</t>
        </is>
      </c>
      <c r="O961" s="2" t="inlineStr">
        <is>
          <t>СТАНДАРТНЫЙ ДВУХМЕСТНЫЙ НОМЕР</t>
        </is>
      </c>
      <c r="P961" s="6" t="n"/>
      <c r="R961" t="inlineStr"/>
      <c r="S961" t="inlineStr">
        <is>
          <t>Тариф с завтраком</t>
        </is>
      </c>
      <c r="T961" t="n">
        <v>0</v>
      </c>
      <c r="U961" t="n">
        <v>9080</v>
      </c>
    </row>
    <row r="962">
      <c r="A962" t="inlineStr">
        <is>
          <t>20260903-8186-463521602</t>
        </is>
      </c>
      <c r="B962" t="n">
        <v>1</v>
      </c>
      <c r="C962" s="2" t="inlineStr">
        <is>
          <t>ЮРИЙ БОРИСЕНКО, НАТАЛИЯ БУРЦЕВА</t>
        </is>
      </c>
      <c r="D962" s="3" t="n">
        <v>12138</v>
      </c>
      <c r="E962" s="4" t="n">
        <v>16</v>
      </c>
      <c r="F962" t="inlineStr">
        <is>
          <t>ООО "БРОНИРОВАНИЕ ГОСТИНИЦ" (OSTROVOK) [Чайковский]</t>
        </is>
      </c>
      <c r="G962" s="3">
        <f>ROUND(D962/(100-E962)*100,2)</f>
        <v/>
      </c>
      <c r="H962" s="5" t="n">
        <v>46268.58333333334</v>
      </c>
      <c r="I962" t="n">
        <v>1</v>
      </c>
      <c r="J962" s="3">
        <f>G962/I962</f>
        <v/>
      </c>
      <c r="K962">
        <f>IF(J962&gt;=5100,"ставка","мин.ставка")</f>
        <v/>
      </c>
      <c r="L962" s="3">
        <f>ROUND(IF(K962="мин.ставка",I962*100,G962/102*2),2)</f>
        <v/>
      </c>
      <c r="M962" s="5" t="n">
        <v>46269.5</v>
      </c>
      <c r="N962" t="inlineStr">
        <is>
          <t>TravelLine OTK</t>
        </is>
      </c>
      <c r="O962" s="2" t="inlineStr">
        <is>
          <t>СЕМЕЙНЫЙ НОМЕР КАТЕГОРИИ "СТАНДАРТ" ВТОРОЙ КОРПУС</t>
        </is>
      </c>
      <c r="P962" s="6" t="n"/>
      <c r="R962" t="inlineStr"/>
      <c r="S962" t="inlineStr">
        <is>
          <t>Тариф с завтраком</t>
        </is>
      </c>
      <c r="T962" t="n">
        <v>0</v>
      </c>
      <c r="U962" t="n">
        <v>12138</v>
      </c>
    </row>
    <row r="963">
      <c r="A963" t="inlineStr">
        <is>
          <t>20260904-8186-455342242</t>
        </is>
      </c>
      <c r="B963" t="n">
        <v>1</v>
      </c>
      <c r="C963" s="2" t="inlineStr">
        <is>
          <t>Юрий Борисенко, Наталия Бурцева</t>
        </is>
      </c>
      <c r="D963" s="3" t="n">
        <v>22428</v>
      </c>
      <c r="E963" s="4" t="n">
        <v>16</v>
      </c>
      <c r="F963" t="inlineStr">
        <is>
          <t>ООО "БРОНИРОВАНИЕ ГОСТИНИЦ" (OSTROVOK) [Чайковский]</t>
        </is>
      </c>
      <c r="G963" s="3">
        <f>ROUND(D963/(100-E963)*100,2)</f>
        <v/>
      </c>
      <c r="H963" s="5" t="n">
        <v>46269.58333333334</v>
      </c>
      <c r="I963" t="n">
        <v>2</v>
      </c>
      <c r="J963" s="3">
        <f>G963/I963</f>
        <v/>
      </c>
      <c r="K963">
        <f>IF(J963&gt;=5100,"ставка","мин.ставка")</f>
        <v/>
      </c>
      <c r="L963" s="3">
        <f>ROUND(IF(K963="мин.ставка",I963*100,G963/102*2),2)</f>
        <v/>
      </c>
      <c r="M963" s="5" t="n">
        <v>46271.5</v>
      </c>
      <c r="N963" t="inlineStr">
        <is>
          <t>TravelLine OTK</t>
        </is>
      </c>
      <c r="O963" s="2" t="inlineStr">
        <is>
          <t>СТАНДАРТНЫЙ ДВУХМЕСТНЫЙ НОМЕР</t>
        </is>
      </c>
      <c r="P963" s="6" t="n"/>
      <c r="R963" t="inlineStr"/>
      <c r="S963" t="inlineStr">
        <is>
          <t>Тариф с завтраком</t>
        </is>
      </c>
      <c r="T963" t="n">
        <v>0</v>
      </c>
      <c r="U963" t="n">
        <v>22428</v>
      </c>
    </row>
    <row r="964">
      <c r="A964" t="inlineStr">
        <is>
          <t>20260811-8186-417991409</t>
        </is>
      </c>
      <c r="B964" t="n">
        <v>1</v>
      </c>
      <c r="C964" s="2" t="inlineStr">
        <is>
          <t>Юрий Губарев, СВЕТЛАНА ГУБАРЕВА</t>
        </is>
      </c>
      <c r="D964" s="3" t="n">
        <v>170880</v>
      </c>
      <c r="E964" s="4" t="n">
        <v>0</v>
      </c>
      <c r="F964" t="inlineStr">
        <is>
          <t>Прямые бронирования (стойка) [Чайковский]</t>
        </is>
      </c>
      <c r="G964" s="3">
        <f>ROUND(D964/(100-E964)*100,2)</f>
        <v/>
      </c>
      <c r="H964" s="5" t="n">
        <v>46245.58333333334</v>
      </c>
      <c r="I964" t="n">
        <v>12</v>
      </c>
      <c r="J964" s="3">
        <f>G964/I964</f>
        <v/>
      </c>
      <c r="K964">
        <f>IF(J964&gt;=5100,"ставка","мин.ставка")</f>
        <v/>
      </c>
      <c r="L964" s="3">
        <f>ROUND(IF(K964="мин.ставка",I964*100,G964/102*2),2)</f>
        <v/>
      </c>
      <c r="M964" s="5" t="n">
        <v>46257.5</v>
      </c>
      <c r="N964" t="inlineStr">
        <is>
          <t>TravelLine ресепшн</t>
        </is>
      </c>
      <c r="O964" s="2" t="inlineStr">
        <is>
          <t>ЛЮКС</t>
        </is>
      </c>
      <c r="P964" s="6" t="n"/>
      <c r="R964" t="inlineStr"/>
      <c r="S964" t="inlineStr">
        <is>
          <t>Тариф с завтраком</t>
        </is>
      </c>
      <c r="T964" t="n">
        <v>0</v>
      </c>
      <c r="U964" t="n">
        <v>170880</v>
      </c>
    </row>
    <row r="965">
      <c r="A965" t="inlineStr">
        <is>
          <t>20260818-8186-454003492</t>
        </is>
      </c>
      <c r="B965" t="n">
        <v>1</v>
      </c>
      <c r="C965" s="2" t="inlineStr">
        <is>
          <t>Юрий Митюков, Анна Мекина</t>
        </is>
      </c>
      <c r="D965" s="3" t="n">
        <v>61600</v>
      </c>
      <c r="E965" s="4" t="n">
        <v>20</v>
      </c>
      <c r="F965" t="inlineStr">
        <is>
          <t>ООО "КОМПАНИЯ БРОНЕВИК" [Чайковский]</t>
        </is>
      </c>
      <c r="G965" s="3">
        <f>ROUND(D965/(100-E965)*100,2)</f>
        <v/>
      </c>
      <c r="H965" s="5" t="n">
        <v>46252.58333333334</v>
      </c>
      <c r="I965" t="n">
        <v>5</v>
      </c>
      <c r="J965" s="3">
        <f>G965/I965</f>
        <v/>
      </c>
      <c r="K965">
        <f>IF(J965&gt;=5100,"ставка","мин.ставка")</f>
        <v/>
      </c>
      <c r="L965" s="3">
        <f>ROUND(IF(K965="мин.ставка",I965*100,G965/102*2),2)</f>
        <v/>
      </c>
      <c r="M965" s="5" t="n">
        <v>46257.5</v>
      </c>
      <c r="N965" t="inlineStr">
        <is>
          <t>TravelLine BR2</t>
        </is>
      </c>
      <c r="O965" s="2" t="inlineStr">
        <is>
          <t>УЛУЧШЕННЫЙ ДВУХМЕСТНЫЙ НОМЕР</t>
        </is>
      </c>
      <c r="P965" s="6" t="n"/>
      <c r="R965" t="inlineStr"/>
      <c r="S965" t="inlineStr">
        <is>
          <t>Тариф с завтраком</t>
        </is>
      </c>
      <c r="T965" t="n">
        <v>0</v>
      </c>
      <c r="U965" t="n">
        <v>61600</v>
      </c>
    </row>
    <row r="966">
      <c r="A966" t="inlineStr">
        <is>
          <t>20260802-8186-450372690</t>
        </is>
      </c>
      <c r="B966" t="n">
        <v>1</v>
      </c>
      <c r="C966" s="2" t="inlineStr">
        <is>
          <t>Юрий Эпоев, Юстина Гусейнова</t>
        </is>
      </c>
      <c r="D966" s="3" t="n">
        <v>40584</v>
      </c>
      <c r="E966" s="4" t="n">
        <v>18</v>
      </c>
      <c r="F966" t="inlineStr">
        <is>
          <t>Яндекс.Путешествия [Чайковский]</t>
        </is>
      </c>
      <c r="G966" s="3">
        <f>ROUND(D966/(100-E966)*100,2)</f>
        <v/>
      </c>
      <c r="H966" s="5" t="n">
        <v>46236.58333333334</v>
      </c>
      <c r="I966" t="n">
        <v>4</v>
      </c>
      <c r="J966" s="3">
        <f>G966/I966</f>
        <v/>
      </c>
      <c r="K966">
        <f>IF(J966&gt;=5100,"ставка","мин.ставка")</f>
        <v/>
      </c>
      <c r="L966" s="3">
        <f>ROUND(IF(K966="мин.ставка",I966*100,G966/102*2),2)</f>
        <v/>
      </c>
      <c r="M966" s="5" t="n">
        <v>46240.5</v>
      </c>
      <c r="N966" t="inlineStr">
        <is>
          <t>TravelLine YAX</t>
        </is>
      </c>
      <c r="O966" s="2" t="inlineStr">
        <is>
          <t>СТАНДАРТНЫЙ ДВУХМЕСТНЫЙ НОМЕР</t>
        </is>
      </c>
      <c r="P966" s="6" t="n"/>
      <c r="R966" t="inlineStr"/>
      <c r="S966" t="inlineStr">
        <is>
          <t>Тариф с завтраком</t>
        </is>
      </c>
      <c r="T966" t="n">
        <v>0</v>
      </c>
      <c r="U966" t="n">
        <v>40584</v>
      </c>
    </row>
    <row r="967">
      <c r="A967" t="inlineStr">
        <is>
          <t>20260727-8186-441733245</t>
        </is>
      </c>
      <c r="B967" t="n">
        <v>1</v>
      </c>
      <c r="C967" s="2" t="inlineStr">
        <is>
          <t>Юрия Соколов, Валентина Соловьева</t>
        </is>
      </c>
      <c r="D967" s="3" t="n">
        <v>45390</v>
      </c>
      <c r="E967" s="4" t="n">
        <v>15</v>
      </c>
      <c r="F967" t="inlineStr">
        <is>
          <t>Trip.com Group [Чайковский]</t>
        </is>
      </c>
      <c r="G967" s="3">
        <f>ROUND(D967/(100-E967)*100,2)</f>
        <v/>
      </c>
      <c r="H967" s="5" t="n">
        <v>46230.58333333334</v>
      </c>
      <c r="I967" t="n">
        <v>4</v>
      </c>
      <c r="J967" s="3">
        <f>G967/I967</f>
        <v/>
      </c>
      <c r="K967">
        <f>IF(J967&gt;=5100,"ставка","мин.ставка")</f>
        <v/>
      </c>
      <c r="L967" s="3">
        <f>ROUND(IF(K967="мин.ставка",I967*100,G967/102*2),2)</f>
        <v/>
      </c>
      <c r="M967" s="5" t="n">
        <v>46234.5</v>
      </c>
      <c r="N967" t="inlineStr">
        <is>
          <t>TravelLine CTP</t>
        </is>
      </c>
      <c r="O967" s="2" t="inlineStr">
        <is>
          <t>СТАНДАРТНЫЙ ДВУХМЕСТНЫЙ НОМЕР</t>
        </is>
      </c>
      <c r="P967" s="6" t="n"/>
      <c r="R967" t="inlineStr"/>
      <c r="S967" t="inlineStr">
        <is>
          <t>Тариф с завтраком</t>
        </is>
      </c>
      <c r="T967" t="n">
        <v>0</v>
      </c>
      <c r="U967" t="n">
        <v>45390</v>
      </c>
    </row>
    <row r="968">
      <c r="A968" t="inlineStr">
        <is>
          <t>20260825-8186-452662018</t>
        </is>
      </c>
      <c r="B968" t="n">
        <v>1</v>
      </c>
      <c r="C968" s="2" t="inlineStr">
        <is>
          <t>Ядвига Кирсанова</t>
        </is>
      </c>
      <c r="D968" s="3" t="n">
        <v>12320</v>
      </c>
      <c r="E968" s="4" t="n">
        <v>20</v>
      </c>
      <c r="F968" t="inlineStr">
        <is>
          <t>ООО "КОМПАНИЯ БРОНЕВИК" [Чайковский]</t>
        </is>
      </c>
      <c r="G968" s="3">
        <f>ROUND(D968/(100-E968)*100,2)</f>
        <v/>
      </c>
      <c r="H968" s="5" t="n">
        <v>46259.58333333334</v>
      </c>
      <c r="I968" t="n">
        <v>2</v>
      </c>
      <c r="J968" s="3">
        <f>G968/I968</f>
        <v/>
      </c>
      <c r="K968">
        <f>IF(J968&gt;=5100,"ставка","мин.ставка")</f>
        <v/>
      </c>
      <c r="L968" s="3">
        <f>ROUND(IF(K968="мин.ставка",I968*100,G968/102*2),2)</f>
        <v/>
      </c>
      <c r="M968" s="5" t="n">
        <v>46261.5</v>
      </c>
      <c r="N968" t="inlineStr">
        <is>
          <t>TravelLine BR2</t>
        </is>
      </c>
      <c r="O968" s="2" t="inlineStr">
        <is>
          <t>СТАНДАРТНЫЙ ОДНОМЕСТНЫЙ НОМЕР</t>
        </is>
      </c>
      <c r="P968" s="6" t="n"/>
      <c r="R968" t="inlineStr"/>
      <c r="S968" t="inlineStr">
        <is>
          <t>Тариф с завтраком</t>
        </is>
      </c>
      <c r="T968" t="n">
        <v>0</v>
      </c>
      <c r="U968" t="n">
        <v>12320</v>
      </c>
    </row>
    <row r="969">
      <c r="A969" t="inlineStr">
        <is>
          <t>20260724-8186-451950013</t>
        </is>
      </c>
      <c r="B969" t="n">
        <v>1</v>
      </c>
      <c r="C969" s="2" t="inlineStr">
        <is>
          <t>ЯКОВ НИКОНОВ</t>
        </is>
      </c>
      <c r="D969" s="3" t="n">
        <v>17800</v>
      </c>
      <c r="E969" s="4" t="n">
        <v>0</v>
      </c>
      <c r="F969" t="inlineStr">
        <is>
          <t>Прямые бронирования (стойка) [Чайковский]</t>
        </is>
      </c>
      <c r="G969" s="3">
        <f>ROUND(D969/(100-E969)*100,2)</f>
        <v/>
      </c>
      <c r="H969" s="5" t="n">
        <v>46227.58333333334</v>
      </c>
      <c r="I969" t="n">
        <v>1</v>
      </c>
      <c r="J969" s="3">
        <f>G969/I969</f>
        <v/>
      </c>
      <c r="K969">
        <f>IF(J969&gt;=5100,"ставка","мин.ставка")</f>
        <v/>
      </c>
      <c r="L969" s="3">
        <f>ROUND(IF(K969="мин.ставка",I969*100,G969/102*2),2)</f>
        <v/>
      </c>
      <c r="M969" s="5" t="n">
        <v>46228.5</v>
      </c>
      <c r="N969" t="inlineStr">
        <is>
          <t>TravelLine ресепшн</t>
        </is>
      </c>
      <c r="O969" s="2" t="inlineStr">
        <is>
          <t>ЛЮКС ВТОРОЙ КОРПУС</t>
        </is>
      </c>
      <c r="P969" s="6" t="n"/>
      <c r="R969" t="inlineStr"/>
      <c r="S969" t="inlineStr">
        <is>
          <t>Тариф с завтраком</t>
        </is>
      </c>
      <c r="T969" t="n">
        <v>0</v>
      </c>
      <c r="U969" t="n">
        <v>17800</v>
      </c>
    </row>
    <row r="970">
      <c r="A970" t="inlineStr">
        <is>
          <t>20260707-8186-448033269</t>
        </is>
      </c>
      <c r="B970" t="n">
        <v>1</v>
      </c>
      <c r="C970" s="2" t="inlineStr">
        <is>
          <t>Яков Никонов</t>
        </is>
      </c>
      <c r="D970" s="3" t="n">
        <v>9240</v>
      </c>
      <c r="E970" s="4" t="n">
        <v>20</v>
      </c>
      <c r="F970" t="inlineStr">
        <is>
          <t>ООО "ХБ-ПРО" [Чайковский]</t>
        </is>
      </c>
      <c r="G970" s="3">
        <f>ROUND(D970/(100-E970)*100,2)</f>
        <v/>
      </c>
      <c r="H970" s="5" t="n">
        <v>46210.58333333334</v>
      </c>
      <c r="I970" t="n">
        <v>1</v>
      </c>
      <c r="J970" s="3">
        <f>G970/I970</f>
        <v/>
      </c>
      <c r="K970">
        <f>IF(J970&gt;=5100,"ставка","мин.ставка")</f>
        <v/>
      </c>
      <c r="L970" s="3">
        <f>ROUND(IF(K970="мин.ставка",I970*100,G970/102*2),2)</f>
        <v/>
      </c>
      <c r="M970" s="5" t="n">
        <v>46211.5</v>
      </c>
      <c r="N970" t="inlineStr">
        <is>
          <t>TravelLine UTS</t>
        </is>
      </c>
      <c r="O970" s="2" t="inlineStr">
        <is>
          <t>ПОЛУЛЮКС</t>
        </is>
      </c>
      <c r="P970" s="6" t="n"/>
      <c r="R970" t="inlineStr"/>
      <c r="S970" t="inlineStr">
        <is>
          <t>Тариф с завтраком</t>
        </is>
      </c>
      <c r="T970" t="n">
        <v>1812</v>
      </c>
      <c r="U970" t="n">
        <v>11052</v>
      </c>
    </row>
    <row r="971">
      <c r="A971" t="inlineStr">
        <is>
          <t>20260813-8186-457325306</t>
        </is>
      </c>
      <c r="B971" t="n">
        <v>1</v>
      </c>
      <c r="C971" s="2" t="inlineStr">
        <is>
          <t>Ян Метринский</t>
        </is>
      </c>
      <c r="D971" s="3" t="n">
        <v>27240</v>
      </c>
      <c r="E971" s="4" t="n">
        <v>20</v>
      </c>
      <c r="F971" t="inlineStr">
        <is>
          <t>ООО "КОМПАНИЯ БРОНЕВИК" [Чайковский]</t>
        </is>
      </c>
      <c r="G971" s="3">
        <f>ROUND(D971/(100-E971)*100,2)</f>
        <v/>
      </c>
      <c r="H971" s="5" t="n">
        <v>46247.58333333334</v>
      </c>
      <c r="I971" t="n">
        <v>3</v>
      </c>
      <c r="J971" s="3">
        <f>G971/I971</f>
        <v/>
      </c>
      <c r="K971">
        <f>IF(J971&gt;=5100,"ставка","мин.ставка")</f>
        <v/>
      </c>
      <c r="L971" s="3">
        <f>ROUND(IF(K971="мин.ставка",I971*100,G971/102*2),2)</f>
        <v/>
      </c>
      <c r="M971" s="5" t="n">
        <v>46250.5</v>
      </c>
      <c r="N971" t="inlineStr">
        <is>
          <t>TravelLine BR2</t>
        </is>
      </c>
      <c r="O971" s="2" t="inlineStr">
        <is>
          <t>СТАНДАРТНЫЙ ДВУХМЕСТНЫЙ НОМЕР</t>
        </is>
      </c>
      <c r="P971" s="6" t="n"/>
      <c r="R971" t="inlineStr"/>
      <c r="S971" t="inlineStr">
        <is>
          <t>Тариф с завтраком</t>
        </is>
      </c>
      <c r="T971" t="n">
        <v>0</v>
      </c>
      <c r="U971" t="n">
        <v>27240</v>
      </c>
    </row>
    <row r="972">
      <c r="A972" t="inlineStr">
        <is>
          <t>20260911-8186-429106837</t>
        </is>
      </c>
      <c r="B972" t="n">
        <v>1</v>
      </c>
      <c r="C972" s="2" t="inlineStr">
        <is>
          <t>Ян Элксниньш, Лилия Элксниньш</t>
        </is>
      </c>
      <c r="D972" s="3" t="n">
        <v>47520</v>
      </c>
      <c r="E972" s="4" t="n">
        <v>18</v>
      </c>
      <c r="F972" t="inlineStr">
        <is>
          <t>Яндекс.Путешествия [Чайковский]</t>
        </is>
      </c>
      <c r="G972" s="3">
        <f>ROUND(D972/(100-E972)*100,2)</f>
        <v/>
      </c>
      <c r="H972" s="5" t="n">
        <v>46276.58333333334</v>
      </c>
      <c r="I972" t="n">
        <v>6</v>
      </c>
      <c r="J972" s="3">
        <f>G972/I972</f>
        <v/>
      </c>
      <c r="K972">
        <f>IF(J972&gt;=5100,"ставка","мин.ставка")</f>
        <v/>
      </c>
      <c r="L972" s="3">
        <f>ROUND(IF(K972="мин.ставка",I972*100,G972/102*2),2)</f>
        <v/>
      </c>
      <c r="M972" s="5" t="n">
        <v>46282.5</v>
      </c>
      <c r="N972" t="inlineStr">
        <is>
          <t>TravelLine YAX</t>
        </is>
      </c>
      <c r="O972" s="2" t="inlineStr">
        <is>
          <t>СТАНДАРТНЫЙ ДВУХМЕСТНЫЙ НОМЕР (МАНСАРДА)</t>
        </is>
      </c>
      <c r="P972" s="6" t="n"/>
      <c r="R972" t="inlineStr"/>
      <c r="S972" t="inlineStr">
        <is>
          <t>Тариф с завтраком</t>
        </is>
      </c>
      <c r="T972" t="n">
        <v>0</v>
      </c>
      <c r="U972" t="n">
        <v>47520</v>
      </c>
    </row>
    <row r="973">
      <c r="A973" t="inlineStr">
        <is>
          <t>20260629-8186-440728066</t>
        </is>
      </c>
      <c r="B973" t="n">
        <v>1</v>
      </c>
      <c r="C973" s="2" t="inlineStr">
        <is>
          <t>Яна ЛИБЕРМАН</t>
        </is>
      </c>
      <c r="D973" s="3" t="n">
        <v>27921</v>
      </c>
      <c r="E973" s="4" t="n">
        <v>18</v>
      </c>
      <c r="F973" t="inlineStr">
        <is>
          <t>ООО "Эй энд Эй" [Чайковский]</t>
        </is>
      </c>
      <c r="G973" s="3">
        <f>ROUND(D973/(100-E973)*100,2)</f>
        <v/>
      </c>
      <c r="H973" s="5" t="n">
        <v>46202.58333333334</v>
      </c>
      <c r="I973" t="n">
        <v>3</v>
      </c>
      <c r="J973" s="3">
        <f>G973/I973</f>
        <v/>
      </c>
      <c r="K973">
        <f>IF(J973&gt;=5100,"ставка","мин.ставка")</f>
        <v/>
      </c>
      <c r="L973" s="3">
        <f>ROUND(IF(K973="мин.ставка",I973*100,G973/102*2),2)</f>
        <v/>
      </c>
      <c r="M973" s="5" t="n">
        <v>46205.5</v>
      </c>
      <c r="N973" t="inlineStr">
        <is>
          <t>TravelLine ANA</t>
        </is>
      </c>
      <c r="O973" s="2" t="inlineStr">
        <is>
          <t>СТАНДАРТНЫЙ ДВУХМЕСТНЫЙ НОМЕР</t>
        </is>
      </c>
      <c r="P973" s="6" t="n"/>
      <c r="R973" t="inlineStr"/>
      <c r="S973" t="inlineStr">
        <is>
          <t>Тариф с завтраком</t>
        </is>
      </c>
      <c r="T973" t="n">
        <v>0</v>
      </c>
      <c r="U973" t="n">
        <v>27921</v>
      </c>
    </row>
    <row r="974">
      <c r="A974" t="inlineStr">
        <is>
          <t>20260809-8186-419208245</t>
        </is>
      </c>
      <c r="B974" t="n">
        <v>1</v>
      </c>
      <c r="C974" s="2" t="inlineStr">
        <is>
          <t>ЯНА МАКАРОВА, АЛЕКСАНДР МИХАЛЕВА</t>
        </is>
      </c>
      <c r="D974" s="3" t="n">
        <v>68085</v>
      </c>
      <c r="E974" s="4" t="n">
        <v>16</v>
      </c>
      <c r="F974" t="inlineStr">
        <is>
          <t>ООО "БРОНИРОВАНИЕ ГОСТИНИЦ" (OSTROVOK) [Чайковский]</t>
        </is>
      </c>
      <c r="G974" s="3">
        <f>ROUND(D974/(100-E974)*100,2)</f>
        <v/>
      </c>
      <c r="H974" s="5" t="n">
        <v>46243.58333333334</v>
      </c>
      <c r="I974" t="n">
        <v>6</v>
      </c>
      <c r="J974" s="3">
        <f>G974/I974</f>
        <v/>
      </c>
      <c r="K974">
        <f>IF(J974&gt;=5100,"ставка","мин.ставка")</f>
        <v/>
      </c>
      <c r="L974" s="3">
        <f>ROUND(IF(K974="мин.ставка",I974*100,G974/102*2),2)</f>
        <v/>
      </c>
      <c r="M974" s="5" t="n">
        <v>46249.5</v>
      </c>
      <c r="N974" t="inlineStr">
        <is>
          <t>TravelLine OTK</t>
        </is>
      </c>
      <c r="O974" s="2" t="inlineStr">
        <is>
          <t>СТАНДАРТНЫЙ ДВУХМЕСТНЫЙ НОМЕР</t>
        </is>
      </c>
      <c r="P974" s="6" t="n"/>
      <c r="R974" t="inlineStr"/>
      <c r="S974" t="inlineStr">
        <is>
          <t>Тариф с завтраком</t>
        </is>
      </c>
      <c r="T974" t="n">
        <v>0</v>
      </c>
      <c r="U974" t="n">
        <v>136170</v>
      </c>
    </row>
    <row r="975">
      <c r="A975" t="inlineStr">
        <is>
          <t>20260813-8186-456022228</t>
        </is>
      </c>
      <c r="B975" t="n">
        <v>1</v>
      </c>
      <c r="C975" s="2" t="inlineStr">
        <is>
          <t>ЯНИНА АНУЩЕНКОВА</t>
        </is>
      </c>
      <c r="D975" s="3" t="n">
        <v>39816</v>
      </c>
      <c r="E975" s="4" t="n">
        <v>16</v>
      </c>
      <c r="F975" t="inlineStr">
        <is>
          <t>ООО "БРОНИРОВАНИЕ ГОСТИНИЦ" (OSTROVOK) [Чайковский]</t>
        </is>
      </c>
      <c r="G975" s="3">
        <f>ROUND(D975/(100-E975)*100,2)</f>
        <v/>
      </c>
      <c r="H975" s="5" t="n">
        <v>46247.58333333334</v>
      </c>
      <c r="I975" t="n">
        <v>3</v>
      </c>
      <c r="J975" s="3">
        <f>G975/I975</f>
        <v/>
      </c>
      <c r="K975">
        <f>IF(J975&gt;=5100,"ставка","мин.ставка")</f>
        <v/>
      </c>
      <c r="L975" s="3">
        <f>ROUND(IF(K975="мин.ставка",I975*100,G975/102*2),2)</f>
        <v/>
      </c>
      <c r="M975" s="5" t="n">
        <v>46250.70833333334</v>
      </c>
      <c r="N975" t="inlineStr">
        <is>
          <t>TravelLine OTK</t>
        </is>
      </c>
      <c r="O975" s="2" t="inlineStr">
        <is>
          <t>ЛЮКС ВТОРОЙ КОРПУС</t>
        </is>
      </c>
      <c r="P975" s="6" t="n"/>
      <c r="R975" t="inlineStr"/>
      <c r="S975" t="inlineStr">
        <is>
          <t>Тариф с завтраком</t>
        </is>
      </c>
      <c r="T975" t="n">
        <v>3300</v>
      </c>
      <c r="U975" t="n">
        <v>43116</v>
      </c>
    </row>
    <row r="976">
      <c r="A976" t="inlineStr">
        <is>
          <t>20260705-8186-444990056</t>
        </is>
      </c>
      <c r="B976" t="n">
        <v>1</v>
      </c>
      <c r="C976" s="2" t="inlineStr">
        <is>
          <t>ЯРОСЛАВ МОРОЗОВ, ЕВГЕНИЯ ШУБИНА</t>
        </is>
      </c>
      <c r="D976" s="3" t="n">
        <v>34042.5</v>
      </c>
      <c r="E976" s="4" t="n">
        <v>0</v>
      </c>
      <c r="F976" t="inlineStr">
        <is>
          <t>ООО «ХОМЛИН ЛЭНД» (ПЕГАС) [Чайковский]</t>
        </is>
      </c>
      <c r="G976" s="3">
        <f>ROUND(D976/(100-E976)*100,2)</f>
        <v/>
      </c>
      <c r="H976" s="5" t="n">
        <v>46208.58333333334</v>
      </c>
      <c r="I976" t="n">
        <v>3</v>
      </c>
      <c r="J976" s="3">
        <f>G976/I976</f>
        <v/>
      </c>
      <c r="K976">
        <f>IF(J976&gt;=5100,"ставка","мин.ставка")</f>
        <v/>
      </c>
      <c r="L976" s="3">
        <f>ROUND(IF(K976="мин.ставка",I976*100,G976/102*2),2)</f>
        <v/>
      </c>
      <c r="M976" s="5" t="n">
        <v>46211.5</v>
      </c>
      <c r="N976" t="inlineStr">
        <is>
          <t>TravelLine PGS</t>
        </is>
      </c>
      <c r="O976" s="2" t="inlineStr">
        <is>
          <t>СТАНДАРТНЫЙ ДВУХМЕСТНЫЙ НОМЕР</t>
        </is>
      </c>
      <c r="P976" s="6" t="n"/>
      <c r="R976" t="inlineStr"/>
      <c r="S976" t="inlineStr">
        <is>
          <t>Тариф с завтраком</t>
        </is>
      </c>
      <c r="T976" t="n">
        <v>0</v>
      </c>
      <c r="U976" t="n">
        <v>34042.5</v>
      </c>
    </row>
    <row r="977">
      <c r="A977" t="inlineStr">
        <is>
          <t>20260701-8186-442331708</t>
        </is>
      </c>
      <c r="B977" t="n">
        <v>1</v>
      </c>
      <c r="C977" s="2" t="inlineStr">
        <is>
          <t>ЯРОСЛАВ СЕМЕНОВ</t>
        </is>
      </c>
      <c r="D977" s="3" t="n">
        <v>7900</v>
      </c>
      <c r="E977" s="4" t="n">
        <v>0</v>
      </c>
      <c r="F977" t="inlineStr">
        <is>
          <t>Прямые бронирования (стойка) [Чайковский]</t>
        </is>
      </c>
      <c r="G977" s="3">
        <f>ROUND(D977/(100-E977)*100,2)</f>
        <v/>
      </c>
      <c r="H977" s="5" t="n">
        <v>46204.58333333334</v>
      </c>
      <c r="I977" t="n">
        <v>1</v>
      </c>
      <c r="J977" s="3">
        <f>G977/I977</f>
        <v/>
      </c>
      <c r="K977">
        <f>IF(J977&gt;=5100,"ставка","мин.ставка")</f>
        <v/>
      </c>
      <c r="L977" s="3">
        <f>ROUND(IF(K977="мин.ставка",I977*100,G977/102*2),2)</f>
        <v/>
      </c>
      <c r="M977" s="5" t="n">
        <v>46205.5</v>
      </c>
      <c r="N977" t="inlineStr">
        <is>
          <t>TravelLine ресепшн</t>
        </is>
      </c>
      <c r="O977" s="2" t="inlineStr">
        <is>
          <t>СТАНДАРТНЫЙ ДВУХМЕСТНЫЙ НОМЕР (МАНСАРДА)</t>
        </is>
      </c>
      <c r="P977" s="6" t="n"/>
      <c r="R977" t="inlineStr"/>
      <c r="S977" t="inlineStr">
        <is>
          <t>Тариф с завтраком</t>
        </is>
      </c>
      <c r="T977" t="n">
        <v>0</v>
      </c>
      <c r="U977" t="n">
        <v>7900</v>
      </c>
    </row>
    <row r="978">
      <c r="A978" s="7" t="n"/>
      <c r="B978" s="7">
        <f>SUM(B2:B977)</f>
        <v/>
      </c>
      <c r="C978" s="7" t="inlineStr">
        <is>
          <t>ИТОГО:</t>
        </is>
      </c>
      <c r="D978" s="7">
        <f>SUM(D2:D977)</f>
        <v/>
      </c>
      <c r="E978" s="7" t="n"/>
      <c r="F978" s="7" t="n"/>
      <c r="G978" s="7">
        <f>SUM(G2:G977)</f>
        <v/>
      </c>
      <c r="H978" s="7" t="n"/>
      <c r="I978" s="7">
        <f>SUM(I2:I977)</f>
        <v/>
      </c>
      <c r="J978" s="7" t="n"/>
      <c r="K978" s="7" t="n"/>
      <c r="L978" s="7">
        <f>SUM(L2:L977)</f>
        <v/>
      </c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2" customWidth="1" min="4" max="4"/>
    <col width="10" customWidth="1" min="5" max="5"/>
    <col width="32" customWidth="1" min="6" max="6"/>
    <col width="20" customWidth="1" min="7" max="7"/>
    <col width="17" customWidth="1" min="8" max="8"/>
    <col width="8" customWidth="1" min="9" max="9"/>
    <col width="11" customWidth="1" min="10" max="10"/>
    <col width="12" customWidth="1" min="11" max="11"/>
    <col width="11" customWidth="1" min="12" max="12"/>
    <col width="17" customWidth="1" min="13" max="13"/>
    <col width="25" customWidth="1" min="14" max="14"/>
    <col width="30" customWidth="1" min="15" max="15"/>
    <col width="10" customWidth="1" min="16" max="16"/>
    <col width="8" customWidth="1" min="17" max="17"/>
    <col width="45" customWidth="1" min="18" max="18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Заезд</t>
        </is>
      </c>
      <c r="I1" s="1" t="inlineStr">
        <is>
          <t>Ночей</t>
        </is>
      </c>
      <c r="J1" s="1" t="inlineStr">
        <is>
          <t>Сут.ставка</t>
        </is>
      </c>
      <c r="K1" s="1" t="inlineStr">
        <is>
          <t>Метод</t>
        </is>
      </c>
      <c r="L1" s="1" t="inlineStr">
        <is>
          <t>Налог</t>
        </is>
      </c>
      <c r="M1" s="1" t="inlineStr">
        <is>
          <t>Выезд</t>
        </is>
      </c>
      <c r="N1" s="1" t="inlineStr">
        <is>
          <t>Источник</t>
        </is>
      </c>
      <c r="O1" s="1" t="inlineStr">
        <is>
          <t>Категория номера</t>
        </is>
      </c>
      <c r="P1" s="1" t="inlineStr">
        <is>
          <t>№ комнаты</t>
        </is>
      </c>
      <c r="Q1" s="1" t="inlineStr">
        <is>
          <t>корпус</t>
        </is>
      </c>
      <c r="R1" s="1" t="inlineStr">
        <is>
          <t>Примечание</t>
        </is>
      </c>
      <c r="S1" s="1" t="inlineStr">
        <is>
          <t>Тариф</t>
        </is>
      </c>
      <c r="T1" s="1" t="inlineStr">
        <is>
          <t>Допуслуги</t>
        </is>
      </c>
      <c r="U1" s="1" t="inlineStr">
        <is>
          <t>Итог брони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5" customWidth="1" min="3" max="3"/>
    <col width="12" customWidth="1" min="4" max="4"/>
    <col width="10" customWidth="1" min="5" max="5"/>
    <col width="32" customWidth="1" min="6" max="6"/>
    <col width="20" customWidth="1" min="7" max="7"/>
    <col width="17" customWidth="1" min="8" max="8"/>
    <col width="8" customWidth="1" min="9" max="9"/>
    <col width="11" customWidth="1" min="10" max="10"/>
    <col width="12" customWidth="1" min="11" max="11"/>
    <col width="11" customWidth="1" min="12" max="12"/>
    <col width="17" customWidth="1" min="13" max="13"/>
    <col width="25" customWidth="1" min="14" max="14"/>
    <col width="30" customWidth="1" min="15" max="15"/>
    <col width="10" customWidth="1" min="16" max="16"/>
    <col width="8" customWidth="1" min="17" max="17"/>
    <col width="45" customWidth="1" min="18" max="18"/>
  </cols>
  <sheetData>
    <row r="1">
      <c r="A1" s="1" t="inlineStr">
        <is>
          <t>№ брони</t>
        </is>
      </c>
      <c r="B1" s="1" t="inlineStr">
        <is>
          <t>Номеров</t>
        </is>
      </c>
      <c r="C1" s="1" t="inlineStr">
        <is>
          <t>Гость</t>
        </is>
      </c>
      <c r="D1" s="1" t="inlineStr">
        <is>
          <t>Стоимость без комиссии</t>
        </is>
      </c>
      <c r="E1" s="1" t="inlineStr">
        <is>
          <t>Комиссия %</t>
        </is>
      </c>
      <c r="F1" s="1" t="inlineStr">
        <is>
          <t>Агент</t>
        </is>
      </c>
      <c r="G1" s="1" t="inlineStr">
        <is>
          <t>Стоимость с комиссией</t>
        </is>
      </c>
      <c r="H1" s="1" t="inlineStr">
        <is>
          <t>Заезд</t>
        </is>
      </c>
      <c r="I1" s="1" t="inlineStr">
        <is>
          <t>Ночей</t>
        </is>
      </c>
      <c r="J1" s="1" t="inlineStr">
        <is>
          <t>Сут.ставка</t>
        </is>
      </c>
      <c r="K1" s="1" t="inlineStr">
        <is>
          <t>Метод</t>
        </is>
      </c>
      <c r="L1" s="1" t="inlineStr">
        <is>
          <t>Налог</t>
        </is>
      </c>
      <c r="M1" s="1" t="inlineStr">
        <is>
          <t>Выезд</t>
        </is>
      </c>
      <c r="N1" s="1" t="inlineStr">
        <is>
          <t>Источник</t>
        </is>
      </c>
      <c r="O1" s="1" t="inlineStr">
        <is>
          <t>Категория номера</t>
        </is>
      </c>
      <c r="P1" s="1" t="inlineStr">
        <is>
          <t>№ комнаты</t>
        </is>
      </c>
      <c r="Q1" s="1" t="inlineStr">
        <is>
          <t>корпус</t>
        </is>
      </c>
      <c r="R1" s="1" t="inlineStr">
        <is>
          <t>Примечание</t>
        </is>
      </c>
      <c r="S1" s="1" t="inlineStr">
        <is>
          <t>Тариф</t>
        </is>
      </c>
      <c r="T1" s="1" t="inlineStr">
        <is>
          <t>Допуслуги</t>
        </is>
      </c>
      <c r="U1" s="1" t="inlineStr">
        <is>
          <t>Итог брони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2026-10-13T09:20:29Z</dcterms:created>
  <dcterms:modified xsi:type="dcterms:W3CDTF">2026-10-13T09:20:29Z</dcterms:modified>
</cp:coreProperties>
</file>